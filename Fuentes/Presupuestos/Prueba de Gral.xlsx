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tables/table26.xml" ContentType="application/vnd.openxmlformats-officedocument.spreadsheetml.table+xml"/>
  <Override PartName="/xl/queryTables/queryTable26.xml" ContentType="application/vnd.openxmlformats-officedocument.spreadsheetml.queryTable+xml"/>
  <Override PartName="/xl/tables/table27.xml" ContentType="application/vnd.openxmlformats-officedocument.spreadsheetml.table+xml"/>
  <Override PartName="/xl/comments1.xml" ContentType="application/vnd.openxmlformats-officedocument.spreadsheetml.comments+xml"/>
  <Override PartName="/xl/pivotTables/pivotTable10.xml" ContentType="application/vnd.openxmlformats-officedocument.spreadsheetml.pivotTable+xml"/>
  <Override PartName="/xl/tables/table28.xml" ContentType="application/vnd.openxmlformats-officedocument.spreadsheetml.table+xml"/>
  <Override PartName="/xl/queryTables/queryTable27.xml" ContentType="application/vnd.openxmlformats-officedocument.spreadsheetml.query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queryTables/queryTable28.xml" ContentType="application/vnd.openxmlformats-officedocument.spreadsheetml.queryTable+xml"/>
  <Override PartName="/xl/tables/table31.xml" ContentType="application/vnd.openxmlformats-officedocument.spreadsheetml.table+xml"/>
  <Override PartName="/xl/queryTables/queryTable29.xml" ContentType="application/vnd.openxmlformats-officedocument.spreadsheetml.queryTable+xml"/>
  <Override PartName="/xl/drawings/drawing1.xml" ContentType="application/vnd.openxmlformats-officedocument.drawing+xml"/>
  <Override PartName="/xl/tables/table32.xml" ContentType="application/vnd.openxmlformats-officedocument.spreadsheetml.table+xml"/>
  <Override PartName="/xl/slicers/slicer1.xml" ContentType="application/vnd.ms-excel.slicer+xml"/>
  <Override PartName="/xl/comments2.xml" ContentType="application/vnd.openxmlformats-officedocument.spreadsheetml.comments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tables/table33.xml" ContentType="application/vnd.openxmlformats-officedocument.spreadsheetml.table+xml"/>
  <Override PartName="/xl/queryTables/queryTable30.xml" ContentType="application/vnd.openxmlformats-officedocument.spreadsheetml.queryTable+xml"/>
  <Override PartName="/xl/comments3.xml" ContentType="application/vnd.openxmlformats-officedocument.spreadsheetml.comments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comments4.xml" ContentType="application/vnd.openxmlformats-officedocument.spreadsheetml.comments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queryTables/queryTable31.xml" ContentType="application/vnd.openxmlformats-officedocument.spreadsheetml.queryTable+xml"/>
  <Override PartName="/xl/tables/table39.xml" ContentType="application/vnd.openxmlformats-officedocument.spreadsheetml.table+xml"/>
  <Override PartName="/xl/queryTables/queryTable32.xml" ContentType="application/vnd.openxmlformats-officedocument.spreadsheetml.query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queryTables/queryTable33.xml" ContentType="application/vnd.openxmlformats-officedocument.spreadsheetml.query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queryTables/queryTable3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usuario\Documents\GitHub\NaturalV0.5\Fuentes\Presupuestos\"/>
    </mc:Choice>
  </mc:AlternateContent>
  <xr:revisionPtr revIDLastSave="0" documentId="13_ncr:1_{0AE50F9C-9069-41A6-AF4B-4BE63485E402}" xr6:coauthVersionLast="47" xr6:coauthVersionMax="47" xr10:uidLastSave="{00000000-0000-0000-0000-000000000000}"/>
  <bookViews>
    <workbookView xWindow="-120" yWindow="-120" windowWidth="29040" windowHeight="15720" tabRatio="780" firstSheet="29" activeTab="35" xr2:uid="{00000000-000D-0000-FFFF-FFFF00000000}"/>
  </bookViews>
  <sheets>
    <sheet name="PA_Gen" sheetId="9" state="hidden" r:id="rId1"/>
    <sheet name="PA_Esp" sheetId="8" state="hidden" r:id="rId2"/>
    <sheet name="CT_Gen" sheetId="7" state="hidden" r:id="rId3"/>
    <sheet name="CT_Esp" sheetId="4" state="hidden" r:id="rId4"/>
    <sheet name="LCH_Gen" sheetId="13" state="hidden" r:id="rId5"/>
    <sheet name="LHC_Esp" sheetId="12" state="hidden" r:id="rId6"/>
    <sheet name="EE_Esp" sheetId="16" state="hidden" r:id="rId7"/>
    <sheet name="EE_Gen" sheetId="15" state="hidden" r:id="rId8"/>
    <sheet name="Visualización Jornales EE III" sheetId="24" state="hidden" r:id="rId9"/>
    <sheet name="Visualización Jornales EE I y I" sheetId="22" state="hidden" r:id="rId10"/>
    <sheet name="Visualización Jornales PA (2)" sheetId="21" state="hidden" r:id="rId11"/>
    <sheet name="Visualización Jornales LCH (2)" sheetId="20" state="hidden" r:id="rId12"/>
    <sheet name="Visualización Jornales CT" sheetId="6" r:id="rId13"/>
    <sheet name="Hoja1" sheetId="50" r:id="rId14"/>
    <sheet name="Visualización Jornales PA" sheetId="10" r:id="rId15"/>
    <sheet name="Visualización Jornales LCH" sheetId="11" r:id="rId16"/>
    <sheet name="Visualización Jornales EE" sheetId="14" r:id="rId17"/>
    <sheet name="Resumen de Jornales" sheetId="49" r:id="rId18"/>
    <sheet name="Personal Camino Truncado" sheetId="26" r:id="rId19"/>
    <sheet name="Fletes Varios" sheetId="36" r:id="rId20"/>
    <sheet name="Visualización Jornales CT (2)" sheetId="19" state="hidden" r:id="rId21"/>
    <sheet name="Personal La Chimbera" sheetId="28" state="hidden" r:id="rId22"/>
    <sheet name="Personal Puente Alto" sheetId="27" state="hidden" r:id="rId23"/>
    <sheet name="Personal El Espejo III" sheetId="30" state="hidden" r:id="rId24"/>
    <sheet name="Personal El Espejo I y II" sheetId="29" state="hidden" r:id="rId25"/>
    <sheet name="Fito CT" sheetId="31" r:id="rId26"/>
    <sheet name="Fito PA" sheetId="33" r:id="rId27"/>
    <sheet name="Fito EE III" sheetId="35" r:id="rId28"/>
    <sheet name="Fito EE I y II" sheetId="34" r:id="rId29"/>
    <sheet name="Fito LCH" sheetId="32" r:id="rId30"/>
    <sheet name="Cosechas" sheetId="38" r:id="rId31"/>
    <sheet name="COSECHA" sheetId="37" r:id="rId32"/>
    <sheet name="SECADERO" sheetId="39" r:id="rId33"/>
    <sheet name="Secaderos" sheetId="40" r:id="rId34"/>
    <sheet name="Fertilizantes" sheetId="25" state="hidden" r:id="rId35"/>
    <sheet name="Tabla general" sheetId="1" r:id="rId36"/>
    <sheet name="Check" sheetId="18" r:id="rId37"/>
    <sheet name="RepRep" sheetId="48" r:id="rId38"/>
    <sheet name="Fitosanitarios" sheetId="17" r:id="rId39"/>
    <sheet name="Tabla Base" sheetId="2" r:id="rId40"/>
    <sheet name="Reparaciones y Repuestos" sheetId="47" r:id="rId41"/>
    <sheet name="Energía Fincas" sheetId="45" r:id="rId42"/>
    <sheet name="EnergiaFincas" sheetId="46" r:id="rId43"/>
    <sheet name="ADM" sheetId="42" r:id="rId44"/>
    <sheet name="Administración" sheetId="41" r:id="rId45"/>
    <sheet name="Inversiones (2)" sheetId="44" r:id="rId46"/>
    <sheet name="Inversiones" sheetId="43" r:id="rId47"/>
    <sheet name="Compilado" sheetId="23" r:id="rId48"/>
  </sheets>
  <externalReferences>
    <externalReference r:id="rId49"/>
  </externalReferences>
  <definedNames>
    <definedName name="DatosExternos_1" localSheetId="31" hidden="1">'COSECHA'!$A$1:$F$113</definedName>
    <definedName name="DatosExternos_1" localSheetId="3" hidden="1">'CT_Esp'!$A$1:$D$66</definedName>
    <definedName name="DatosExternos_1" localSheetId="7" hidden="1">EE_Gen!$A$1:$D$127</definedName>
    <definedName name="DatosExternos_1" localSheetId="34" hidden="1">Fertilizantes!$A$1:$D$9</definedName>
    <definedName name="DatosExternos_1" localSheetId="29" hidden="1">'Fito LCH'!$A$1:$D$89</definedName>
    <definedName name="DatosExternos_1" localSheetId="19" hidden="1">'Fletes Varios'!$A$1:$D$61</definedName>
    <definedName name="DatosExternos_1" localSheetId="5" hidden="1">LHC_Esp!$A$1:$D$40</definedName>
    <definedName name="DatosExternos_1" localSheetId="18" hidden="1">'Personal Camino Truncado'!$A$1:$D$49</definedName>
    <definedName name="DatosExternos_1" localSheetId="37" hidden="1">'RepRep'!$A$1:$D$121</definedName>
    <definedName name="DatosExternos_1" localSheetId="20" hidden="1">'Visualización Jornales CT (2)'!$A$1:$D$25</definedName>
    <definedName name="DatosExternos_1" localSheetId="11" hidden="1">'Visualización Jornales LCH (2)'!$A$1:$D$25</definedName>
    <definedName name="DatosExternos_2" localSheetId="30" hidden="1">'Cosechas'!$A$1:$D$81</definedName>
    <definedName name="DatosExternos_2" localSheetId="2" hidden="1">'CT_Gen'!$A$1:$C$19</definedName>
    <definedName name="DatosExternos_2" localSheetId="6" hidden="1">EE_Esp!$A$1:$E$81</definedName>
    <definedName name="DatosExternos_2" localSheetId="26" hidden="1">'Fito PA'!$A$1:$D$89</definedName>
    <definedName name="DatosExternos_2" localSheetId="4" hidden="1">LCH_Gen!$A$1:$D$52</definedName>
    <definedName name="DatosExternos_2" localSheetId="10" hidden="1">'Visualización Jornales PA (2)'!$A$1:$D$25</definedName>
    <definedName name="DatosExternos_3" localSheetId="28" hidden="1">'Fito EE I y II'!$A$1:$D$89</definedName>
    <definedName name="DatosExternos_3" localSheetId="1" hidden="1">PA_Esp!$A$1:$D$40</definedName>
    <definedName name="DatosExternos_3" localSheetId="9" hidden="1">'Visualización Jornales EE I y I'!$A$1:$D$25</definedName>
    <definedName name="DatosExternos_4" localSheetId="47" hidden="1">'Compilado'!$A$1:$D$1455</definedName>
    <definedName name="DatosExternos_4" localSheetId="27" hidden="1">'Fito EE III'!$A$1:$D$89</definedName>
    <definedName name="DatosExternos_4" localSheetId="0" hidden="1">PA_Gen!$A$1:$D$49</definedName>
    <definedName name="DatosExternos_4" localSheetId="8" hidden="1">'Visualización Jornales EE III'!$A$1:$D$25</definedName>
    <definedName name="DatosExternos_5" localSheetId="43" hidden="1">ADM!$A$1:$D$121</definedName>
    <definedName name="DatosExternos_5" localSheetId="25" hidden="1">'Fito CT'!$A$1:$D$89</definedName>
    <definedName name="DatosExternos_5" localSheetId="24" hidden="1">'Personal El Espejo I y II'!$A$1:$D$37</definedName>
    <definedName name="DatosExternos_5" localSheetId="22" hidden="1">'Personal Puente Alto'!$A$1:$D$49</definedName>
    <definedName name="DatosExternos_5" localSheetId="32" hidden="1">SECADERO!$A$1:$F$218</definedName>
    <definedName name="DatosExternos_5" localSheetId="33" hidden="1">Secaderos!$A$1:$D$198</definedName>
    <definedName name="DatosExternos_6" localSheetId="42" hidden="1">EnergiaFincas!$A$1:$D$61</definedName>
    <definedName name="DatosExternos_6" localSheetId="45" hidden="1">'Inversiones (2)'!$A$1:$D$34</definedName>
    <definedName name="DatosExternos_6" localSheetId="23" hidden="1">'Personal El Espejo III'!$A$1:$D$37</definedName>
    <definedName name="DatosExternos_6" localSheetId="21" hidden="1">'Personal La Chimbera'!$A$1:$D$49</definedName>
    <definedName name="SegmentaciónDeDatos_Finca">#N/A</definedName>
    <definedName name="SegmentaciónDeDatos_Finca1">#N/A</definedName>
    <definedName name="SegmentaciónDeDatos_Variedad">#N/A</definedName>
  </definedNames>
  <calcPr calcId="191029"/>
  <pivotCaches>
    <pivotCache cacheId="0" r:id="rId50"/>
    <pivotCache cacheId="1" r:id="rId51"/>
    <pivotCache cacheId="2" r:id="rId52"/>
    <pivotCache cacheId="3" r:id="rId53"/>
    <pivotCache cacheId="4" r:id="rId54"/>
    <pivotCache cacheId="5" r:id="rId55"/>
    <pivotCache cacheId="6" r:id="rId56"/>
    <pivotCache cacheId="7" r:id="rId57"/>
    <pivotCache cacheId="8" r:id="rId58"/>
    <pivotCache cacheId="9" r:id="rId59"/>
  </pivotCaches>
  <extLst>
    <ext xmlns:x14="http://schemas.microsoft.com/office/spreadsheetml/2009/9/main" uri="{BBE1A952-AA13-448e-AADC-164F8A28A991}">
      <x14:slicerCaches>
        <x14:slicerCache r:id="rId6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61"/>
        <x14:slicerCache r:id="rId62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9" i="14" l="1"/>
  <c r="J56" i="14"/>
  <c r="J45" i="14"/>
  <c r="G35" i="14"/>
  <c r="F35" i="14"/>
  <c r="J34" i="14"/>
  <c r="J33" i="14"/>
  <c r="I33" i="14"/>
  <c r="CE110" i="1"/>
  <c r="F2" i="23"/>
  <c r="F14" i="23"/>
  <c r="F26" i="23"/>
  <c r="F38" i="23"/>
  <c r="F50" i="23"/>
  <c r="F62" i="23"/>
  <c r="F74" i="23"/>
  <c r="F86" i="23"/>
  <c r="F98" i="23"/>
  <c r="F110" i="23"/>
  <c r="F130" i="23"/>
  <c r="F142" i="23"/>
  <c r="F154" i="23"/>
  <c r="F166" i="23"/>
  <c r="F178" i="23"/>
  <c r="F190" i="23"/>
  <c r="F202" i="23"/>
  <c r="F214" i="23"/>
  <c r="F226" i="23"/>
  <c r="F238" i="23"/>
  <c r="F250" i="23"/>
  <c r="F262" i="23"/>
  <c r="F274" i="23"/>
  <c r="F286" i="23"/>
  <c r="F298" i="23"/>
  <c r="F310" i="23"/>
  <c r="F322" i="23"/>
  <c r="F334" i="23"/>
  <c r="F786" i="23"/>
  <c r="F798" i="23"/>
  <c r="F810" i="23"/>
  <c r="F822" i="23"/>
  <c r="F834" i="23"/>
  <c r="F929" i="23"/>
  <c r="F941" i="23"/>
  <c r="F953" i="23"/>
  <c r="F968" i="23"/>
  <c r="F980" i="23"/>
  <c r="F992" i="23"/>
  <c r="F1007" i="23"/>
  <c r="F1019" i="23"/>
  <c r="F1031" i="23"/>
  <c r="F1047" i="23"/>
  <c r="F1059" i="23"/>
  <c r="F1071" i="23"/>
  <c r="F1087" i="23"/>
  <c r="F1099" i="23"/>
  <c r="F1111" i="23"/>
  <c r="F1123" i="23"/>
  <c r="F1135" i="23"/>
  <c r="F1147" i="23"/>
  <c r="F1159" i="23"/>
  <c r="F1171" i="23"/>
  <c r="F1183" i="23"/>
  <c r="F1195" i="23"/>
  <c r="F1207" i="23"/>
  <c r="F1219" i="23"/>
  <c r="F1231" i="23"/>
  <c r="F1243" i="23"/>
  <c r="F1249" i="23"/>
  <c r="F1256" i="23"/>
  <c r="F1262" i="23"/>
  <c r="F1270" i="23"/>
  <c r="F1276" i="23"/>
  <c r="F1288" i="23"/>
  <c r="F1300" i="23"/>
  <c r="F1312" i="23"/>
  <c r="F1324" i="23"/>
  <c r="F1336" i="23"/>
  <c r="F1348" i="23"/>
  <c r="F1360" i="23"/>
  <c r="F1372" i="23"/>
  <c r="F1384" i="23"/>
  <c r="F1396" i="23"/>
  <c r="F1408" i="23"/>
  <c r="F1420" i="23"/>
  <c r="F1432" i="23"/>
  <c r="F1444" i="23"/>
  <c r="H2" i="2"/>
  <c r="C17" i="6"/>
  <c r="G2" i="2"/>
  <c r="U22" i="18"/>
  <c r="U21" i="18"/>
  <c r="U20" i="18"/>
  <c r="U19" i="18"/>
  <c r="U18" i="18"/>
  <c r="U17" i="18"/>
  <c r="AE21" i="2"/>
  <c r="U23" i="18"/>
  <c r="U5" i="18" l="1"/>
  <c r="U6" i="18"/>
  <c r="U7" i="18"/>
  <c r="U8" i="18"/>
  <c r="U9" i="18"/>
  <c r="U10" i="18"/>
  <c r="U11" i="18"/>
  <c r="U12" i="18"/>
  <c r="U13" i="18"/>
  <c r="U14" i="18"/>
  <c r="U15" i="18"/>
  <c r="U16" i="18"/>
  <c r="U24" i="18"/>
  <c r="U25" i="18"/>
  <c r="U26" i="18"/>
  <c r="U27" i="18"/>
  <c r="U28" i="18"/>
  <c r="U29" i="18"/>
  <c r="U30" i="18"/>
  <c r="U31" i="18"/>
  <c r="U32" i="18"/>
  <c r="AB2" i="39"/>
  <c r="AB3" i="39" s="1"/>
  <c r="AC2" i="39" s="1"/>
  <c r="Y5" i="39"/>
  <c r="Z4" i="39" s="1"/>
  <c r="K10" i="2"/>
  <c r="F114" i="37"/>
  <c r="H2" i="37"/>
  <c r="H3" i="37"/>
  <c r="H4" i="37"/>
  <c r="H5" i="37"/>
  <c r="H6" i="37"/>
  <c r="H7" i="37"/>
  <c r="H8" i="37"/>
  <c r="H9" i="37"/>
  <c r="H10" i="37"/>
  <c r="H11" i="37"/>
  <c r="H12" i="37"/>
  <c r="H13" i="37"/>
  <c r="H14" i="37"/>
  <c r="H15" i="37"/>
  <c r="H16" i="37"/>
  <c r="H17" i="37"/>
  <c r="H18" i="37"/>
  <c r="H19" i="37"/>
  <c r="H20" i="37"/>
  <c r="H21" i="37"/>
  <c r="H22" i="37"/>
  <c r="H23" i="37"/>
  <c r="H24" i="37"/>
  <c r="H25" i="37"/>
  <c r="H26" i="37"/>
  <c r="H27" i="37"/>
  <c r="H28" i="37"/>
  <c r="H29" i="37"/>
  <c r="H30" i="37"/>
  <c r="H31" i="37"/>
  <c r="H32" i="37"/>
  <c r="H33" i="37"/>
  <c r="H34" i="37"/>
  <c r="H35" i="37"/>
  <c r="H36" i="37"/>
  <c r="H37" i="37"/>
  <c r="H38" i="37"/>
  <c r="H39" i="37"/>
  <c r="H40" i="37"/>
  <c r="H41" i="37"/>
  <c r="H42" i="37"/>
  <c r="H43" i="37"/>
  <c r="H44" i="37"/>
  <c r="H45" i="37"/>
  <c r="H46" i="37"/>
  <c r="H47" i="37"/>
  <c r="H48" i="37"/>
  <c r="H49" i="37"/>
  <c r="H50" i="37"/>
  <c r="H51" i="37"/>
  <c r="H52" i="37"/>
  <c r="H53" i="37"/>
  <c r="H54" i="37"/>
  <c r="H55" i="37"/>
  <c r="H56" i="37"/>
  <c r="H57" i="37"/>
  <c r="H58" i="37"/>
  <c r="H59" i="37"/>
  <c r="H60" i="37"/>
  <c r="H61" i="37"/>
  <c r="H62" i="37"/>
  <c r="H63" i="37"/>
  <c r="H64" i="37"/>
  <c r="H65" i="37"/>
  <c r="H66" i="37"/>
  <c r="H67" i="37"/>
  <c r="H68" i="37"/>
  <c r="H69" i="37"/>
  <c r="H70" i="37"/>
  <c r="G70" i="37" s="1"/>
  <c r="H71" i="37"/>
  <c r="G71" i="37" s="1"/>
  <c r="H72" i="37"/>
  <c r="G72" i="37" s="1"/>
  <c r="H73" i="37"/>
  <c r="G73" i="37" s="1"/>
  <c r="H74" i="37"/>
  <c r="G74" i="37" s="1"/>
  <c r="H75" i="37"/>
  <c r="G75" i="37" s="1"/>
  <c r="H76" i="37"/>
  <c r="H77" i="37"/>
  <c r="H78" i="37"/>
  <c r="H79" i="37"/>
  <c r="H80" i="37"/>
  <c r="H81" i="37"/>
  <c r="G81" i="37" s="1"/>
  <c r="H82" i="37"/>
  <c r="G82" i="37" s="1"/>
  <c r="H83" i="37"/>
  <c r="G83" i="37" s="1"/>
  <c r="H84" i="37"/>
  <c r="G84" i="37" s="1"/>
  <c r="H85" i="37"/>
  <c r="G85" i="37" s="1"/>
  <c r="H86" i="37"/>
  <c r="G86" i="37" s="1"/>
  <c r="H87" i="37"/>
  <c r="G87" i="37" s="1"/>
  <c r="H88" i="37"/>
  <c r="G88" i="37" s="1"/>
  <c r="H89" i="37"/>
  <c r="G89" i="37" s="1"/>
  <c r="H90" i="37"/>
  <c r="G90" i="37" s="1"/>
  <c r="H91" i="37"/>
  <c r="G91" i="37" s="1"/>
  <c r="H92" i="37"/>
  <c r="G92" i="37" s="1"/>
  <c r="H93" i="37"/>
  <c r="G93" i="37" s="1"/>
  <c r="H94" i="37"/>
  <c r="G94" i="37" s="1"/>
  <c r="H95" i="37"/>
  <c r="G95" i="37" s="1"/>
  <c r="H96" i="37"/>
  <c r="G96" i="37" s="1"/>
  <c r="H97" i="37"/>
  <c r="G97" i="37" s="1"/>
  <c r="H98" i="37"/>
  <c r="G98" i="37" s="1"/>
  <c r="H99" i="37"/>
  <c r="H100" i="37"/>
  <c r="H101" i="37"/>
  <c r="H102" i="37"/>
  <c r="H103" i="37"/>
  <c r="H104" i="37"/>
  <c r="H105" i="37"/>
  <c r="H106" i="37"/>
  <c r="H107" i="37"/>
  <c r="H108" i="37"/>
  <c r="H109" i="37"/>
  <c r="H110" i="37"/>
  <c r="H111" i="37"/>
  <c r="H112" i="37"/>
  <c r="H113" i="37"/>
  <c r="O14" i="37"/>
  <c r="O15" i="37"/>
  <c r="O16" i="37"/>
  <c r="O17" i="37"/>
  <c r="O18" i="37"/>
  <c r="O19" i="37"/>
  <c r="O20" i="37"/>
  <c r="O21" i="37"/>
  <c r="O22" i="37"/>
  <c r="O23" i="37"/>
  <c r="O24" i="37"/>
  <c r="O25" i="37"/>
  <c r="O26" i="37"/>
  <c r="O27" i="37"/>
  <c r="O28" i="37"/>
  <c r="O29" i="37"/>
  <c r="O30" i="37"/>
  <c r="O31" i="37"/>
  <c r="O32" i="37"/>
  <c r="O33" i="37"/>
  <c r="O34" i="37"/>
  <c r="O35" i="37"/>
  <c r="O36" i="37"/>
  <c r="O37" i="37"/>
  <c r="O38" i="37"/>
  <c r="O39" i="37"/>
  <c r="O40" i="37"/>
  <c r="O41" i="37"/>
  <c r="O42" i="37"/>
  <c r="O43" i="37"/>
  <c r="O44" i="37"/>
  <c r="O45" i="37"/>
  <c r="O46" i="37"/>
  <c r="O47" i="37"/>
  <c r="O48" i="37"/>
  <c r="O49" i="37"/>
  <c r="O50" i="37"/>
  <c r="O51" i="37"/>
  <c r="O52" i="37"/>
  <c r="O53" i="37"/>
  <c r="O54" i="37"/>
  <c r="O55" i="37"/>
  <c r="O56" i="37"/>
  <c r="O57" i="37"/>
  <c r="O58" i="37"/>
  <c r="O59" i="37"/>
  <c r="O60" i="37"/>
  <c r="O61" i="37"/>
  <c r="O62" i="37"/>
  <c r="O63" i="37"/>
  <c r="O64" i="37"/>
  <c r="O65" i="37"/>
  <c r="O66" i="37"/>
  <c r="O67" i="37"/>
  <c r="O68" i="37"/>
  <c r="O69" i="37"/>
  <c r="O70" i="37"/>
  <c r="O71" i="37"/>
  <c r="O72" i="37"/>
  <c r="O73" i="37"/>
  <c r="O74" i="37"/>
  <c r="O75" i="37"/>
  <c r="O76" i="37"/>
  <c r="O77" i="37"/>
  <c r="O78" i="37"/>
  <c r="O79" i="37"/>
  <c r="O80" i="37"/>
  <c r="O81" i="37"/>
  <c r="O82" i="37"/>
  <c r="O83" i="37"/>
  <c r="O84" i="37"/>
  <c r="O85" i="37"/>
  <c r="O86" i="37"/>
  <c r="O87" i="37"/>
  <c r="O88" i="37"/>
  <c r="O89" i="37"/>
  <c r="O90" i="37"/>
  <c r="O91" i="37"/>
  <c r="O92" i="37"/>
  <c r="O93" i="37"/>
  <c r="O94" i="37"/>
  <c r="O95" i="37"/>
  <c r="O96" i="37"/>
  <c r="O97" i="37"/>
  <c r="O98" i="37"/>
  <c r="O99" i="37"/>
  <c r="O100" i="37"/>
  <c r="O101" i="37"/>
  <c r="O102" i="37"/>
  <c r="O103" i="37"/>
  <c r="O104" i="37"/>
  <c r="O105" i="37"/>
  <c r="O106" i="37"/>
  <c r="O107" i="37"/>
  <c r="O108" i="37"/>
  <c r="O109" i="37"/>
  <c r="O110" i="37"/>
  <c r="O111" i="37"/>
  <c r="O112" i="37"/>
  <c r="O113" i="37"/>
  <c r="G2" i="39"/>
  <c r="G3" i="39"/>
  <c r="G4" i="39"/>
  <c r="G5" i="39"/>
  <c r="G6" i="39"/>
  <c r="G7" i="39"/>
  <c r="G8" i="39"/>
  <c r="G9" i="39"/>
  <c r="G10" i="39"/>
  <c r="G11" i="39"/>
  <c r="G12" i="39"/>
  <c r="G13" i="39"/>
  <c r="G14" i="39"/>
  <c r="G15" i="39"/>
  <c r="G16" i="39"/>
  <c r="G17" i="39"/>
  <c r="G18" i="39"/>
  <c r="G19" i="39"/>
  <c r="G20" i="39"/>
  <c r="G21" i="39"/>
  <c r="G22" i="39"/>
  <c r="G23" i="39"/>
  <c r="G24" i="39"/>
  <c r="G25" i="39"/>
  <c r="G26" i="39"/>
  <c r="G27" i="39"/>
  <c r="G28" i="39"/>
  <c r="G29" i="39"/>
  <c r="G30" i="39"/>
  <c r="G31" i="39"/>
  <c r="G32" i="39"/>
  <c r="G33" i="39"/>
  <c r="G34" i="39"/>
  <c r="G35" i="39"/>
  <c r="G36" i="39"/>
  <c r="G37" i="39"/>
  <c r="G38" i="39"/>
  <c r="G39" i="39"/>
  <c r="G40" i="39"/>
  <c r="G41" i="39"/>
  <c r="G42" i="39"/>
  <c r="G43" i="39"/>
  <c r="G44" i="39"/>
  <c r="G45" i="39"/>
  <c r="G46" i="39"/>
  <c r="G47" i="39"/>
  <c r="G48" i="39"/>
  <c r="G49" i="39"/>
  <c r="G50" i="39"/>
  <c r="G51" i="39"/>
  <c r="G52" i="39"/>
  <c r="G53" i="39"/>
  <c r="G54" i="39"/>
  <c r="G55" i="39"/>
  <c r="G56" i="39"/>
  <c r="G57" i="39"/>
  <c r="G58" i="39"/>
  <c r="G59" i="39"/>
  <c r="G60" i="39"/>
  <c r="G61" i="39"/>
  <c r="G62" i="39"/>
  <c r="G63" i="39"/>
  <c r="G64" i="39"/>
  <c r="G65" i="39"/>
  <c r="G66" i="39"/>
  <c r="G67" i="39"/>
  <c r="G68" i="39"/>
  <c r="G69" i="39"/>
  <c r="G70" i="39"/>
  <c r="G71" i="39"/>
  <c r="G72" i="39"/>
  <c r="G73" i="39"/>
  <c r="G74" i="39"/>
  <c r="G75" i="39"/>
  <c r="G76" i="39"/>
  <c r="G77" i="39"/>
  <c r="G78" i="39"/>
  <c r="G79" i="39"/>
  <c r="G80" i="39"/>
  <c r="G81" i="39"/>
  <c r="G82" i="39"/>
  <c r="G83" i="39"/>
  <c r="G84" i="39"/>
  <c r="G85" i="39"/>
  <c r="G86" i="39"/>
  <c r="G87" i="39"/>
  <c r="G88" i="39"/>
  <c r="G89" i="39"/>
  <c r="G90" i="39"/>
  <c r="G91" i="39"/>
  <c r="G92" i="39"/>
  <c r="G93" i="39"/>
  <c r="G94" i="39"/>
  <c r="G95" i="39"/>
  <c r="G96" i="39"/>
  <c r="G97" i="39"/>
  <c r="G98" i="39"/>
  <c r="G99" i="39"/>
  <c r="G100" i="39"/>
  <c r="G101" i="39"/>
  <c r="G102" i="39"/>
  <c r="G103" i="39"/>
  <c r="G104" i="39"/>
  <c r="G105" i="39"/>
  <c r="G106" i="39"/>
  <c r="G107" i="39"/>
  <c r="G108" i="39"/>
  <c r="G109" i="39"/>
  <c r="G110" i="39"/>
  <c r="G111" i="39"/>
  <c r="G112" i="39"/>
  <c r="G113" i="39"/>
  <c r="G114" i="39"/>
  <c r="G115" i="39"/>
  <c r="G116" i="39"/>
  <c r="G117" i="39"/>
  <c r="G118" i="39"/>
  <c r="G119" i="39"/>
  <c r="G120" i="39"/>
  <c r="G121" i="39"/>
  <c r="G122" i="39"/>
  <c r="G123" i="39"/>
  <c r="G124" i="39"/>
  <c r="G125" i="39"/>
  <c r="G126" i="39"/>
  <c r="G127" i="39"/>
  <c r="G128" i="39"/>
  <c r="G129" i="39"/>
  <c r="G130" i="39"/>
  <c r="G131" i="39"/>
  <c r="G132" i="39"/>
  <c r="G133" i="39"/>
  <c r="G134" i="39"/>
  <c r="G135" i="39"/>
  <c r="G136" i="39"/>
  <c r="G137" i="39"/>
  <c r="G138" i="39"/>
  <c r="G139" i="39"/>
  <c r="G140" i="39"/>
  <c r="G141" i="39"/>
  <c r="G142" i="39"/>
  <c r="G143" i="39"/>
  <c r="G144" i="39"/>
  <c r="G145" i="39"/>
  <c r="G146" i="39"/>
  <c r="G147" i="39"/>
  <c r="G148" i="39"/>
  <c r="G149" i="39"/>
  <c r="G150" i="39"/>
  <c r="G151" i="39"/>
  <c r="G152" i="39"/>
  <c r="G153" i="39"/>
  <c r="G154" i="39"/>
  <c r="G155" i="39"/>
  <c r="G156" i="39"/>
  <c r="G157" i="39"/>
  <c r="G158" i="39"/>
  <c r="G159" i="39"/>
  <c r="G160" i="39"/>
  <c r="G161" i="39"/>
  <c r="G162" i="39"/>
  <c r="G163" i="39"/>
  <c r="G164" i="39"/>
  <c r="G165" i="39"/>
  <c r="G166" i="39"/>
  <c r="G167" i="39"/>
  <c r="G168" i="39"/>
  <c r="G169" i="39"/>
  <c r="G170" i="39"/>
  <c r="G171" i="39"/>
  <c r="G172" i="39"/>
  <c r="G173" i="39"/>
  <c r="G174" i="39"/>
  <c r="G175" i="39"/>
  <c r="G176" i="39"/>
  <c r="G177" i="39"/>
  <c r="G178" i="39"/>
  <c r="G179" i="39"/>
  <c r="G180" i="39"/>
  <c r="G181" i="39"/>
  <c r="G182" i="39"/>
  <c r="G183" i="39"/>
  <c r="G184" i="39"/>
  <c r="G185" i="39"/>
  <c r="G186" i="39"/>
  <c r="G187" i="39"/>
  <c r="G188" i="39"/>
  <c r="G189" i="39"/>
  <c r="G190" i="39"/>
  <c r="G191" i="39"/>
  <c r="G192" i="39"/>
  <c r="G193" i="39"/>
  <c r="G194" i="39"/>
  <c r="G195" i="39"/>
  <c r="G196" i="39"/>
  <c r="G197" i="39"/>
  <c r="G198" i="39"/>
  <c r="G199" i="39"/>
  <c r="G200" i="39"/>
  <c r="G201" i="39"/>
  <c r="G202" i="39"/>
  <c r="G203" i="39"/>
  <c r="G204" i="39"/>
  <c r="G205" i="39"/>
  <c r="G206" i="39"/>
  <c r="G207" i="39"/>
  <c r="G208" i="39"/>
  <c r="G209" i="39"/>
  <c r="G210" i="39"/>
  <c r="G211" i="39"/>
  <c r="G212" i="39"/>
  <c r="G213" i="39"/>
  <c r="G214" i="39"/>
  <c r="G215" i="39"/>
  <c r="G216" i="39"/>
  <c r="G217" i="39"/>
  <c r="G218" i="39"/>
  <c r="CH9" i="1"/>
  <c r="CH8" i="1"/>
  <c r="CH7" i="1"/>
  <c r="CH6" i="1"/>
  <c r="CH5" i="1"/>
  <c r="CH4" i="1"/>
  <c r="CH3" i="1"/>
  <c r="BW118" i="1"/>
  <c r="CG9" i="1"/>
  <c r="CG8" i="1"/>
  <c r="CG7" i="1"/>
  <c r="CG6" i="1"/>
  <c r="CG5" i="1"/>
  <c r="CG4" i="1"/>
  <c r="CG3" i="1"/>
  <c r="CF9" i="1"/>
  <c r="CF8" i="1"/>
  <c r="CF7" i="1"/>
  <c r="CF6" i="1"/>
  <c r="CF5" i="1"/>
  <c r="CF4" i="1"/>
  <c r="CF3" i="1"/>
  <c r="CD9" i="1"/>
  <c r="CD8" i="1"/>
  <c r="CD7" i="1"/>
  <c r="CD6" i="1"/>
  <c r="CD5" i="1"/>
  <c r="CD4" i="1"/>
  <c r="CD3" i="1"/>
  <c r="CC9" i="1"/>
  <c r="CC8" i="1"/>
  <c r="CC7" i="1"/>
  <c r="CC6" i="1"/>
  <c r="CC5" i="1"/>
  <c r="CC4" i="1"/>
  <c r="CC3" i="1"/>
  <c r="CB9" i="1"/>
  <c r="CB8" i="1"/>
  <c r="CB7" i="1"/>
  <c r="CB6" i="1"/>
  <c r="CB5" i="1"/>
  <c r="CB4" i="1"/>
  <c r="CB3" i="1"/>
  <c r="CA9" i="1"/>
  <c r="CA8" i="1"/>
  <c r="CA7" i="1"/>
  <c r="CA6" i="1"/>
  <c r="CA5" i="1"/>
  <c r="CA4" i="1"/>
  <c r="CA3" i="1"/>
  <c r="BZ9" i="1"/>
  <c r="BZ8" i="1"/>
  <c r="BZ7" i="1"/>
  <c r="BZ6" i="1"/>
  <c r="BZ5" i="1"/>
  <c r="BZ4" i="1"/>
  <c r="BZ3" i="1"/>
  <c r="BY9" i="1"/>
  <c r="BY8" i="1"/>
  <c r="BY7" i="1"/>
  <c r="BY6" i="1"/>
  <c r="BY5" i="1"/>
  <c r="BY4" i="1"/>
  <c r="BY3" i="1"/>
  <c r="BX9" i="1"/>
  <c r="BX8" i="1"/>
  <c r="BX7" i="1"/>
  <c r="BX6" i="1"/>
  <c r="BX5" i="1"/>
  <c r="BX4" i="1"/>
  <c r="BX3" i="1"/>
  <c r="BW9" i="1"/>
  <c r="BW8" i="1"/>
  <c r="BW7" i="1"/>
  <c r="BW6" i="1"/>
  <c r="BW5" i="1"/>
  <c r="BW4" i="1"/>
  <c r="BW3" i="1"/>
  <c r="BX124" i="1"/>
  <c r="BY124" i="1" s="1"/>
  <c r="BX122" i="1"/>
  <c r="AC1" i="39" l="1"/>
  <c r="Z1" i="39"/>
  <c r="Z2" i="39"/>
  <c r="Z3" i="39"/>
  <c r="K5" i="47"/>
  <c r="J5" i="47"/>
  <c r="E5" i="47"/>
  <c r="F5" i="47"/>
  <c r="L5" i="47"/>
  <c r="M5" i="47"/>
  <c r="L3" i="47"/>
  <c r="D3" i="47"/>
  <c r="G3" i="47"/>
  <c r="M3" i="47"/>
  <c r="J3" i="47"/>
  <c r="F3" i="47"/>
  <c r="B3" i="47"/>
  <c r="N13" i="14"/>
  <c r="K13" i="14"/>
  <c r="CH49" i="1"/>
  <c r="CH48" i="1"/>
  <c r="CH47" i="1"/>
  <c r="CH46" i="1"/>
  <c r="CH45" i="1"/>
  <c r="CH44" i="1"/>
  <c r="CH43" i="1"/>
  <c r="CH42" i="1"/>
  <c r="CH41" i="1"/>
  <c r="CH40" i="1"/>
  <c r="CH39" i="1"/>
  <c r="CH38" i="1"/>
  <c r="CH50" i="1"/>
  <c r="BW121" i="1"/>
  <c r="CG49" i="1"/>
  <c r="CG48" i="1"/>
  <c r="CG47" i="1"/>
  <c r="CG46" i="1"/>
  <c r="CG45" i="1"/>
  <c r="CG44" i="1"/>
  <c r="CG43" i="1"/>
  <c r="CG42" i="1"/>
  <c r="CG41" i="1"/>
  <c r="CG40" i="1"/>
  <c r="CG39" i="1"/>
  <c r="CG38" i="1"/>
  <c r="CG50" i="1"/>
  <c r="CF49" i="1"/>
  <c r="CF48" i="1"/>
  <c r="CF47" i="1"/>
  <c r="CF46" i="1"/>
  <c r="CF45" i="1"/>
  <c r="CF44" i="1"/>
  <c r="CF43" i="1"/>
  <c r="CF42" i="1"/>
  <c r="CF41" i="1"/>
  <c r="CF40" i="1"/>
  <c r="CF39" i="1"/>
  <c r="CF38" i="1"/>
  <c r="CF50" i="1"/>
  <c r="CC49" i="1"/>
  <c r="CC48" i="1"/>
  <c r="CC47" i="1"/>
  <c r="CC46" i="1"/>
  <c r="CC45" i="1"/>
  <c r="CC44" i="1"/>
  <c r="CC43" i="1"/>
  <c r="CC42" i="1"/>
  <c r="CC41" i="1"/>
  <c r="CC40" i="1"/>
  <c r="CC39" i="1"/>
  <c r="CC38" i="1"/>
  <c r="CC50" i="1"/>
  <c r="CB49" i="1"/>
  <c r="CB48" i="1"/>
  <c r="CB47" i="1"/>
  <c r="CB46" i="1"/>
  <c r="CB45" i="1"/>
  <c r="CB44" i="1"/>
  <c r="CB43" i="1"/>
  <c r="CB42" i="1"/>
  <c r="CB41" i="1"/>
  <c r="CB40" i="1"/>
  <c r="CB39" i="1"/>
  <c r="CB38" i="1"/>
  <c r="CB50" i="1"/>
  <c r="CA49" i="1"/>
  <c r="CA48" i="1"/>
  <c r="CA47" i="1"/>
  <c r="CA46" i="1"/>
  <c r="CA45" i="1"/>
  <c r="CA44" i="1"/>
  <c r="CA43" i="1"/>
  <c r="CA42" i="1"/>
  <c r="CA41" i="1"/>
  <c r="CA40" i="1"/>
  <c r="CA39" i="1"/>
  <c r="CA38" i="1"/>
  <c r="CA50" i="1"/>
  <c r="BZ50" i="1"/>
  <c r="BZ49" i="1"/>
  <c r="BZ48" i="1"/>
  <c r="BZ47" i="1"/>
  <c r="BZ46" i="1"/>
  <c r="BZ45" i="1"/>
  <c r="BZ44" i="1"/>
  <c r="BZ43" i="1"/>
  <c r="BZ42" i="1"/>
  <c r="BZ41" i="1"/>
  <c r="BZ40" i="1"/>
  <c r="BZ39" i="1"/>
  <c r="BZ38" i="1"/>
  <c r="BY50" i="1"/>
  <c r="BY49" i="1"/>
  <c r="BY48" i="1"/>
  <c r="BY47" i="1"/>
  <c r="BY46" i="1"/>
  <c r="BY45" i="1"/>
  <c r="BY44" i="1"/>
  <c r="BY43" i="1"/>
  <c r="BY42" i="1"/>
  <c r="BY41" i="1"/>
  <c r="BY40" i="1"/>
  <c r="BY39" i="1"/>
  <c r="BY38" i="1"/>
  <c r="BX50" i="1"/>
  <c r="BX49" i="1"/>
  <c r="BX48" i="1"/>
  <c r="BX47" i="1"/>
  <c r="BX46" i="1"/>
  <c r="BX45" i="1"/>
  <c r="BX44" i="1"/>
  <c r="BX43" i="1"/>
  <c r="BX42" i="1"/>
  <c r="BX41" i="1"/>
  <c r="BX40" i="1"/>
  <c r="BX39" i="1"/>
  <c r="BX38" i="1"/>
  <c r="BW50" i="1"/>
  <c r="BW49" i="1"/>
  <c r="BW48" i="1"/>
  <c r="BW47" i="1"/>
  <c r="BW46" i="1"/>
  <c r="BW45" i="1"/>
  <c r="BW44" i="1"/>
  <c r="BW43" i="1"/>
  <c r="BW42" i="1"/>
  <c r="BW41" i="1"/>
  <c r="BW40" i="1"/>
  <c r="BW39" i="1"/>
  <c r="BW38" i="1"/>
  <c r="BU9" i="1" l="1"/>
  <c r="BU8" i="1"/>
  <c r="BU7" i="1"/>
  <c r="BU6" i="1"/>
  <c r="BU5" i="1"/>
  <c r="BU4" i="1"/>
  <c r="BU3" i="1"/>
  <c r="BT9" i="1"/>
  <c r="BT8" i="1"/>
  <c r="BT7" i="1"/>
  <c r="BT6" i="1"/>
  <c r="BT5" i="1"/>
  <c r="BT4" i="1"/>
  <c r="BT3" i="1"/>
  <c r="BS9" i="1"/>
  <c r="BS8" i="1"/>
  <c r="BS7" i="1"/>
  <c r="BS6" i="1"/>
  <c r="BS5" i="1"/>
  <c r="BS4" i="1"/>
  <c r="BS3" i="1"/>
  <c r="BR9" i="1"/>
  <c r="BR8" i="1"/>
  <c r="BR7" i="1"/>
  <c r="BR6" i="1"/>
  <c r="BR5" i="1"/>
  <c r="BR4" i="1"/>
  <c r="BR3" i="1"/>
  <c r="O10" i="2"/>
  <c r="P38" i="37" s="1"/>
  <c r="AF16" i="37"/>
  <c r="AE16" i="37"/>
  <c r="AD16" i="37"/>
  <c r="AD17" i="37"/>
  <c r="AD18" i="37" s="1"/>
  <c r="F2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D67" i="4"/>
  <c r="C20" i="7"/>
  <c r="BQ113" i="1"/>
  <c r="BV113" i="1"/>
  <c r="P43" i="37" l="1"/>
  <c r="P42" i="37"/>
  <c r="P41" i="37"/>
  <c r="P40" i="37"/>
  <c r="S113" i="37"/>
  <c r="O5" i="37"/>
  <c r="S112" i="37"/>
  <c r="S111" i="37"/>
  <c r="S103" i="37"/>
  <c r="S110" i="37"/>
  <c r="S102" i="37"/>
  <c r="S109" i="37"/>
  <c r="S101" i="37"/>
  <c r="S100" i="37"/>
  <c r="S99" i="37"/>
  <c r="O3" i="37"/>
  <c r="O4" i="37"/>
  <c r="O2" i="37"/>
  <c r="P39" i="37"/>
  <c r="P36" i="37"/>
  <c r="O11" i="2"/>
  <c r="P37" i="37"/>
  <c r="P35" i="37"/>
  <c r="P34" i="37"/>
  <c r="BR113" i="1"/>
  <c r="AD19" i="37"/>
  <c r="AD20" i="37" s="1"/>
  <c r="AE19" i="37"/>
  <c r="AE20" i="37" s="1"/>
  <c r="AF19" i="37"/>
  <c r="AF20" i="37" s="1"/>
  <c r="S105" i="37" l="1"/>
  <c r="S104" i="37"/>
  <c r="O8" i="37"/>
  <c r="S108" i="37"/>
  <c r="S107" i="37"/>
  <c r="S106" i="37"/>
  <c r="O9" i="37"/>
  <c r="O6" i="37"/>
  <c r="O7" i="37"/>
  <c r="O12" i="2"/>
  <c r="P15" i="37"/>
  <c r="P14" i="37"/>
  <c r="P16" i="37"/>
  <c r="P17" i="37"/>
  <c r="P18" i="37"/>
  <c r="K11" i="2"/>
  <c r="K12" i="2" s="1"/>
  <c r="K13" i="2" s="1"/>
  <c r="J10" i="2"/>
  <c r="I10" i="2"/>
  <c r="I11" i="2" s="1"/>
  <c r="I12" i="2" s="1"/>
  <c r="I13" i="2" s="1"/>
  <c r="L29" i="37" l="1"/>
  <c r="L65" i="37"/>
  <c r="L64" i="37"/>
  <c r="L30" i="37"/>
  <c r="L32" i="37"/>
  <c r="L63" i="37"/>
  <c r="L31" i="37"/>
  <c r="L62" i="37"/>
  <c r="L33" i="37"/>
  <c r="P30" i="37"/>
  <c r="P33" i="37"/>
  <c r="P32" i="37"/>
  <c r="P29" i="37"/>
  <c r="P31" i="37"/>
  <c r="Q63" i="37"/>
  <c r="Q65" i="37"/>
  <c r="Q62" i="37"/>
  <c r="Q64" i="37"/>
  <c r="J11" i="2"/>
  <c r="J12" i="2" s="1"/>
  <c r="O11" i="37"/>
  <c r="O13" i="37"/>
  <c r="O10" i="37"/>
  <c r="O12" i="37"/>
  <c r="P21" i="37"/>
  <c r="O13" i="2"/>
  <c r="P23" i="37"/>
  <c r="P19" i="37"/>
  <c r="P22" i="37"/>
  <c r="P20" i="37"/>
  <c r="AA83" i="1"/>
  <c r="AA82" i="1"/>
  <c r="AA59" i="1"/>
  <c r="AA58" i="1"/>
  <c r="AA57" i="1"/>
  <c r="AA54" i="1"/>
  <c r="AA52" i="1"/>
  <c r="AA51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3" i="1"/>
  <c r="AA55" i="1"/>
  <c r="AA56" i="1"/>
  <c r="AA60" i="1"/>
  <c r="AA61" i="1"/>
  <c r="AA62" i="1"/>
  <c r="AA63" i="1"/>
  <c r="AA64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L43" i="46"/>
  <c r="L37" i="46"/>
  <c r="K43" i="46"/>
  <c r="K42" i="46"/>
  <c r="K41" i="46"/>
  <c r="K40" i="46"/>
  <c r="K39" i="46"/>
  <c r="K38" i="46"/>
  <c r="K37" i="46"/>
  <c r="K36" i="46"/>
  <c r="K35" i="46"/>
  <c r="K34" i="46"/>
  <c r="L34" i="46" s="1"/>
  <c r="K33" i="46"/>
  <c r="L33" i="46" s="1"/>
  <c r="K32" i="46"/>
  <c r="K46" i="46" s="1"/>
  <c r="N28" i="46"/>
  <c r="N42" i="46" s="1"/>
  <c r="N27" i="46"/>
  <c r="N41" i="46" s="1"/>
  <c r="N26" i="46"/>
  <c r="N40" i="46" s="1"/>
  <c r="N25" i="46"/>
  <c r="N39" i="46" s="1"/>
  <c r="N24" i="46"/>
  <c r="N38" i="46" s="1"/>
  <c r="N23" i="46"/>
  <c r="N37" i="46" s="1"/>
  <c r="M28" i="46"/>
  <c r="M29" i="46" s="1"/>
  <c r="M43" i="46" s="1"/>
  <c r="M27" i="46"/>
  <c r="M41" i="46" s="1"/>
  <c r="M26" i="46"/>
  <c r="M40" i="46" s="1"/>
  <c r="M25" i="46"/>
  <c r="M39" i="46" s="1"/>
  <c r="M24" i="46"/>
  <c r="M38" i="46" s="1"/>
  <c r="M23" i="46"/>
  <c r="M37" i="46" s="1"/>
  <c r="M22" i="46"/>
  <c r="M36" i="46" s="1"/>
  <c r="M21" i="46"/>
  <c r="M35" i="46" s="1"/>
  <c r="M20" i="46"/>
  <c r="M34" i="46" s="1"/>
  <c r="M19" i="46"/>
  <c r="M33" i="46" s="1"/>
  <c r="M18" i="46"/>
  <c r="M32" i="46" s="1"/>
  <c r="M46" i="46" s="1"/>
  <c r="L28" i="46"/>
  <c r="L42" i="46" s="1"/>
  <c r="L27" i="46"/>
  <c r="L41" i="46" s="1"/>
  <c r="L26" i="46"/>
  <c r="L40" i="46" s="1"/>
  <c r="L25" i="46"/>
  <c r="L39" i="46" s="1"/>
  <c r="L24" i="46"/>
  <c r="L38" i="46" s="1"/>
  <c r="L22" i="46"/>
  <c r="L36" i="46" s="1"/>
  <c r="L21" i="46"/>
  <c r="L35" i="46" s="1"/>
  <c r="L20" i="46"/>
  <c r="L19" i="46"/>
  <c r="L18" i="46"/>
  <c r="L32" i="46" s="1"/>
  <c r="L46" i="46" s="1"/>
  <c r="AB22" i="37"/>
  <c r="AB21" i="37"/>
  <c r="AB18" i="37"/>
  <c r="AB17" i="37"/>
  <c r="AB14" i="37"/>
  <c r="AB5" i="37"/>
  <c r="N29" i="46" l="1"/>
  <c r="N43" i="46" s="1"/>
  <c r="L45" i="37"/>
  <c r="L67" i="37"/>
  <c r="L48" i="37"/>
  <c r="L69" i="37"/>
  <c r="L46" i="37"/>
  <c r="L66" i="37"/>
  <c r="L68" i="37"/>
  <c r="L47" i="37"/>
  <c r="L44" i="37"/>
  <c r="P45" i="37"/>
  <c r="P47" i="37"/>
  <c r="P48" i="37"/>
  <c r="P44" i="37"/>
  <c r="P46" i="37"/>
  <c r="Q66" i="37"/>
  <c r="Q67" i="37"/>
  <c r="Q69" i="37"/>
  <c r="Q68" i="37"/>
  <c r="L51" i="37"/>
  <c r="L25" i="37"/>
  <c r="L53" i="37"/>
  <c r="L27" i="37"/>
  <c r="L59" i="37"/>
  <c r="L28" i="37"/>
  <c r="L61" i="37"/>
  <c r="L49" i="37"/>
  <c r="L24" i="37"/>
  <c r="L58" i="37"/>
  <c r="L50" i="37"/>
  <c r="L60" i="37"/>
  <c r="L26" i="37"/>
  <c r="L52" i="37"/>
  <c r="P52" i="37"/>
  <c r="P24" i="37"/>
  <c r="P49" i="37"/>
  <c r="P25" i="37"/>
  <c r="P26" i="37"/>
  <c r="P50" i="37"/>
  <c r="P28" i="37"/>
  <c r="Q59" i="37"/>
  <c r="P27" i="37"/>
  <c r="P53" i="37"/>
  <c r="Q58" i="37"/>
  <c r="Q61" i="37"/>
  <c r="P51" i="37"/>
  <c r="Q60" i="37"/>
  <c r="J13" i="2"/>
  <c r="M42" i="46"/>
  <c r="N22" i="46"/>
  <c r="U20" i="39"/>
  <c r="U16" i="39"/>
  <c r="R20" i="39"/>
  <c r="R16" i="39"/>
  <c r="T20" i="39"/>
  <c r="T16" i="39"/>
  <c r="S20" i="39"/>
  <c r="S16" i="39"/>
  <c r="Y10" i="37"/>
  <c r="X10" i="37"/>
  <c r="W10" i="37"/>
  <c r="H114" i="37" l="1"/>
  <c r="G109" i="37"/>
  <c r="L109" i="37" s="1"/>
  <c r="N21" i="46"/>
  <c r="N36" i="46"/>
  <c r="AB10" i="37"/>
  <c r="N20" i="46" l="1"/>
  <c r="N35" i="46"/>
  <c r="E3" i="45"/>
  <c r="F3" i="45"/>
  <c r="L19" i="47"/>
  <c r="K19" i="47"/>
  <c r="L18" i="47"/>
  <c r="K18" i="47"/>
  <c r="I27" i="2"/>
  <c r="I26" i="2"/>
  <c r="I25" i="2"/>
  <c r="I24" i="2"/>
  <c r="I23" i="2"/>
  <c r="I22" i="2"/>
  <c r="I21" i="2"/>
  <c r="I20" i="2"/>
  <c r="I19" i="2"/>
  <c r="I18" i="2"/>
  <c r="I17" i="2"/>
  <c r="I16" i="2"/>
  <c r="D18" i="2"/>
  <c r="N15" i="2"/>
  <c r="M2" i="2"/>
  <c r="M3" i="2" s="1"/>
  <c r="M4" i="2" s="1"/>
  <c r="M5" i="2" s="1"/>
  <c r="M6" i="2" s="1"/>
  <c r="M7" i="2" s="1"/>
  <c r="M8" i="2" s="1"/>
  <c r="M9" i="2" s="1"/>
  <c r="M10" i="2" s="1"/>
  <c r="M11" i="2" s="1"/>
  <c r="M12" i="2" s="1"/>
  <c r="M13" i="2" s="1"/>
  <c r="M15" i="2" s="1"/>
  <c r="N19" i="46" l="1"/>
  <c r="N34" i="46"/>
  <c r="Y19" i="47"/>
  <c r="Y18" i="47"/>
  <c r="Y17" i="47"/>
  <c r="Y16" i="47"/>
  <c r="Y15" i="47"/>
  <c r="Y14" i="47"/>
  <c r="Y13" i="47"/>
  <c r="Y12" i="47"/>
  <c r="Y11" i="47"/>
  <c r="Y10" i="47"/>
  <c r="Y9" i="47"/>
  <c r="Y8" i="47"/>
  <c r="I137" i="49"/>
  <c r="I136" i="49"/>
  <c r="I135" i="49"/>
  <c r="I133" i="49"/>
  <c r="I134" i="49" s="1"/>
  <c r="C130" i="49"/>
  <c r="D130" i="49" s="1"/>
  <c r="C129" i="49"/>
  <c r="D129" i="49" s="1"/>
  <c r="C121" i="49"/>
  <c r="D121" i="49" s="1"/>
  <c r="C120" i="49"/>
  <c r="D120" i="49" s="1"/>
  <c r="C119" i="49"/>
  <c r="D119" i="49" s="1"/>
  <c r="I114" i="49"/>
  <c r="I113" i="49"/>
  <c r="I112" i="49"/>
  <c r="I110" i="49"/>
  <c r="I111" i="49" s="1"/>
  <c r="C109" i="49"/>
  <c r="D109" i="49" s="1"/>
  <c r="C108" i="49"/>
  <c r="D108" i="49" s="1"/>
  <c r="C107" i="49"/>
  <c r="D107" i="49" s="1"/>
  <c r="C106" i="49"/>
  <c r="D106" i="49" s="1"/>
  <c r="C105" i="49"/>
  <c r="D105" i="49" s="1"/>
  <c r="C98" i="49"/>
  <c r="D98" i="49" s="1"/>
  <c r="C97" i="49"/>
  <c r="D97" i="49" s="1"/>
  <c r="C96" i="49"/>
  <c r="D96" i="49" s="1"/>
  <c r="E96" i="49" s="1"/>
  <c r="I91" i="49"/>
  <c r="I90" i="49"/>
  <c r="I89" i="49"/>
  <c r="I87" i="49"/>
  <c r="I88" i="49" s="1"/>
  <c r="C84" i="49"/>
  <c r="D84" i="49" s="1"/>
  <c r="C83" i="49"/>
  <c r="D83" i="49" s="1"/>
  <c r="C75" i="49"/>
  <c r="D75" i="49" s="1"/>
  <c r="C74" i="49"/>
  <c r="D74" i="49" s="1"/>
  <c r="C73" i="49"/>
  <c r="D73" i="49" s="1"/>
  <c r="I68" i="49"/>
  <c r="I67" i="49"/>
  <c r="I66" i="49"/>
  <c r="I64" i="49"/>
  <c r="I65" i="49" s="1"/>
  <c r="C61" i="49"/>
  <c r="D61" i="49" s="1"/>
  <c r="C60" i="49"/>
  <c r="D60" i="49" s="1"/>
  <c r="C58" i="49"/>
  <c r="D58" i="49" s="1"/>
  <c r="I45" i="49"/>
  <c r="I44" i="49"/>
  <c r="I43" i="49"/>
  <c r="I41" i="49"/>
  <c r="I42" i="49" s="1"/>
  <c r="C38" i="49"/>
  <c r="D38" i="49" s="1"/>
  <c r="I22" i="49"/>
  <c r="I21" i="49"/>
  <c r="I20" i="49"/>
  <c r="C15" i="49"/>
  <c r="D15" i="49" s="1"/>
  <c r="C12" i="49"/>
  <c r="D12" i="49" s="1"/>
  <c r="I18" i="49"/>
  <c r="I19" i="49" s="1"/>
  <c r="K26" i="39"/>
  <c r="K25" i="39"/>
  <c r="Y25" i="2"/>
  <c r="Y26" i="2"/>
  <c r="AA26" i="2" s="1"/>
  <c r="Y22" i="2"/>
  <c r="AA22" i="2" s="1"/>
  <c r="AC22" i="2" s="1"/>
  <c r="D17" i="17" s="1"/>
  <c r="Y23" i="2"/>
  <c r="Y24" i="2"/>
  <c r="AA24" i="2" s="1"/>
  <c r="AC24" i="2" s="1"/>
  <c r="V26" i="2"/>
  <c r="AC26" i="2"/>
  <c r="V25" i="2"/>
  <c r="AA25" i="2"/>
  <c r="AC25" i="2"/>
  <c r="LA26" i="17"/>
  <c r="KL26" i="17"/>
  <c r="KD26" i="17"/>
  <c r="JY26" i="17"/>
  <c r="JJ26" i="17"/>
  <c r="JB26" i="17"/>
  <c r="IW26" i="17"/>
  <c r="IH26" i="17"/>
  <c r="HZ26" i="17"/>
  <c r="HT26" i="17"/>
  <c r="HE26" i="17"/>
  <c r="GW26" i="17"/>
  <c r="GR26" i="17"/>
  <c r="GC26" i="17"/>
  <c r="FU26" i="17"/>
  <c r="FP26" i="17"/>
  <c r="FA26" i="17"/>
  <c r="ES26" i="17"/>
  <c r="EM26" i="17"/>
  <c r="DX26" i="17"/>
  <c r="DP26" i="17"/>
  <c r="DK26" i="17"/>
  <c r="CV26" i="17"/>
  <c r="CN26" i="17"/>
  <c r="CI26" i="17"/>
  <c r="BT26" i="17"/>
  <c r="BL26" i="17"/>
  <c r="BG26" i="17"/>
  <c r="AR26" i="17"/>
  <c r="AJ26" i="17"/>
  <c r="H26" i="17"/>
  <c r="P26" i="17"/>
  <c r="AE26" i="17"/>
  <c r="LA22" i="17"/>
  <c r="KL22" i="17"/>
  <c r="KD22" i="17"/>
  <c r="JY22" i="17"/>
  <c r="JJ22" i="17"/>
  <c r="JB22" i="17"/>
  <c r="IW22" i="17"/>
  <c r="IH22" i="17"/>
  <c r="HZ22" i="17"/>
  <c r="HT22" i="17"/>
  <c r="HE22" i="17"/>
  <c r="GW22" i="17"/>
  <c r="GR22" i="17"/>
  <c r="GC22" i="17"/>
  <c r="FU22" i="17"/>
  <c r="FP22" i="17"/>
  <c r="FA22" i="17"/>
  <c r="ES22" i="17"/>
  <c r="EM22" i="17"/>
  <c r="DX22" i="17"/>
  <c r="DP22" i="17"/>
  <c r="DK22" i="17"/>
  <c r="CV22" i="17"/>
  <c r="CN22" i="17"/>
  <c r="CI22" i="17"/>
  <c r="BT22" i="17"/>
  <c r="BL22" i="17"/>
  <c r="BG22" i="17"/>
  <c r="AR22" i="17"/>
  <c r="AJ22" i="17"/>
  <c r="AE22" i="17"/>
  <c r="P22" i="17"/>
  <c r="H22" i="17"/>
  <c r="Y21" i="2"/>
  <c r="AC21" i="2" s="1"/>
  <c r="SP26" i="17"/>
  <c r="SA26" i="17"/>
  <c r="RS26" i="17"/>
  <c r="RN26" i="17"/>
  <c r="QY26" i="17"/>
  <c r="QQ26" i="17"/>
  <c r="QL26" i="17"/>
  <c r="PW26" i="17"/>
  <c r="PO26" i="17"/>
  <c r="PJ26" i="17"/>
  <c r="OU26" i="17"/>
  <c r="OM26" i="17"/>
  <c r="OH26" i="17"/>
  <c r="NS26" i="17"/>
  <c r="NK26" i="17"/>
  <c r="NF26" i="17"/>
  <c r="MQ26" i="17"/>
  <c r="MI26" i="17"/>
  <c r="MD26" i="17"/>
  <c r="LO26" i="17"/>
  <c r="LG26" i="17"/>
  <c r="V22" i="2"/>
  <c r="V23" i="2"/>
  <c r="V24" i="2"/>
  <c r="AC23" i="2"/>
  <c r="V21" i="2"/>
  <c r="LA18" i="17"/>
  <c r="KJ18" i="17"/>
  <c r="KD18" i="17"/>
  <c r="JY18" i="17"/>
  <c r="JH18" i="17"/>
  <c r="JB18" i="17"/>
  <c r="IW18" i="17"/>
  <c r="IF18" i="17"/>
  <c r="HZ18" i="17"/>
  <c r="HT18" i="17"/>
  <c r="HC18" i="17"/>
  <c r="GW18" i="17"/>
  <c r="GR18" i="17"/>
  <c r="GA18" i="17"/>
  <c r="FU18" i="17"/>
  <c r="FP18" i="17"/>
  <c r="EY18" i="17"/>
  <c r="ES18" i="17"/>
  <c r="EM18" i="17"/>
  <c r="DV18" i="17"/>
  <c r="DP18" i="17"/>
  <c r="DK18" i="17"/>
  <c r="CT18" i="17"/>
  <c r="CN18" i="17"/>
  <c r="CI18" i="17"/>
  <c r="BR18" i="17"/>
  <c r="BL18" i="17"/>
  <c r="BG18" i="17"/>
  <c r="AP18" i="17"/>
  <c r="AJ18" i="17"/>
  <c r="AE18" i="17"/>
  <c r="N18" i="17"/>
  <c r="H18" i="17"/>
  <c r="LA16" i="17"/>
  <c r="KJ16" i="17"/>
  <c r="KD16" i="17"/>
  <c r="JY16" i="17"/>
  <c r="JH16" i="17"/>
  <c r="JB16" i="17"/>
  <c r="IW16" i="17"/>
  <c r="IF16" i="17"/>
  <c r="HZ16" i="17"/>
  <c r="HT16" i="17"/>
  <c r="HC16" i="17"/>
  <c r="GW16" i="17"/>
  <c r="GR16" i="17"/>
  <c r="GA16" i="17"/>
  <c r="FU16" i="17"/>
  <c r="FP16" i="17"/>
  <c r="EY16" i="17"/>
  <c r="ES16" i="17"/>
  <c r="EM16" i="17"/>
  <c r="DV16" i="17"/>
  <c r="DP16" i="17"/>
  <c r="DK16" i="17"/>
  <c r="CT16" i="17"/>
  <c r="CN16" i="17"/>
  <c r="CI16" i="17"/>
  <c r="BR16" i="17"/>
  <c r="BL16" i="17"/>
  <c r="BG16" i="17"/>
  <c r="AP16" i="17"/>
  <c r="AJ16" i="17"/>
  <c r="AE16" i="17"/>
  <c r="N16" i="17"/>
  <c r="H16" i="17"/>
  <c r="SP16" i="17"/>
  <c r="RY16" i="17"/>
  <c r="RS16" i="17"/>
  <c r="RN16" i="17"/>
  <c r="QW16" i="17"/>
  <c r="QQ16" i="17"/>
  <c r="QL16" i="17"/>
  <c r="PU16" i="17"/>
  <c r="PO16" i="17"/>
  <c r="PJ16" i="17"/>
  <c r="OS16" i="17"/>
  <c r="OM16" i="17"/>
  <c r="OH16" i="17"/>
  <c r="NQ16" i="17"/>
  <c r="NK16" i="17"/>
  <c r="NF16" i="17"/>
  <c r="MO16" i="17"/>
  <c r="MI16" i="17"/>
  <c r="MD16" i="17"/>
  <c r="LM16" i="17"/>
  <c r="LG16" i="17"/>
  <c r="LA17" i="17"/>
  <c r="KJ17" i="17"/>
  <c r="KD17" i="17"/>
  <c r="JY17" i="17"/>
  <c r="JH17" i="17"/>
  <c r="JB17" i="17"/>
  <c r="IW17" i="17"/>
  <c r="IF17" i="17"/>
  <c r="HZ17" i="17"/>
  <c r="HT17" i="17"/>
  <c r="HC17" i="17"/>
  <c r="GW17" i="17"/>
  <c r="GR17" i="17"/>
  <c r="GA17" i="17"/>
  <c r="FU17" i="17"/>
  <c r="FP17" i="17"/>
  <c r="EY17" i="17"/>
  <c r="ES17" i="17"/>
  <c r="EM17" i="17"/>
  <c r="DV17" i="17"/>
  <c r="DP17" i="17"/>
  <c r="DK17" i="17"/>
  <c r="CT17" i="17"/>
  <c r="CN17" i="17"/>
  <c r="CI17" i="17"/>
  <c r="BR17" i="17"/>
  <c r="BL17" i="17"/>
  <c r="BG17" i="17"/>
  <c r="AP17" i="17"/>
  <c r="AJ17" i="17"/>
  <c r="AE17" i="17"/>
  <c r="N17" i="17"/>
  <c r="H17" i="17"/>
  <c r="LG19" i="17"/>
  <c r="LM19" i="17"/>
  <c r="MD19" i="17"/>
  <c r="MI19" i="17"/>
  <c r="MO19" i="17"/>
  <c r="NF19" i="17"/>
  <c r="NK19" i="17"/>
  <c r="NQ19" i="17"/>
  <c r="OH19" i="17"/>
  <c r="OM19" i="17"/>
  <c r="OS19" i="17"/>
  <c r="PJ19" i="17"/>
  <c r="PO19" i="17"/>
  <c r="PU19" i="17"/>
  <c r="QL19" i="17"/>
  <c r="QQ19" i="17"/>
  <c r="QW19" i="17"/>
  <c r="RN19" i="17"/>
  <c r="RS19" i="17"/>
  <c r="RY19" i="17"/>
  <c r="SP19" i="17"/>
  <c r="Y20" i="47" l="1"/>
  <c r="N18" i="46"/>
  <c r="N32" i="46" s="1"/>
  <c r="N46" i="46" s="1"/>
  <c r="N33" i="46"/>
  <c r="C114" i="49"/>
  <c r="K84" i="49"/>
  <c r="E121" i="49"/>
  <c r="E129" i="49"/>
  <c r="E130" i="49"/>
  <c r="E120" i="49"/>
  <c r="E119" i="49"/>
  <c r="E107" i="49"/>
  <c r="E108" i="49"/>
  <c r="E109" i="49"/>
  <c r="E106" i="49"/>
  <c r="E105" i="49"/>
  <c r="E98" i="49"/>
  <c r="E97" i="49"/>
  <c r="E74" i="49"/>
  <c r="E75" i="49"/>
  <c r="E83" i="49"/>
  <c r="E84" i="49"/>
  <c r="E73" i="49"/>
  <c r="E61" i="49"/>
  <c r="E60" i="49"/>
  <c r="E58" i="49"/>
  <c r="E38" i="49"/>
  <c r="E15" i="49"/>
  <c r="E12" i="49"/>
  <c r="B12" i="45"/>
  <c r="B11" i="45"/>
  <c r="B10" i="45"/>
  <c r="B9" i="45"/>
  <c r="B8" i="45"/>
  <c r="E38" i="18" l="1"/>
  <c r="E37" i="18"/>
  <c r="E36" i="18"/>
  <c r="E35" i="18"/>
  <c r="A1" i="18"/>
  <c r="AF11" i="37"/>
  <c r="AE11" i="37"/>
  <c r="AD11" i="37"/>
  <c r="AF14" i="37"/>
  <c r="AE14" i="37"/>
  <c r="AD14" i="37"/>
  <c r="M7" i="47"/>
  <c r="L7" i="47"/>
  <c r="K7" i="47"/>
  <c r="J7" i="47"/>
  <c r="I7" i="47"/>
  <c r="H7" i="47"/>
  <c r="G7" i="47"/>
  <c r="F7" i="47"/>
  <c r="E7" i="47"/>
  <c r="D7" i="47"/>
  <c r="C7" i="47"/>
  <c r="B7" i="47"/>
  <c r="B8" i="47" l="1"/>
  <c r="B22" i="47"/>
  <c r="B23" i="47"/>
  <c r="B21" i="47"/>
  <c r="B12" i="47"/>
  <c r="B20" i="47"/>
  <c r="B11" i="47"/>
  <c r="B9" i="47"/>
  <c r="B24" i="47"/>
  <c r="B10" i="47"/>
  <c r="K26" i="41"/>
  <c r="J26" i="41"/>
  <c r="I26" i="41"/>
  <c r="C26" i="41"/>
  <c r="J24" i="41"/>
  <c r="C24" i="41"/>
  <c r="B24" i="41"/>
  <c r="D22" i="41"/>
  <c r="C22" i="41"/>
  <c r="M20" i="41"/>
  <c r="M23" i="41" s="1"/>
  <c r="L20" i="41"/>
  <c r="L25" i="41" s="1"/>
  <c r="K20" i="41"/>
  <c r="K25" i="41" s="1"/>
  <c r="J20" i="41"/>
  <c r="J25" i="41" s="1"/>
  <c r="I20" i="41"/>
  <c r="I25" i="41" s="1"/>
  <c r="H20" i="41"/>
  <c r="H26" i="41" s="1"/>
  <c r="G20" i="41"/>
  <c r="G23" i="41" s="1"/>
  <c r="F20" i="41"/>
  <c r="F26" i="41" s="1"/>
  <c r="E20" i="41"/>
  <c r="E26" i="41" s="1"/>
  <c r="D20" i="41"/>
  <c r="D25" i="41" s="1"/>
  <c r="C20" i="41"/>
  <c r="C25" i="41" s="1"/>
  <c r="B20" i="41"/>
  <c r="B23" i="41" s="1"/>
  <c r="D26" i="41" l="1"/>
  <c r="B22" i="41"/>
  <c r="D24" i="41"/>
  <c r="I24" i="41"/>
  <c r="I22" i="41"/>
  <c r="J22" i="41"/>
  <c r="K24" i="41"/>
  <c r="L26" i="41"/>
  <c r="K22" i="41"/>
  <c r="L24" i="41"/>
  <c r="L22" i="41"/>
  <c r="B26" i="41"/>
  <c r="M25" i="41"/>
  <c r="F23" i="41"/>
  <c r="F25" i="41"/>
  <c r="G25" i="41"/>
  <c r="H23" i="41"/>
  <c r="H25" i="41"/>
  <c r="E22" i="41"/>
  <c r="I23" i="41"/>
  <c r="M24" i="41"/>
  <c r="B25" i="41"/>
  <c r="E23" i="41"/>
  <c r="E25" i="41"/>
  <c r="M22" i="41"/>
  <c r="E24" i="41"/>
  <c r="M26" i="41"/>
  <c r="J23" i="41"/>
  <c r="G22" i="41"/>
  <c r="C23" i="41"/>
  <c r="K23" i="41"/>
  <c r="G24" i="41"/>
  <c r="G26" i="41"/>
  <c r="F22" i="41"/>
  <c r="F24" i="41"/>
  <c r="H22" i="41"/>
  <c r="D23" i="41"/>
  <c r="L23" i="41"/>
  <c r="H24" i="41"/>
  <c r="M4" i="41"/>
  <c r="M5" i="41" s="1"/>
  <c r="L4" i="41"/>
  <c r="L5" i="41" s="1"/>
  <c r="K4" i="41"/>
  <c r="K5" i="41" s="1"/>
  <c r="J4" i="41"/>
  <c r="J5" i="41" s="1"/>
  <c r="I4" i="41"/>
  <c r="I5" i="41" s="1"/>
  <c r="H4" i="41"/>
  <c r="H5" i="41" s="1"/>
  <c r="H10" i="41" s="1"/>
  <c r="G4" i="41"/>
  <c r="G5" i="41" s="1"/>
  <c r="F4" i="41"/>
  <c r="F5" i="41" s="1"/>
  <c r="E4" i="41"/>
  <c r="E5" i="41" s="1"/>
  <c r="D4" i="41"/>
  <c r="D5" i="41" s="1"/>
  <c r="C4" i="41"/>
  <c r="C5" i="41" s="1"/>
  <c r="B4" i="41"/>
  <c r="B5" i="41" s="1"/>
  <c r="B6" i="41" s="1"/>
  <c r="I10" i="41" l="1"/>
  <c r="I6" i="41"/>
  <c r="J9" i="41"/>
  <c r="J8" i="41"/>
  <c r="J7" i="41"/>
  <c r="J10" i="41"/>
  <c r="J6" i="41"/>
  <c r="C10" i="41"/>
  <c r="C9" i="41"/>
  <c r="C8" i="41"/>
  <c r="C7" i="41"/>
  <c r="C6" i="41"/>
  <c r="L10" i="41"/>
  <c r="L7" i="41"/>
  <c r="L9" i="41"/>
  <c r="L8" i="41"/>
  <c r="L6" i="41"/>
  <c r="M9" i="41"/>
  <c r="M8" i="41"/>
  <c r="M7" i="41"/>
  <c r="M10" i="41"/>
  <c r="M6" i="41"/>
  <c r="G10" i="41"/>
  <c r="G8" i="41"/>
  <c r="G7" i="41"/>
  <c r="G6" i="41"/>
  <c r="G9" i="41"/>
  <c r="K9" i="41"/>
  <c r="K8" i="41"/>
  <c r="K10" i="41"/>
  <c r="K7" i="41"/>
  <c r="K6" i="41"/>
  <c r="D10" i="41"/>
  <c r="D9" i="41"/>
  <c r="D8" i="41"/>
  <c r="D7" i="41"/>
  <c r="D6" i="41"/>
  <c r="E10" i="41"/>
  <c r="E9" i="41"/>
  <c r="E8" i="41"/>
  <c r="E7" i="41"/>
  <c r="E6" i="41"/>
  <c r="F8" i="41"/>
  <c r="F6" i="41"/>
  <c r="H8" i="41"/>
  <c r="H6" i="41"/>
  <c r="I8" i="41"/>
  <c r="F9" i="41"/>
  <c r="F7" i="41"/>
  <c r="H9" i="41"/>
  <c r="I9" i="41"/>
  <c r="F10" i="41"/>
  <c r="H7" i="41"/>
  <c r="I7" i="41"/>
  <c r="B10" i="41"/>
  <c r="B7" i="41"/>
  <c r="B8" i="41"/>
  <c r="B9" i="41"/>
  <c r="E2" i="2"/>
  <c r="K27" i="39" s="1"/>
  <c r="K28" i="39" s="1"/>
  <c r="E3" i="2"/>
  <c r="L27" i="39" s="1"/>
  <c r="L28" i="39" s="1"/>
  <c r="E4" i="2"/>
  <c r="M27" i="39" s="1"/>
  <c r="M28" i="39" s="1"/>
  <c r="E5" i="2"/>
  <c r="N27" i="39" s="1"/>
  <c r="N28" i="39" s="1"/>
  <c r="E6" i="2"/>
  <c r="O27" i="39" s="1"/>
  <c r="O28" i="39" s="1"/>
  <c r="E7" i="2"/>
  <c r="P27" i="39" s="1"/>
  <c r="P28" i="39" s="1"/>
  <c r="E8" i="2"/>
  <c r="Q27" i="39" s="1"/>
  <c r="Q28" i="39" s="1"/>
  <c r="E9" i="2"/>
  <c r="R27" i="39" s="1"/>
  <c r="R28" i="39" s="1"/>
  <c r="E10" i="2"/>
  <c r="E11" i="2"/>
  <c r="E12" i="2"/>
  <c r="E13" i="2"/>
  <c r="F15" i="2"/>
  <c r="F17" i="2" s="1"/>
  <c r="D15" i="2"/>
  <c r="E15" i="2" l="1"/>
  <c r="V27" i="39"/>
  <c r="V28" i="39" s="1"/>
  <c r="M11" i="37"/>
  <c r="N11" i="37" s="1"/>
  <c r="M19" i="37"/>
  <c r="N19" i="37" s="1"/>
  <c r="M67" i="37"/>
  <c r="N67" i="37" s="1"/>
  <c r="M75" i="37"/>
  <c r="M91" i="37"/>
  <c r="M12" i="37"/>
  <c r="N12" i="37" s="1"/>
  <c r="M20" i="37"/>
  <c r="N20" i="37" s="1"/>
  <c r="M44" i="37"/>
  <c r="N44" i="37" s="1"/>
  <c r="M68" i="37"/>
  <c r="N68" i="37" s="1"/>
  <c r="M92" i="37"/>
  <c r="M13" i="37"/>
  <c r="N13" i="37" s="1"/>
  <c r="M21" i="37"/>
  <c r="N21" i="37" s="1"/>
  <c r="M45" i="37"/>
  <c r="N45" i="37" s="1"/>
  <c r="M69" i="37"/>
  <c r="N69" i="37" s="1"/>
  <c r="M22" i="37"/>
  <c r="N22" i="37" s="1"/>
  <c r="M46" i="37"/>
  <c r="N46" i="37" s="1"/>
  <c r="M70" i="37"/>
  <c r="M23" i="37"/>
  <c r="N23" i="37" s="1"/>
  <c r="M47" i="37"/>
  <c r="N47" i="37" s="1"/>
  <c r="M71" i="37"/>
  <c r="M87" i="37"/>
  <c r="M48" i="37"/>
  <c r="N48" i="37" s="1"/>
  <c r="M72" i="37"/>
  <c r="M88" i="37"/>
  <c r="M73" i="37"/>
  <c r="M89" i="37"/>
  <c r="M10" i="37"/>
  <c r="N10" i="37" s="1"/>
  <c r="M66" i="37"/>
  <c r="N66" i="37" s="1"/>
  <c r="M74" i="37"/>
  <c r="M90" i="37"/>
  <c r="U27" i="39"/>
  <c r="U28" i="39" s="1"/>
  <c r="M27" i="37"/>
  <c r="N27" i="37" s="1"/>
  <c r="M51" i="37"/>
  <c r="N51" i="37" s="1"/>
  <c r="M59" i="37"/>
  <c r="N59" i="37" s="1"/>
  <c r="M83" i="37"/>
  <c r="M107" i="37"/>
  <c r="N107" i="37" s="1"/>
  <c r="M28" i="37"/>
  <c r="N28" i="37" s="1"/>
  <c r="M52" i="37"/>
  <c r="N52" i="37" s="1"/>
  <c r="M60" i="37"/>
  <c r="N60" i="37" s="1"/>
  <c r="M76" i="37"/>
  <c r="M84" i="37"/>
  <c r="M108" i="37"/>
  <c r="N108" i="37" s="1"/>
  <c r="M53" i="37"/>
  <c r="N53" i="37" s="1"/>
  <c r="M61" i="37"/>
  <c r="N61" i="37" s="1"/>
  <c r="M77" i="37"/>
  <c r="M85" i="37"/>
  <c r="M93" i="37"/>
  <c r="M6" i="37"/>
  <c r="N6" i="37" s="1"/>
  <c r="M14" i="37"/>
  <c r="N14" i="37" s="1"/>
  <c r="M54" i="37"/>
  <c r="M78" i="37"/>
  <c r="M86" i="37"/>
  <c r="M94" i="37"/>
  <c r="M7" i="37"/>
  <c r="N7" i="37" s="1"/>
  <c r="M15" i="37"/>
  <c r="N15" i="37" s="1"/>
  <c r="M55" i="37"/>
  <c r="M79" i="37"/>
  <c r="M95" i="37"/>
  <c r="M8" i="37"/>
  <c r="N8" i="37" s="1"/>
  <c r="M16" i="37"/>
  <c r="N16" i="37" s="1"/>
  <c r="M24" i="37"/>
  <c r="N24" i="37" s="1"/>
  <c r="M56" i="37"/>
  <c r="M80" i="37"/>
  <c r="M96" i="37"/>
  <c r="M104" i="37"/>
  <c r="N104" i="37" s="1"/>
  <c r="M9" i="37"/>
  <c r="N9" i="37" s="1"/>
  <c r="M17" i="37"/>
  <c r="N17" i="37" s="1"/>
  <c r="M25" i="37"/>
  <c r="N25" i="37" s="1"/>
  <c r="M49" i="37"/>
  <c r="N49" i="37" s="1"/>
  <c r="M57" i="37"/>
  <c r="M81" i="37"/>
  <c r="M97" i="37"/>
  <c r="M105" i="37"/>
  <c r="N105" i="37" s="1"/>
  <c r="M18" i="37"/>
  <c r="N18" i="37" s="1"/>
  <c r="M26" i="37"/>
  <c r="N26" i="37" s="1"/>
  <c r="M50" i="37"/>
  <c r="N50" i="37" s="1"/>
  <c r="M58" i="37"/>
  <c r="N58" i="37" s="1"/>
  <c r="M82" i="37"/>
  <c r="M98" i="37"/>
  <c r="M106" i="37"/>
  <c r="N106" i="37" s="1"/>
  <c r="T27" i="39"/>
  <c r="T28" i="39" s="1"/>
  <c r="M3" i="37"/>
  <c r="N3" i="37" s="1"/>
  <c r="M35" i="37"/>
  <c r="N35" i="37" s="1"/>
  <c r="M43" i="37"/>
  <c r="N43" i="37" s="1"/>
  <c r="M99" i="37"/>
  <c r="N99" i="37" s="1"/>
  <c r="M4" i="37"/>
  <c r="N4" i="37" s="1"/>
  <c r="M36" i="37"/>
  <c r="N36" i="37" s="1"/>
  <c r="M100" i="37"/>
  <c r="N100" i="37" s="1"/>
  <c r="M5" i="37"/>
  <c r="N5" i="37" s="1"/>
  <c r="M29" i="37"/>
  <c r="N29" i="37" s="1"/>
  <c r="M37" i="37"/>
  <c r="N37" i="37" s="1"/>
  <c r="M101" i="37"/>
  <c r="N101" i="37" s="1"/>
  <c r="M109" i="37"/>
  <c r="N109" i="37" s="1"/>
  <c r="M30" i="37"/>
  <c r="N30" i="37" s="1"/>
  <c r="M38" i="37"/>
  <c r="N38" i="37" s="1"/>
  <c r="M62" i="37"/>
  <c r="N62" i="37" s="1"/>
  <c r="M102" i="37"/>
  <c r="N102" i="37" s="1"/>
  <c r="M110" i="37"/>
  <c r="N110" i="37" s="1"/>
  <c r="M31" i="37"/>
  <c r="N31" i="37" s="1"/>
  <c r="M39" i="37"/>
  <c r="N39" i="37" s="1"/>
  <c r="M63" i="37"/>
  <c r="N63" i="37" s="1"/>
  <c r="M103" i="37"/>
  <c r="N103" i="37" s="1"/>
  <c r="M111" i="37"/>
  <c r="N111" i="37" s="1"/>
  <c r="M32" i="37"/>
  <c r="N32" i="37" s="1"/>
  <c r="M40" i="37"/>
  <c r="N40" i="37" s="1"/>
  <c r="M64" i="37"/>
  <c r="N64" i="37" s="1"/>
  <c r="M112" i="37"/>
  <c r="N112" i="37" s="1"/>
  <c r="M33" i="37"/>
  <c r="N33" i="37" s="1"/>
  <c r="M41" i="37"/>
  <c r="N41" i="37" s="1"/>
  <c r="M65" i="37"/>
  <c r="N65" i="37" s="1"/>
  <c r="M113" i="37"/>
  <c r="N113" i="37" s="1"/>
  <c r="M2" i="37"/>
  <c r="N2" i="37" s="1"/>
  <c r="M34" i="37"/>
  <c r="N34" i="37" s="1"/>
  <c r="M42" i="37"/>
  <c r="N42" i="37" s="1"/>
  <c r="S27" i="39"/>
  <c r="S28" i="39" s="1"/>
  <c r="D27" i="17"/>
  <c r="D26" i="17"/>
  <c r="D22" i="17"/>
  <c r="D19" i="17"/>
  <c r="D18" i="17"/>
  <c r="D16" i="17"/>
  <c r="AC2" i="2"/>
  <c r="AC3" i="2"/>
  <c r="AC4" i="2"/>
  <c r="AC5" i="2"/>
  <c r="AC6" i="2"/>
  <c r="AC7" i="2"/>
  <c r="D12" i="17" s="1"/>
  <c r="AC9" i="2"/>
  <c r="D15" i="17" s="1"/>
  <c r="AC14" i="2"/>
  <c r="AC15" i="2"/>
  <c r="D21" i="17" s="1"/>
  <c r="AC16" i="2"/>
  <c r="D20" i="17" s="1"/>
  <c r="AC17" i="2"/>
  <c r="D23" i="17" s="1"/>
  <c r="AC18" i="2"/>
  <c r="D24" i="17" s="1"/>
  <c r="AC19" i="2"/>
  <c r="D25" i="17" s="1"/>
  <c r="AC20" i="2"/>
  <c r="D13" i="17" s="1"/>
  <c r="U12" i="39"/>
  <c r="T12" i="39"/>
  <c r="S12" i="39"/>
  <c r="U8" i="39"/>
  <c r="T8" i="39"/>
  <c r="S8" i="39"/>
  <c r="U4" i="39"/>
  <c r="T4" i="39"/>
  <c r="S4" i="39"/>
  <c r="M114" i="37" l="1"/>
  <c r="Y19" i="37"/>
  <c r="W15" i="37"/>
  <c r="Y13" i="37"/>
  <c r="X13" i="37"/>
  <c r="W13" i="37"/>
  <c r="X9" i="37"/>
  <c r="Y9" i="37"/>
  <c r="Z7" i="37"/>
  <c r="Z3" i="37"/>
  <c r="Z15" i="37"/>
  <c r="L70" i="37"/>
  <c r="L71" i="37"/>
  <c r="L72" i="37"/>
  <c r="L73" i="37"/>
  <c r="L74" i="37"/>
  <c r="L75" i="37"/>
  <c r="G77" i="37"/>
  <c r="L77" i="37" s="1"/>
  <c r="G78" i="37"/>
  <c r="L78" i="37" s="1"/>
  <c r="L81" i="37"/>
  <c r="L83" i="37"/>
  <c r="L84" i="37"/>
  <c r="L85" i="37"/>
  <c r="L87" i="37"/>
  <c r="L88" i="37"/>
  <c r="L89" i="37"/>
  <c r="L90" i="37"/>
  <c r="L91" i="37"/>
  <c r="L92" i="37"/>
  <c r="L93" i="37"/>
  <c r="L97" i="37"/>
  <c r="G99" i="37"/>
  <c r="L99" i="37" s="1"/>
  <c r="G100" i="37"/>
  <c r="L100" i="37" s="1"/>
  <c r="G108" i="37"/>
  <c r="L108" i="37" s="1"/>
  <c r="G110" i="37"/>
  <c r="L110" i="37" s="1"/>
  <c r="R78" i="37" l="1"/>
  <c r="N78" i="37" s="1"/>
  <c r="R77" i="37"/>
  <c r="N77" i="37" s="1"/>
  <c r="R88" i="37"/>
  <c r="N88" i="37" s="1"/>
  <c r="R87" i="37"/>
  <c r="N87" i="37" s="1"/>
  <c r="R85" i="37"/>
  <c r="N85" i="37" s="1"/>
  <c r="R93" i="37"/>
  <c r="N93" i="37" s="1"/>
  <c r="R84" i="37"/>
  <c r="N84" i="37" s="1"/>
  <c r="R72" i="37"/>
  <c r="N72" i="37" s="1"/>
  <c r="R97" i="37"/>
  <c r="N97" i="37" s="1"/>
  <c r="R73" i="37"/>
  <c r="N73" i="37" s="1"/>
  <c r="R92" i="37"/>
  <c r="N92" i="37" s="1"/>
  <c r="R83" i="37"/>
  <c r="N83" i="37" s="1"/>
  <c r="R71" i="37"/>
  <c r="N71" i="37" s="1"/>
  <c r="R90" i="37"/>
  <c r="N90" i="37" s="1"/>
  <c r="R89" i="37"/>
  <c r="N89" i="37" s="1"/>
  <c r="R75" i="37"/>
  <c r="N75" i="37" s="1"/>
  <c r="R74" i="37"/>
  <c r="N74" i="37" s="1"/>
  <c r="R91" i="37"/>
  <c r="N91" i="37" s="1"/>
  <c r="R81" i="37"/>
  <c r="N81" i="37" s="1"/>
  <c r="R70" i="37"/>
  <c r="N70" i="37" s="1"/>
  <c r="AB9" i="37"/>
  <c r="AB13" i="37"/>
  <c r="G80" i="37"/>
  <c r="L80" i="37" s="1"/>
  <c r="G106" i="37"/>
  <c r="L106" i="37" s="1"/>
  <c r="G107" i="37"/>
  <c r="L107" i="37" s="1"/>
  <c r="G101" i="37"/>
  <c r="L101" i="37" s="1"/>
  <c r="G76" i="37"/>
  <c r="L76" i="37" s="1"/>
  <c r="G102" i="37"/>
  <c r="L102" i="37" s="1"/>
  <c r="G103" i="37"/>
  <c r="L103" i="37" s="1"/>
  <c r="G111" i="37"/>
  <c r="L111" i="37" s="1"/>
  <c r="G104" i="37"/>
  <c r="L104" i="37" s="1"/>
  <c r="G112" i="37"/>
  <c r="L112" i="37" s="1"/>
  <c r="G79" i="37"/>
  <c r="L79" i="37" s="1"/>
  <c r="G105" i="37"/>
  <c r="L105" i="37" s="1"/>
  <c r="G113" i="37"/>
  <c r="L113" i="37" s="1"/>
  <c r="L86" i="37"/>
  <c r="L94" i="37"/>
  <c r="L95" i="37"/>
  <c r="L96" i="37"/>
  <c r="L82" i="37"/>
  <c r="L98" i="37"/>
  <c r="R76" i="37" l="1"/>
  <c r="N76" i="37" s="1"/>
  <c r="R79" i="37"/>
  <c r="N79" i="37" s="1"/>
  <c r="R80" i="37"/>
  <c r="N80" i="37" s="1"/>
  <c r="R96" i="37"/>
  <c r="N96" i="37" s="1"/>
  <c r="R94" i="37"/>
  <c r="N94" i="37" s="1"/>
  <c r="R86" i="37"/>
  <c r="N86" i="37" s="1"/>
  <c r="R95" i="37"/>
  <c r="N95" i="37" s="1"/>
  <c r="R82" i="37"/>
  <c r="N82" i="37" s="1"/>
  <c r="R98" i="37"/>
  <c r="N98" i="37" s="1"/>
  <c r="Z11" i="37"/>
  <c r="G54" i="37" l="1"/>
  <c r="L54" i="37" s="1"/>
  <c r="G56" i="37"/>
  <c r="L56" i="37" s="1"/>
  <c r="Q56" i="37" l="1"/>
  <c r="N56" i="37" s="1"/>
  <c r="Q54" i="37"/>
  <c r="N54" i="37" s="1"/>
  <c r="G9" i="37"/>
  <c r="L9" i="37" s="1"/>
  <c r="G57" i="37"/>
  <c r="L57" i="37" s="1"/>
  <c r="G8" i="37"/>
  <c r="L8" i="37" s="1"/>
  <c r="G6" i="37"/>
  <c r="L6" i="37" s="1"/>
  <c r="G55" i="37"/>
  <c r="L55" i="37" s="1"/>
  <c r="G13" i="37"/>
  <c r="L13" i="37" s="1"/>
  <c r="G5" i="37"/>
  <c r="L5" i="37" s="1"/>
  <c r="G12" i="37"/>
  <c r="L12" i="37" s="1"/>
  <c r="G4" i="37"/>
  <c r="L4" i="37" s="1"/>
  <c r="G11" i="37"/>
  <c r="L11" i="37" s="1"/>
  <c r="G3" i="37"/>
  <c r="L3" i="37" s="1"/>
  <c r="G10" i="37"/>
  <c r="L10" i="37" s="1"/>
  <c r="G2" i="37"/>
  <c r="L2" i="37" s="1"/>
  <c r="G7" i="37"/>
  <c r="L7" i="37" s="1"/>
  <c r="Q57" i="37" l="1"/>
  <c r="N57" i="37" s="1"/>
  <c r="Q55" i="37"/>
  <c r="G14" i="37"/>
  <c r="L14" i="37" s="1"/>
  <c r="G15" i="37"/>
  <c r="L15" i="37" s="1"/>
  <c r="G17" i="37"/>
  <c r="L17" i="37" s="1"/>
  <c r="G18" i="37"/>
  <c r="L18" i="37" s="1"/>
  <c r="G19" i="37"/>
  <c r="L19" i="37" s="1"/>
  <c r="G20" i="37"/>
  <c r="L20" i="37" s="1"/>
  <c r="G21" i="37"/>
  <c r="L21" i="37" s="1"/>
  <c r="G22" i="37"/>
  <c r="L22" i="37" s="1"/>
  <c r="G23" i="37"/>
  <c r="L23" i="37" s="1"/>
  <c r="J25" i="37"/>
  <c r="J33" i="37"/>
  <c r="G34" i="37"/>
  <c r="L34" i="37" s="1"/>
  <c r="G35" i="37"/>
  <c r="L35" i="37" s="1"/>
  <c r="G36" i="37"/>
  <c r="L36" i="37" s="1"/>
  <c r="G37" i="37"/>
  <c r="L37" i="37" s="1"/>
  <c r="G38" i="37"/>
  <c r="L38" i="37" s="1"/>
  <c r="G39" i="37"/>
  <c r="L39" i="37" s="1"/>
  <c r="G40" i="37"/>
  <c r="L40" i="37" s="1"/>
  <c r="G41" i="37"/>
  <c r="L41" i="37" s="1"/>
  <c r="G42" i="37"/>
  <c r="L42" i="37" s="1"/>
  <c r="G43" i="37"/>
  <c r="L43" i="37" s="1"/>
  <c r="J46" i="37"/>
  <c r="J49" i="37"/>
  <c r="G16" i="37"/>
  <c r="L16" i="37" s="1"/>
  <c r="N55" i="37" l="1"/>
  <c r="N114" i="37" s="1"/>
  <c r="J30" i="37"/>
  <c r="J52" i="37"/>
  <c r="J28" i="37"/>
  <c r="J44" i="37"/>
  <c r="J48" i="37"/>
  <c r="J24" i="37"/>
  <c r="J32" i="37"/>
  <c r="J45" i="37"/>
  <c r="J29" i="37"/>
  <c r="J53" i="37"/>
  <c r="J27" i="37"/>
  <c r="J51" i="37"/>
  <c r="J50" i="37"/>
  <c r="J26" i="37"/>
  <c r="J31" i="37"/>
  <c r="J47" i="37"/>
  <c r="L114" i="37" l="1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  <c r="CR3" i="1" l="1"/>
  <c r="CR4" i="1"/>
  <c r="CR5" i="1"/>
  <c r="CR6" i="1"/>
  <c r="CR7" i="1"/>
  <c r="CR8" i="1"/>
  <c r="CR9" i="1"/>
  <c r="CR10" i="1"/>
  <c r="CR11" i="1"/>
  <c r="CR12" i="1"/>
  <c r="CR13" i="1"/>
  <c r="CR14" i="1"/>
  <c r="CR15" i="1"/>
  <c r="CR16" i="1"/>
  <c r="CR17" i="1"/>
  <c r="CR18" i="1"/>
  <c r="CR19" i="1"/>
  <c r="CR20" i="1"/>
  <c r="CR21" i="1"/>
  <c r="CR22" i="1"/>
  <c r="CR23" i="1"/>
  <c r="CR24" i="1"/>
  <c r="CR25" i="1"/>
  <c r="CR26" i="1"/>
  <c r="CR27" i="1"/>
  <c r="CR28" i="1"/>
  <c r="CR29" i="1"/>
  <c r="CR30" i="1"/>
  <c r="CR31" i="1"/>
  <c r="CR32" i="1"/>
  <c r="CR33" i="1"/>
  <c r="CR34" i="1"/>
  <c r="CR35" i="1"/>
  <c r="CR36" i="1"/>
  <c r="CR37" i="1"/>
  <c r="CR38" i="1"/>
  <c r="CR39" i="1"/>
  <c r="CR40" i="1"/>
  <c r="CR41" i="1"/>
  <c r="CR42" i="1"/>
  <c r="CR43" i="1"/>
  <c r="CR44" i="1"/>
  <c r="CR45" i="1"/>
  <c r="CR46" i="1"/>
  <c r="CR47" i="1"/>
  <c r="CR48" i="1"/>
  <c r="CR49" i="1"/>
  <c r="CR50" i="1"/>
  <c r="CR51" i="1"/>
  <c r="CR52" i="1"/>
  <c r="CR53" i="1"/>
  <c r="CR54" i="1"/>
  <c r="CR55" i="1"/>
  <c r="CR56" i="1"/>
  <c r="CR57" i="1"/>
  <c r="CR58" i="1"/>
  <c r="CR59" i="1"/>
  <c r="CR60" i="1"/>
  <c r="CR61" i="1"/>
  <c r="CR62" i="1"/>
  <c r="CR63" i="1"/>
  <c r="CR64" i="1"/>
  <c r="CR65" i="1"/>
  <c r="CR66" i="1"/>
  <c r="CR67" i="1"/>
  <c r="CR68" i="1"/>
  <c r="CR69" i="1"/>
  <c r="CR70" i="1"/>
  <c r="CR71" i="1"/>
  <c r="CR72" i="1"/>
  <c r="CR73" i="1"/>
  <c r="CR74" i="1"/>
  <c r="CR75" i="1"/>
  <c r="CR76" i="1"/>
  <c r="CR77" i="1"/>
  <c r="CR78" i="1"/>
  <c r="CR79" i="1"/>
  <c r="CR80" i="1"/>
  <c r="CR81" i="1"/>
  <c r="CR82" i="1"/>
  <c r="CR83" i="1"/>
  <c r="CR84" i="1"/>
  <c r="CR85" i="1"/>
  <c r="CR86" i="1"/>
  <c r="CR87" i="1"/>
  <c r="CR88" i="1"/>
  <c r="CR89" i="1"/>
  <c r="CR90" i="1"/>
  <c r="CR91" i="1"/>
  <c r="CR92" i="1"/>
  <c r="CR93" i="1"/>
  <c r="CR94" i="1"/>
  <c r="CR95" i="1"/>
  <c r="CR96" i="1"/>
  <c r="CR97" i="1"/>
  <c r="CR98" i="1"/>
  <c r="CR99" i="1"/>
  <c r="CR100" i="1"/>
  <c r="CR101" i="1"/>
  <c r="CR102" i="1"/>
  <c r="CR103" i="1"/>
  <c r="CR104" i="1"/>
  <c r="CR105" i="1"/>
  <c r="CR106" i="1"/>
  <c r="CR107" i="1"/>
  <c r="CR108" i="1"/>
  <c r="CR109" i="1"/>
  <c r="U33" i="18" l="1"/>
  <c r="B32" i="18"/>
  <c r="B31" i="18"/>
  <c r="B30" i="18"/>
  <c r="B33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B8" i="18"/>
  <c r="B7" i="18"/>
  <c r="B6" i="18"/>
  <c r="B5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7" i="18"/>
  <c r="E6" i="18"/>
  <c r="E5" i="18"/>
  <c r="E350" i="23" l="1"/>
  <c r="E610" i="23"/>
  <c r="E351" i="23"/>
  <c r="E611" i="23"/>
  <c r="E352" i="23"/>
  <c r="E612" i="23"/>
  <c r="E353" i="23"/>
  <c r="E613" i="23"/>
  <c r="E434" i="23"/>
  <c r="E614" i="23"/>
  <c r="E435" i="23"/>
  <c r="E615" i="23"/>
  <c r="E436" i="23"/>
  <c r="E616" i="23"/>
  <c r="E437" i="23"/>
  <c r="E617" i="23"/>
  <c r="E440" i="23"/>
  <c r="E700" i="23"/>
  <c r="E441" i="23"/>
  <c r="E701" i="23"/>
  <c r="E522" i="23"/>
  <c r="E702" i="23"/>
  <c r="E523" i="23"/>
  <c r="E703" i="23"/>
  <c r="E524" i="23"/>
  <c r="E704" i="23"/>
  <c r="E525" i="23"/>
  <c r="E705" i="23"/>
  <c r="E347" i="23"/>
  <c r="E527" i="23"/>
  <c r="E346" i="23"/>
  <c r="E348" i="23"/>
  <c r="E349" i="23"/>
  <c r="E439" i="23"/>
  <c r="E526" i="23"/>
  <c r="E698" i="23"/>
  <c r="E699" i="23"/>
  <c r="E528" i="23"/>
  <c r="E529" i="23"/>
  <c r="E438" i="23"/>
  <c r="E490" i="23"/>
  <c r="E670" i="23"/>
  <c r="E491" i="23"/>
  <c r="E671" i="23"/>
  <c r="E492" i="23"/>
  <c r="E672" i="23"/>
  <c r="E493" i="23"/>
  <c r="E673" i="23"/>
  <c r="E494" i="23"/>
  <c r="E754" i="23"/>
  <c r="E495" i="23"/>
  <c r="E755" i="23"/>
  <c r="E496" i="23"/>
  <c r="E756" i="23"/>
  <c r="E497" i="23"/>
  <c r="E757" i="23"/>
  <c r="E580" i="23"/>
  <c r="E760" i="23"/>
  <c r="E581" i="23"/>
  <c r="E761" i="23"/>
  <c r="E402" i="23"/>
  <c r="E582" i="23"/>
  <c r="E403" i="23"/>
  <c r="E583" i="23"/>
  <c r="E404" i="23"/>
  <c r="E584" i="23"/>
  <c r="E405" i="23"/>
  <c r="E585" i="23"/>
  <c r="E407" i="23"/>
  <c r="E667" i="23"/>
  <c r="E406" i="23"/>
  <c r="E408" i="23"/>
  <c r="E409" i="23"/>
  <c r="E578" i="23"/>
  <c r="E579" i="23"/>
  <c r="E666" i="23"/>
  <c r="E668" i="23"/>
  <c r="E669" i="23"/>
  <c r="E759" i="23"/>
  <c r="E758" i="23"/>
  <c r="E850" i="23"/>
  <c r="E851" i="23"/>
  <c r="E852" i="23"/>
  <c r="E853" i="23"/>
  <c r="E914" i="23"/>
  <c r="E915" i="23"/>
  <c r="E916" i="23"/>
  <c r="E917" i="23"/>
  <c r="E900" i="23"/>
  <c r="E901" i="23"/>
  <c r="E882" i="23"/>
  <c r="E883" i="23"/>
  <c r="E884" i="23"/>
  <c r="E885" i="23"/>
  <c r="E867" i="23"/>
  <c r="E868" i="23"/>
  <c r="E869" i="23"/>
  <c r="E898" i="23"/>
  <c r="E899" i="23"/>
  <c r="E866" i="23"/>
  <c r="E1043" i="23"/>
  <c r="E1083" i="23"/>
  <c r="E1004" i="23"/>
  <c r="E1044" i="23"/>
  <c r="E1084" i="23"/>
  <c r="E965" i="23"/>
  <c r="E1005" i="23"/>
  <c r="E1045" i="23"/>
  <c r="E1085" i="23"/>
  <c r="E927" i="23"/>
  <c r="E967" i="23"/>
  <c r="E966" i="23"/>
  <c r="E1046" i="23"/>
  <c r="E926" i="23"/>
  <c r="E1006" i="23"/>
  <c r="E928" i="23"/>
  <c r="E1086" i="23"/>
  <c r="E1290" i="23"/>
  <c r="E1310" i="23"/>
  <c r="E1291" i="23"/>
  <c r="E1311" i="23"/>
  <c r="E1331" i="23"/>
  <c r="E1293" i="23"/>
  <c r="E1313" i="23"/>
  <c r="E1333" i="23"/>
  <c r="E1294" i="23"/>
  <c r="E1314" i="23"/>
  <c r="E1334" i="23"/>
  <c r="E1295" i="23"/>
  <c r="E1315" i="23"/>
  <c r="E1335" i="23"/>
  <c r="E1277" i="23"/>
  <c r="E1297" i="23"/>
  <c r="E1317" i="23"/>
  <c r="E1280" i="23"/>
  <c r="E1300" i="23"/>
  <c r="E1320" i="23"/>
  <c r="E1281" i="23"/>
  <c r="E1301" i="23"/>
  <c r="E1321" i="23"/>
  <c r="E1282" i="23"/>
  <c r="E1302" i="23"/>
  <c r="E1322" i="23"/>
  <c r="E1283" i="23"/>
  <c r="E1303" i="23"/>
  <c r="E1323" i="23"/>
  <c r="E1284" i="23"/>
  <c r="E1304" i="23"/>
  <c r="E1324" i="23"/>
  <c r="E1285" i="23"/>
  <c r="E1305" i="23"/>
  <c r="E1325" i="23"/>
  <c r="E1287" i="23"/>
  <c r="E1307" i="23"/>
  <c r="E1327" i="23"/>
  <c r="E1292" i="23"/>
  <c r="E1296" i="23"/>
  <c r="E1298" i="23"/>
  <c r="E1299" i="23"/>
  <c r="E1306" i="23"/>
  <c r="E1308" i="23"/>
  <c r="E1309" i="23"/>
  <c r="E1312" i="23"/>
  <c r="E1316" i="23"/>
  <c r="E1318" i="23"/>
  <c r="E1319" i="23"/>
  <c r="E1326" i="23"/>
  <c r="E1329" i="23"/>
  <c r="E1276" i="23"/>
  <c r="E1330" i="23"/>
  <c r="E1332" i="23"/>
  <c r="E1278" i="23"/>
  <c r="E1279" i="23"/>
  <c r="E1286" i="23"/>
  <c r="E1288" i="23"/>
  <c r="E1289" i="23"/>
  <c r="E1328" i="23"/>
  <c r="E870" i="23"/>
  <c r="E871" i="23"/>
  <c r="E872" i="23"/>
  <c r="E873" i="23"/>
  <c r="E854" i="23"/>
  <c r="E855" i="23"/>
  <c r="E856" i="23"/>
  <c r="E857" i="23"/>
  <c r="E920" i="23"/>
  <c r="E921" i="23"/>
  <c r="E902" i="23"/>
  <c r="E903" i="23"/>
  <c r="E904" i="23"/>
  <c r="E905" i="23"/>
  <c r="E887" i="23"/>
  <c r="E886" i="23"/>
  <c r="E888" i="23"/>
  <c r="E889" i="23"/>
  <c r="E919" i="23"/>
  <c r="E918" i="23"/>
  <c r="E890" i="23"/>
  <c r="E891" i="23"/>
  <c r="E892" i="23"/>
  <c r="E893" i="23"/>
  <c r="E874" i="23"/>
  <c r="E875" i="23"/>
  <c r="E876" i="23"/>
  <c r="E877" i="23"/>
  <c r="E860" i="23"/>
  <c r="E861" i="23"/>
  <c r="E922" i="23"/>
  <c r="E923" i="23"/>
  <c r="E924" i="23"/>
  <c r="E925" i="23"/>
  <c r="E907" i="23"/>
  <c r="E906" i="23"/>
  <c r="E908" i="23"/>
  <c r="E909" i="23"/>
  <c r="E858" i="23"/>
  <c r="E859" i="23"/>
  <c r="E1250" i="23"/>
  <c r="E1270" i="23"/>
  <c r="E1251" i="23"/>
  <c r="E1271" i="23"/>
  <c r="E1253" i="23"/>
  <c r="E1273" i="23"/>
  <c r="E1254" i="23"/>
  <c r="E1274" i="23"/>
  <c r="E1255" i="23"/>
  <c r="E1275" i="23"/>
  <c r="E1256" i="23"/>
  <c r="E1257" i="23"/>
  <c r="E1260" i="23"/>
  <c r="E1261" i="23"/>
  <c r="E1262" i="23"/>
  <c r="E1243" i="23"/>
  <c r="E1263" i="23"/>
  <c r="E1244" i="23"/>
  <c r="E1264" i="23"/>
  <c r="E1245" i="23"/>
  <c r="E1265" i="23"/>
  <c r="E1247" i="23"/>
  <c r="E1267" i="23"/>
  <c r="E1246" i="23"/>
  <c r="E1248" i="23"/>
  <c r="E1249" i="23"/>
  <c r="E1252" i="23"/>
  <c r="E1258" i="23"/>
  <c r="E1259" i="23"/>
  <c r="E1266" i="23"/>
  <c r="E1268" i="23"/>
  <c r="E1272" i="23"/>
  <c r="E1269" i="23"/>
  <c r="E122" i="23"/>
  <c r="E123" i="23"/>
  <c r="E124" i="23"/>
  <c r="E125" i="23"/>
  <c r="E127" i="23"/>
  <c r="E126" i="23"/>
  <c r="E129" i="23"/>
  <c r="E128" i="23"/>
  <c r="E470" i="23"/>
  <c r="E730" i="23"/>
  <c r="E471" i="23"/>
  <c r="E731" i="23"/>
  <c r="E472" i="23"/>
  <c r="E732" i="23"/>
  <c r="E473" i="23"/>
  <c r="E733" i="23"/>
  <c r="E554" i="23"/>
  <c r="E734" i="23"/>
  <c r="E555" i="23"/>
  <c r="E735" i="23"/>
  <c r="E556" i="23"/>
  <c r="E736" i="23"/>
  <c r="E557" i="23"/>
  <c r="E737" i="23"/>
  <c r="E380" i="23"/>
  <c r="E560" i="23"/>
  <c r="E381" i="23"/>
  <c r="E561" i="23"/>
  <c r="E382" i="23"/>
  <c r="E642" i="23"/>
  <c r="E383" i="23"/>
  <c r="E643" i="23"/>
  <c r="E384" i="23"/>
  <c r="E644" i="23"/>
  <c r="E385" i="23"/>
  <c r="E645" i="23"/>
  <c r="E467" i="23"/>
  <c r="E647" i="23"/>
  <c r="E468" i="23"/>
  <c r="E469" i="23"/>
  <c r="E558" i="23"/>
  <c r="E559" i="23"/>
  <c r="E646" i="23"/>
  <c r="E648" i="23"/>
  <c r="E649" i="23"/>
  <c r="E466" i="23"/>
  <c r="E378" i="23"/>
  <c r="E379" i="23"/>
  <c r="E910" i="23"/>
  <c r="E911" i="23"/>
  <c r="E912" i="23"/>
  <c r="E913" i="23"/>
  <c r="E894" i="23"/>
  <c r="E895" i="23"/>
  <c r="E896" i="23"/>
  <c r="E897" i="23"/>
  <c r="E880" i="23"/>
  <c r="E881" i="23"/>
  <c r="E862" i="23"/>
  <c r="E863" i="23"/>
  <c r="E864" i="23"/>
  <c r="E865" i="23"/>
  <c r="E847" i="23"/>
  <c r="E878" i="23"/>
  <c r="E879" i="23"/>
  <c r="E846" i="23"/>
  <c r="E848" i="23"/>
  <c r="E849" i="23"/>
  <c r="E150" i="23"/>
  <c r="E190" i="23"/>
  <c r="E290" i="23"/>
  <c r="E330" i="23"/>
  <c r="E151" i="23"/>
  <c r="E191" i="23"/>
  <c r="E291" i="23"/>
  <c r="E331" i="23"/>
  <c r="E152" i="23"/>
  <c r="E192" i="23"/>
  <c r="E292" i="23"/>
  <c r="E332" i="23"/>
  <c r="E153" i="23"/>
  <c r="E193" i="23"/>
  <c r="E293" i="23"/>
  <c r="E333" i="23"/>
  <c r="E194" i="23"/>
  <c r="E294" i="23"/>
  <c r="E195" i="23"/>
  <c r="E295" i="23"/>
  <c r="E196" i="23"/>
  <c r="E296" i="23"/>
  <c r="E197" i="23"/>
  <c r="E297" i="23"/>
  <c r="E200" i="23"/>
  <c r="E240" i="23"/>
  <c r="E201" i="23"/>
  <c r="E241" i="23"/>
  <c r="E142" i="23"/>
  <c r="E242" i="23"/>
  <c r="E322" i="23"/>
  <c r="E143" i="23"/>
  <c r="E243" i="23"/>
  <c r="E323" i="23"/>
  <c r="E144" i="23"/>
  <c r="E244" i="23"/>
  <c r="E324" i="23"/>
  <c r="E145" i="23"/>
  <c r="E245" i="23"/>
  <c r="E325" i="23"/>
  <c r="E147" i="23"/>
  <c r="E247" i="23"/>
  <c r="E287" i="23"/>
  <c r="E327" i="23"/>
  <c r="E148" i="23"/>
  <c r="E149" i="23"/>
  <c r="E238" i="23"/>
  <c r="E239" i="23"/>
  <c r="E246" i="23"/>
  <c r="E326" i="23"/>
  <c r="E248" i="23"/>
  <c r="E328" i="23"/>
  <c r="E249" i="23"/>
  <c r="E329" i="23"/>
  <c r="E199" i="23"/>
  <c r="E286" i="23"/>
  <c r="E146" i="23"/>
  <c r="E198" i="23"/>
  <c r="E288" i="23"/>
  <c r="E289" i="23"/>
  <c r="E930" i="23"/>
  <c r="E970" i="23"/>
  <c r="E1010" i="23"/>
  <c r="E1050" i="23"/>
  <c r="E1090" i="23"/>
  <c r="E931" i="23"/>
  <c r="E971" i="23"/>
  <c r="E1011" i="23"/>
  <c r="E1051" i="23"/>
  <c r="E1091" i="23"/>
  <c r="E932" i="23"/>
  <c r="E972" i="23"/>
  <c r="E1012" i="23"/>
  <c r="E933" i="23"/>
  <c r="E973" i="23"/>
  <c r="E1013" i="23"/>
  <c r="E1053" i="23"/>
  <c r="E1093" i="23"/>
  <c r="E934" i="23"/>
  <c r="E974" i="23"/>
  <c r="E1014" i="23"/>
  <c r="E1054" i="23"/>
  <c r="E1094" i="23"/>
  <c r="E935" i="23"/>
  <c r="E975" i="23"/>
  <c r="E1015" i="23"/>
  <c r="E1055" i="23"/>
  <c r="E1095" i="23"/>
  <c r="E936" i="23"/>
  <c r="E976" i="23"/>
  <c r="E1016" i="23"/>
  <c r="E1056" i="23"/>
  <c r="E1096" i="23"/>
  <c r="E937" i="23"/>
  <c r="E977" i="23"/>
  <c r="E1017" i="23"/>
  <c r="E1057" i="23"/>
  <c r="E1097" i="23"/>
  <c r="E940" i="23"/>
  <c r="E1007" i="23"/>
  <c r="E1047" i="23"/>
  <c r="E1087" i="23"/>
  <c r="E1098" i="23"/>
  <c r="E968" i="23"/>
  <c r="E1048" i="23"/>
  <c r="E969" i="23"/>
  <c r="E1049" i="23"/>
  <c r="E978" i="23"/>
  <c r="E1052" i="23"/>
  <c r="E979" i="23"/>
  <c r="E1058" i="23"/>
  <c r="E1008" i="23"/>
  <c r="E1009" i="23"/>
  <c r="E1018" i="23"/>
  <c r="E938" i="23"/>
  <c r="E1088" i="23"/>
  <c r="E1089" i="23"/>
  <c r="E1092" i="23"/>
  <c r="E929" i="23"/>
  <c r="E939" i="23"/>
  <c r="E1351" i="23"/>
  <c r="E1371" i="23"/>
  <c r="E1391" i="23"/>
  <c r="E1353" i="23"/>
  <c r="E1373" i="23"/>
  <c r="E1393" i="23"/>
  <c r="E1354" i="23"/>
  <c r="E1374" i="23"/>
  <c r="E1394" i="23"/>
  <c r="E1355" i="23"/>
  <c r="E1375" i="23"/>
  <c r="E1395" i="23"/>
  <c r="E1337" i="23"/>
  <c r="E1357" i="23"/>
  <c r="E1377" i="23"/>
  <c r="E1340" i="23"/>
  <c r="E1360" i="23"/>
  <c r="E1380" i="23"/>
  <c r="E1341" i="23"/>
  <c r="E1361" i="23"/>
  <c r="E1381" i="23"/>
  <c r="E1342" i="23"/>
  <c r="E1362" i="23"/>
  <c r="E1382" i="23"/>
  <c r="E1343" i="23"/>
  <c r="E1344" i="23"/>
  <c r="E1364" i="23"/>
  <c r="E1384" i="23"/>
  <c r="E1345" i="23"/>
  <c r="E1365" i="23"/>
  <c r="E1385" i="23"/>
  <c r="E1347" i="23"/>
  <c r="E1367" i="23"/>
  <c r="E1387" i="23"/>
  <c r="E1348" i="23"/>
  <c r="E1390" i="23"/>
  <c r="E1349" i="23"/>
  <c r="E1392" i="23"/>
  <c r="E1350" i="23"/>
  <c r="E1352" i="23"/>
  <c r="E1356" i="23"/>
  <c r="E1358" i="23"/>
  <c r="E1359" i="23"/>
  <c r="E1363" i="23"/>
  <c r="E1366" i="23"/>
  <c r="E1368" i="23"/>
  <c r="E1369" i="23"/>
  <c r="E1370" i="23"/>
  <c r="E1376" i="23"/>
  <c r="E1378" i="23"/>
  <c r="E1386" i="23"/>
  <c r="E1388" i="23"/>
  <c r="E1389" i="23"/>
  <c r="E1383" i="23"/>
  <c r="E1346" i="23"/>
  <c r="E1372" i="23"/>
  <c r="E1336" i="23"/>
  <c r="E1338" i="23"/>
  <c r="E1339" i="23"/>
  <c r="E1379" i="23"/>
  <c r="E370" i="23"/>
  <c r="E450" i="23"/>
  <c r="E530" i="23"/>
  <c r="E550" i="23"/>
  <c r="E630" i="23"/>
  <c r="E710" i="23"/>
  <c r="E371" i="23"/>
  <c r="E451" i="23"/>
  <c r="E531" i="23"/>
  <c r="E551" i="23"/>
  <c r="E631" i="23"/>
  <c r="E711" i="23"/>
  <c r="E372" i="23"/>
  <c r="E452" i="23"/>
  <c r="E532" i="23"/>
  <c r="E552" i="23"/>
  <c r="E632" i="23"/>
  <c r="E712" i="23"/>
  <c r="E373" i="23"/>
  <c r="E453" i="23"/>
  <c r="E533" i="23"/>
  <c r="E553" i="23"/>
  <c r="E633" i="23"/>
  <c r="E713" i="23"/>
  <c r="E354" i="23"/>
  <c r="E374" i="23"/>
  <c r="E454" i="23"/>
  <c r="E534" i="23"/>
  <c r="E634" i="23"/>
  <c r="E714" i="23"/>
  <c r="E355" i="23"/>
  <c r="E375" i="23"/>
  <c r="E455" i="23"/>
  <c r="E535" i="23"/>
  <c r="E635" i="23"/>
  <c r="E715" i="23"/>
  <c r="E356" i="23"/>
  <c r="E376" i="23"/>
  <c r="E456" i="23"/>
  <c r="E536" i="23"/>
  <c r="E636" i="23"/>
  <c r="E716" i="23"/>
  <c r="E357" i="23"/>
  <c r="E377" i="23"/>
  <c r="E457" i="23"/>
  <c r="E537" i="23"/>
  <c r="E637" i="23"/>
  <c r="E717" i="23"/>
  <c r="E360" i="23"/>
  <c r="E460" i="23"/>
  <c r="E540" i="23"/>
  <c r="E620" i="23"/>
  <c r="E640" i="23"/>
  <c r="E720" i="23"/>
  <c r="E361" i="23"/>
  <c r="E461" i="23"/>
  <c r="E541" i="23"/>
  <c r="E621" i="23"/>
  <c r="E641" i="23"/>
  <c r="E721" i="23"/>
  <c r="E362" i="23"/>
  <c r="E442" i="23"/>
  <c r="E462" i="23"/>
  <c r="E542" i="23"/>
  <c r="E622" i="23"/>
  <c r="E722" i="23"/>
  <c r="E363" i="23"/>
  <c r="E443" i="23"/>
  <c r="E463" i="23"/>
  <c r="E543" i="23"/>
  <c r="E623" i="23"/>
  <c r="E723" i="23"/>
  <c r="E364" i="23"/>
  <c r="E444" i="23"/>
  <c r="E464" i="23"/>
  <c r="E544" i="23"/>
  <c r="E624" i="23"/>
  <c r="E724" i="23"/>
  <c r="E365" i="23"/>
  <c r="E445" i="23"/>
  <c r="E465" i="23"/>
  <c r="E545" i="23"/>
  <c r="E625" i="23"/>
  <c r="E725" i="23"/>
  <c r="E367" i="23"/>
  <c r="E447" i="23"/>
  <c r="E547" i="23"/>
  <c r="E627" i="23"/>
  <c r="E707" i="23"/>
  <c r="E727" i="23"/>
  <c r="E548" i="23"/>
  <c r="E628" i="23"/>
  <c r="E708" i="23"/>
  <c r="E549" i="23"/>
  <c r="E629" i="23"/>
  <c r="E709" i="23"/>
  <c r="E638" i="23"/>
  <c r="E718" i="23"/>
  <c r="E639" i="23"/>
  <c r="E719" i="23"/>
  <c r="E726" i="23"/>
  <c r="E728" i="23"/>
  <c r="E729" i="23"/>
  <c r="E359" i="23"/>
  <c r="E366" i="23"/>
  <c r="E446" i="23"/>
  <c r="E448" i="23"/>
  <c r="E449" i="23"/>
  <c r="E458" i="23"/>
  <c r="E706" i="23"/>
  <c r="E459" i="23"/>
  <c r="E626" i="23"/>
  <c r="E538" i="23"/>
  <c r="E539" i="23"/>
  <c r="E546" i="23"/>
  <c r="E358" i="23"/>
  <c r="E368" i="23"/>
  <c r="E618" i="23"/>
  <c r="E369" i="23"/>
  <c r="E619" i="23"/>
  <c r="E410" i="23"/>
  <c r="E430" i="23"/>
  <c r="E510" i="23"/>
  <c r="E590" i="23"/>
  <c r="E690" i="23"/>
  <c r="E770" i="23"/>
  <c r="E411" i="23"/>
  <c r="E431" i="23"/>
  <c r="E511" i="23"/>
  <c r="E591" i="23"/>
  <c r="E691" i="23"/>
  <c r="E771" i="23"/>
  <c r="E412" i="23"/>
  <c r="E432" i="23"/>
  <c r="E512" i="23"/>
  <c r="E592" i="23"/>
  <c r="E692" i="23"/>
  <c r="E772" i="23"/>
  <c r="E413" i="23"/>
  <c r="E433" i="23"/>
  <c r="E513" i="23"/>
  <c r="E593" i="23"/>
  <c r="E693" i="23"/>
  <c r="E773" i="23"/>
  <c r="E414" i="23"/>
  <c r="E514" i="23"/>
  <c r="E594" i="23"/>
  <c r="E674" i="23"/>
  <c r="E694" i="23"/>
  <c r="E774" i="23"/>
  <c r="E415" i="23"/>
  <c r="E515" i="23"/>
  <c r="E595" i="23"/>
  <c r="E675" i="23"/>
  <c r="E695" i="23"/>
  <c r="E775" i="23"/>
  <c r="E416" i="23"/>
  <c r="E516" i="23"/>
  <c r="E596" i="23"/>
  <c r="E676" i="23"/>
  <c r="E696" i="23"/>
  <c r="E776" i="23"/>
  <c r="E417" i="23"/>
  <c r="E517" i="23"/>
  <c r="E597" i="23"/>
  <c r="E677" i="23"/>
  <c r="E697" i="23"/>
  <c r="E777" i="23"/>
  <c r="E420" i="23"/>
  <c r="E500" i="23"/>
  <c r="E520" i="23"/>
  <c r="E600" i="23"/>
  <c r="E680" i="23"/>
  <c r="E780" i="23"/>
  <c r="E421" i="23"/>
  <c r="E501" i="23"/>
  <c r="E521" i="23"/>
  <c r="E601" i="23"/>
  <c r="E681" i="23"/>
  <c r="E781" i="23"/>
  <c r="E422" i="23"/>
  <c r="E502" i="23"/>
  <c r="E602" i="23"/>
  <c r="E682" i="23"/>
  <c r="E762" i="23"/>
  <c r="E782" i="23"/>
  <c r="E423" i="23"/>
  <c r="E503" i="23"/>
  <c r="E603" i="23"/>
  <c r="E683" i="23"/>
  <c r="E763" i="23"/>
  <c r="E783" i="23"/>
  <c r="E424" i="23"/>
  <c r="E504" i="23"/>
  <c r="E604" i="23"/>
  <c r="E684" i="23"/>
  <c r="E764" i="23"/>
  <c r="E784" i="23"/>
  <c r="E425" i="23"/>
  <c r="E505" i="23"/>
  <c r="E605" i="23"/>
  <c r="E685" i="23"/>
  <c r="E765" i="23"/>
  <c r="E785" i="23"/>
  <c r="E427" i="23"/>
  <c r="E507" i="23"/>
  <c r="E587" i="23"/>
  <c r="E607" i="23"/>
  <c r="E687" i="23"/>
  <c r="E767" i="23"/>
  <c r="E418" i="23"/>
  <c r="E498" i="23"/>
  <c r="E419" i="23"/>
  <c r="E499" i="23"/>
  <c r="E426" i="23"/>
  <c r="E506" i="23"/>
  <c r="E586" i="23"/>
  <c r="E428" i="23"/>
  <c r="E508" i="23"/>
  <c r="E588" i="23"/>
  <c r="E429" i="23"/>
  <c r="E509" i="23"/>
  <c r="E589" i="23"/>
  <c r="E519" i="23"/>
  <c r="E599" i="23"/>
  <c r="E679" i="23"/>
  <c r="E606" i="23"/>
  <c r="E686" i="23"/>
  <c r="E766" i="23"/>
  <c r="E768" i="23"/>
  <c r="E518" i="23"/>
  <c r="E769" i="23"/>
  <c r="E778" i="23"/>
  <c r="E689" i="23"/>
  <c r="E779" i="23"/>
  <c r="E608" i="23"/>
  <c r="E678" i="23"/>
  <c r="E598" i="23"/>
  <c r="E688" i="23"/>
  <c r="E609" i="23"/>
  <c r="E1190" i="23"/>
  <c r="E1210" i="23"/>
  <c r="E1230" i="23"/>
  <c r="E1191" i="23"/>
  <c r="E1211" i="23"/>
  <c r="E1231" i="23"/>
  <c r="E1193" i="23"/>
  <c r="E1213" i="23"/>
  <c r="E1233" i="23"/>
  <c r="E1194" i="23"/>
  <c r="E1214" i="23"/>
  <c r="E1234" i="23"/>
  <c r="E1195" i="23"/>
  <c r="E1215" i="23"/>
  <c r="E1235" i="23"/>
  <c r="E1196" i="23"/>
  <c r="E1216" i="23"/>
  <c r="E1236" i="23"/>
  <c r="E1197" i="23"/>
  <c r="E1217" i="23"/>
  <c r="E1237" i="23"/>
  <c r="E1200" i="23"/>
  <c r="E1220" i="23"/>
  <c r="E1240" i="23"/>
  <c r="E1201" i="23"/>
  <c r="E1221" i="23"/>
  <c r="E1241" i="23"/>
  <c r="E1202" i="23"/>
  <c r="E1222" i="23"/>
  <c r="E1242" i="23"/>
  <c r="E1183" i="23"/>
  <c r="E1203" i="23"/>
  <c r="E1223" i="23"/>
  <c r="E1184" i="23"/>
  <c r="E1204" i="23"/>
  <c r="E1224" i="23"/>
  <c r="E1185" i="23"/>
  <c r="E1205" i="23"/>
  <c r="E1225" i="23"/>
  <c r="E1187" i="23"/>
  <c r="E1207" i="23"/>
  <c r="E1227" i="23"/>
  <c r="E1229" i="23"/>
  <c r="E1232" i="23"/>
  <c r="E1238" i="23"/>
  <c r="E1239" i="23"/>
  <c r="E1186" i="23"/>
  <c r="E1188" i="23"/>
  <c r="E1189" i="23"/>
  <c r="E1192" i="23"/>
  <c r="E1198" i="23"/>
  <c r="E1199" i="23"/>
  <c r="E1208" i="23"/>
  <c r="E1209" i="23"/>
  <c r="E1212" i="23"/>
  <c r="E1218" i="23"/>
  <c r="E1219" i="23"/>
  <c r="E1226" i="23"/>
  <c r="E1228" i="23"/>
  <c r="E1206" i="23"/>
  <c r="E8" i="23"/>
  <c r="E9" i="23"/>
  <c r="E10" i="23"/>
  <c r="E30" i="23"/>
  <c r="E50" i="23"/>
  <c r="E11" i="23"/>
  <c r="E31" i="23"/>
  <c r="E51" i="23"/>
  <c r="E12" i="23"/>
  <c r="E32" i="23"/>
  <c r="E52" i="23"/>
  <c r="E13" i="23"/>
  <c r="E33" i="23"/>
  <c r="E53" i="23"/>
  <c r="E34" i="23"/>
  <c r="E54" i="23"/>
  <c r="E74" i="23"/>
  <c r="E35" i="23"/>
  <c r="E55" i="23"/>
  <c r="E75" i="23"/>
  <c r="E36" i="23"/>
  <c r="E56" i="23"/>
  <c r="E76" i="23"/>
  <c r="E37" i="23"/>
  <c r="E57" i="23"/>
  <c r="E77" i="23"/>
  <c r="E60" i="23"/>
  <c r="E80" i="23"/>
  <c r="E100" i="23"/>
  <c r="E61" i="23"/>
  <c r="E81" i="23"/>
  <c r="E101" i="23"/>
  <c r="E2" i="23"/>
  <c r="E82" i="23"/>
  <c r="E102" i="23"/>
  <c r="E3" i="23"/>
  <c r="E83" i="23"/>
  <c r="E103" i="23"/>
  <c r="E4" i="23"/>
  <c r="E84" i="23"/>
  <c r="E104" i="23"/>
  <c r="E5" i="23"/>
  <c r="E85" i="23"/>
  <c r="E105" i="23"/>
  <c r="E6" i="23"/>
  <c r="E7" i="23"/>
  <c r="E27" i="23"/>
  <c r="E107" i="23"/>
  <c r="E78" i="23"/>
  <c r="E79" i="23"/>
  <c r="E98" i="23"/>
  <c r="E99" i="23"/>
  <c r="E26" i="23"/>
  <c r="E106" i="23"/>
  <c r="E28" i="23"/>
  <c r="E108" i="23"/>
  <c r="E29" i="23"/>
  <c r="E109" i="23"/>
  <c r="E58" i="23"/>
  <c r="E59" i="23"/>
  <c r="E130" i="23"/>
  <c r="E230" i="23"/>
  <c r="E310" i="23"/>
  <c r="E131" i="23"/>
  <c r="E231" i="23"/>
  <c r="E311" i="23"/>
  <c r="E132" i="23"/>
  <c r="E232" i="23"/>
  <c r="E312" i="23"/>
  <c r="E133" i="23"/>
  <c r="E233" i="23"/>
  <c r="E313" i="23"/>
  <c r="E134" i="23"/>
  <c r="E234" i="23"/>
  <c r="E274" i="23"/>
  <c r="E314" i="23"/>
  <c r="E135" i="23"/>
  <c r="E235" i="23"/>
  <c r="E275" i="23"/>
  <c r="E315" i="23"/>
  <c r="E136" i="23"/>
  <c r="E236" i="23"/>
  <c r="E276" i="23"/>
  <c r="E316" i="23"/>
  <c r="E137" i="23"/>
  <c r="E237" i="23"/>
  <c r="E277" i="23"/>
  <c r="E317" i="23"/>
  <c r="E140" i="23"/>
  <c r="E180" i="23"/>
  <c r="E280" i="23"/>
  <c r="E320" i="23"/>
  <c r="E141" i="23"/>
  <c r="E181" i="23"/>
  <c r="E281" i="23"/>
  <c r="E321" i="23"/>
  <c r="E182" i="23"/>
  <c r="E282" i="23"/>
  <c r="E183" i="23"/>
  <c r="E283" i="23"/>
  <c r="E184" i="23"/>
  <c r="E284" i="23"/>
  <c r="E185" i="23"/>
  <c r="E285" i="23"/>
  <c r="E187" i="23"/>
  <c r="E227" i="23"/>
  <c r="E228" i="23"/>
  <c r="E229" i="23"/>
  <c r="E318" i="23"/>
  <c r="E319" i="23"/>
  <c r="E178" i="23"/>
  <c r="E179" i="23"/>
  <c r="E186" i="23"/>
  <c r="E188" i="23"/>
  <c r="E189" i="23"/>
  <c r="E279" i="23"/>
  <c r="E138" i="23"/>
  <c r="E226" i="23"/>
  <c r="E278" i="23"/>
  <c r="E139" i="23"/>
  <c r="E70" i="23"/>
  <c r="E90" i="23"/>
  <c r="E110" i="23"/>
  <c r="E71" i="23"/>
  <c r="E91" i="23"/>
  <c r="E111" i="23"/>
  <c r="E72" i="23"/>
  <c r="E92" i="23"/>
  <c r="E112" i="23"/>
  <c r="E73" i="23"/>
  <c r="E93" i="23"/>
  <c r="E113" i="23"/>
  <c r="E14" i="23"/>
  <c r="E94" i="23"/>
  <c r="E114" i="23"/>
  <c r="E15" i="23"/>
  <c r="E95" i="23"/>
  <c r="E115" i="23"/>
  <c r="E16" i="23"/>
  <c r="E96" i="23"/>
  <c r="E116" i="23"/>
  <c r="E17" i="23"/>
  <c r="E97" i="23"/>
  <c r="E117" i="23"/>
  <c r="E18" i="23"/>
  <c r="E19" i="23"/>
  <c r="E20" i="23"/>
  <c r="E40" i="23"/>
  <c r="E120" i="23"/>
  <c r="E21" i="23"/>
  <c r="E41" i="23"/>
  <c r="E121" i="23"/>
  <c r="E22" i="23"/>
  <c r="E42" i="23"/>
  <c r="E62" i="23"/>
  <c r="E23" i="23"/>
  <c r="E43" i="23"/>
  <c r="E63" i="23"/>
  <c r="E24" i="23"/>
  <c r="E44" i="23"/>
  <c r="E64" i="23"/>
  <c r="E25" i="23"/>
  <c r="E45" i="23"/>
  <c r="E65" i="23"/>
  <c r="E47" i="23"/>
  <c r="E67" i="23"/>
  <c r="E87" i="23"/>
  <c r="E68" i="23"/>
  <c r="E69" i="23"/>
  <c r="E86" i="23"/>
  <c r="E88" i="23"/>
  <c r="E89" i="23"/>
  <c r="E39" i="23"/>
  <c r="E119" i="23"/>
  <c r="E46" i="23"/>
  <c r="E38" i="23"/>
  <c r="E48" i="23"/>
  <c r="E49" i="23"/>
  <c r="E66" i="23"/>
  <c r="E118" i="23"/>
  <c r="E950" i="23"/>
  <c r="E990" i="23"/>
  <c r="E1030" i="23"/>
  <c r="E1070" i="23"/>
  <c r="E1110" i="23"/>
  <c r="E951" i="23"/>
  <c r="E991" i="23"/>
  <c r="E952" i="23"/>
  <c r="E980" i="23"/>
  <c r="E1020" i="23"/>
  <c r="E1060" i="23"/>
  <c r="E1100" i="23"/>
  <c r="E941" i="23"/>
  <c r="E981" i="23"/>
  <c r="E1021" i="23"/>
  <c r="E1061" i="23"/>
  <c r="E1101" i="23"/>
  <c r="E942" i="23"/>
  <c r="E982" i="23"/>
  <c r="E1022" i="23"/>
  <c r="E1062" i="23"/>
  <c r="E1102" i="23"/>
  <c r="E943" i="23"/>
  <c r="E983" i="23"/>
  <c r="E1023" i="23"/>
  <c r="E1063" i="23"/>
  <c r="E1103" i="23"/>
  <c r="E944" i="23"/>
  <c r="E984" i="23"/>
  <c r="E1024" i="23"/>
  <c r="E1064" i="23"/>
  <c r="E1104" i="23"/>
  <c r="E945" i="23"/>
  <c r="E985" i="23"/>
  <c r="E1025" i="23"/>
  <c r="E1065" i="23"/>
  <c r="E1105" i="23"/>
  <c r="E947" i="23"/>
  <c r="E987" i="23"/>
  <c r="E1027" i="23"/>
  <c r="E1067" i="23"/>
  <c r="E1107" i="23"/>
  <c r="E948" i="23"/>
  <c r="E1028" i="23"/>
  <c r="E949" i="23"/>
  <c r="E1029" i="23"/>
  <c r="E1099" i="23"/>
  <c r="E1106" i="23"/>
  <c r="E1108" i="23"/>
  <c r="E1109" i="23"/>
  <c r="E986" i="23"/>
  <c r="E1059" i="23"/>
  <c r="E988" i="23"/>
  <c r="E1066" i="23"/>
  <c r="E989" i="23"/>
  <c r="E1068" i="23"/>
  <c r="E946" i="23"/>
  <c r="E1019" i="23"/>
  <c r="E1026" i="23"/>
  <c r="E1069" i="23"/>
  <c r="E390" i="23"/>
  <c r="E570" i="23"/>
  <c r="E650" i="23"/>
  <c r="E750" i="23"/>
  <c r="E391" i="23"/>
  <c r="E571" i="23"/>
  <c r="E651" i="23"/>
  <c r="E751" i="23"/>
  <c r="E392" i="23"/>
  <c r="E572" i="23"/>
  <c r="E652" i="23"/>
  <c r="E752" i="23"/>
  <c r="E393" i="23"/>
  <c r="E573" i="23"/>
  <c r="E653" i="23"/>
  <c r="E753" i="23"/>
  <c r="E394" i="23"/>
  <c r="E474" i="23"/>
  <c r="E574" i="23"/>
  <c r="E654" i="23"/>
  <c r="E395" i="23"/>
  <c r="E475" i="23"/>
  <c r="E575" i="23"/>
  <c r="E655" i="23"/>
  <c r="E396" i="23"/>
  <c r="E476" i="23"/>
  <c r="E576" i="23"/>
  <c r="E656" i="23"/>
  <c r="E397" i="23"/>
  <c r="E477" i="23"/>
  <c r="E577" i="23"/>
  <c r="E657" i="23"/>
  <c r="E400" i="23"/>
  <c r="E480" i="23"/>
  <c r="E660" i="23"/>
  <c r="E740" i="23"/>
  <c r="E401" i="23"/>
  <c r="E481" i="23"/>
  <c r="E661" i="23"/>
  <c r="E741" i="23"/>
  <c r="E482" i="23"/>
  <c r="E562" i="23"/>
  <c r="E662" i="23"/>
  <c r="E742" i="23"/>
  <c r="E483" i="23"/>
  <c r="E563" i="23"/>
  <c r="E663" i="23"/>
  <c r="E743" i="23"/>
  <c r="E484" i="23"/>
  <c r="E564" i="23"/>
  <c r="E664" i="23"/>
  <c r="E744" i="23"/>
  <c r="E485" i="23"/>
  <c r="E565" i="23"/>
  <c r="E665" i="23"/>
  <c r="E745" i="23"/>
  <c r="E387" i="23"/>
  <c r="E487" i="23"/>
  <c r="E567" i="23"/>
  <c r="E747" i="23"/>
  <c r="E388" i="23"/>
  <c r="E389" i="23"/>
  <c r="E398" i="23"/>
  <c r="E478" i="23"/>
  <c r="E399" i="23"/>
  <c r="E479" i="23"/>
  <c r="E486" i="23"/>
  <c r="E566" i="23"/>
  <c r="E488" i="23"/>
  <c r="E568" i="23"/>
  <c r="E489" i="23"/>
  <c r="E569" i="23"/>
  <c r="E658" i="23"/>
  <c r="E738" i="23"/>
  <c r="E659" i="23"/>
  <c r="E739" i="23"/>
  <c r="E746" i="23"/>
  <c r="E748" i="23"/>
  <c r="E749" i="23"/>
  <c r="E386" i="23"/>
  <c r="E1130" i="23"/>
  <c r="E1150" i="23"/>
  <c r="E1170" i="23"/>
  <c r="E1131" i="23"/>
  <c r="E1151" i="23"/>
  <c r="E1171" i="23"/>
  <c r="E1133" i="23"/>
  <c r="E1153" i="23"/>
  <c r="E1173" i="23"/>
  <c r="E1134" i="23"/>
  <c r="E1154" i="23"/>
  <c r="E1174" i="23"/>
  <c r="E1135" i="23"/>
  <c r="E1155" i="23"/>
  <c r="E1175" i="23"/>
  <c r="E1136" i="23"/>
  <c r="E1156" i="23"/>
  <c r="E1176" i="23"/>
  <c r="E1137" i="23"/>
  <c r="E1157" i="23"/>
  <c r="E1177" i="23"/>
  <c r="E1140" i="23"/>
  <c r="E1160" i="23"/>
  <c r="E1180" i="23"/>
  <c r="E1141" i="23"/>
  <c r="E1161" i="23"/>
  <c r="E1181" i="23"/>
  <c r="E1142" i="23"/>
  <c r="E1162" i="23"/>
  <c r="E1182" i="23"/>
  <c r="E1123" i="23"/>
  <c r="E1143" i="23"/>
  <c r="E1163" i="23"/>
  <c r="E1124" i="23"/>
  <c r="E1144" i="23"/>
  <c r="E1164" i="23"/>
  <c r="E1125" i="23"/>
  <c r="E1145" i="23"/>
  <c r="E1165" i="23"/>
  <c r="E1127" i="23"/>
  <c r="E1147" i="23"/>
  <c r="E1167" i="23"/>
  <c r="E1166" i="23"/>
  <c r="E1168" i="23"/>
  <c r="E1169" i="23"/>
  <c r="E1172" i="23"/>
  <c r="E1178" i="23"/>
  <c r="E1179" i="23"/>
  <c r="E1126" i="23"/>
  <c r="E1128" i="23"/>
  <c r="E1129" i="23"/>
  <c r="E1132" i="23"/>
  <c r="E1139" i="23"/>
  <c r="E1146" i="23"/>
  <c r="E1152" i="23"/>
  <c r="E1138" i="23"/>
  <c r="E1159" i="23"/>
  <c r="E1148" i="23"/>
  <c r="E1149" i="23"/>
  <c r="E1158" i="23"/>
  <c r="E210" i="23"/>
  <c r="E250" i="23"/>
  <c r="E211" i="23"/>
  <c r="E251" i="23"/>
  <c r="E212" i="23"/>
  <c r="E252" i="23"/>
  <c r="E213" i="23"/>
  <c r="E253" i="23"/>
  <c r="E154" i="23"/>
  <c r="E254" i="23"/>
  <c r="E334" i="23"/>
  <c r="E155" i="23"/>
  <c r="E255" i="23"/>
  <c r="E335" i="23"/>
  <c r="E156" i="23"/>
  <c r="E256" i="23"/>
  <c r="E336" i="23"/>
  <c r="E157" i="23"/>
  <c r="E257" i="23"/>
  <c r="E337" i="23"/>
  <c r="E160" i="23"/>
  <c r="E260" i="23"/>
  <c r="E300" i="23"/>
  <c r="E340" i="23"/>
  <c r="E161" i="23"/>
  <c r="E261" i="23"/>
  <c r="E301" i="23"/>
  <c r="E341" i="23"/>
  <c r="E162" i="23"/>
  <c r="E202" i="23"/>
  <c r="E302" i="23"/>
  <c r="E342" i="23"/>
  <c r="E163" i="23"/>
  <c r="E203" i="23"/>
  <c r="E303" i="23"/>
  <c r="E343" i="23"/>
  <c r="E164" i="23"/>
  <c r="E204" i="23"/>
  <c r="E304" i="23"/>
  <c r="E344" i="23"/>
  <c r="E165" i="23"/>
  <c r="E205" i="23"/>
  <c r="E305" i="23"/>
  <c r="E345" i="23"/>
  <c r="E207" i="23"/>
  <c r="E307" i="23"/>
  <c r="E308" i="23"/>
  <c r="E309" i="23"/>
  <c r="E158" i="23"/>
  <c r="E159" i="23"/>
  <c r="E258" i="23"/>
  <c r="E338" i="23"/>
  <c r="E259" i="23"/>
  <c r="E339" i="23"/>
  <c r="E206" i="23"/>
  <c r="E208" i="23"/>
  <c r="E209" i="23"/>
  <c r="E306" i="23"/>
  <c r="E298" i="23"/>
  <c r="E299" i="23"/>
  <c r="E170" i="23"/>
  <c r="E270" i="23"/>
  <c r="E171" i="23"/>
  <c r="E271" i="23"/>
  <c r="E172" i="23"/>
  <c r="E272" i="23"/>
  <c r="E173" i="23"/>
  <c r="E273" i="23"/>
  <c r="E174" i="23"/>
  <c r="E214" i="23"/>
  <c r="E175" i="23"/>
  <c r="E215" i="23"/>
  <c r="E176" i="23"/>
  <c r="E216" i="23"/>
  <c r="E177" i="23"/>
  <c r="E217" i="23"/>
  <c r="E220" i="23"/>
  <c r="E221" i="23"/>
  <c r="E222" i="23"/>
  <c r="E262" i="23"/>
  <c r="E223" i="23"/>
  <c r="E263" i="23"/>
  <c r="E224" i="23"/>
  <c r="E264" i="23"/>
  <c r="E225" i="23"/>
  <c r="E265" i="23"/>
  <c r="E167" i="23"/>
  <c r="E267" i="23"/>
  <c r="E166" i="23"/>
  <c r="E168" i="23"/>
  <c r="E169" i="23"/>
  <c r="E266" i="23"/>
  <c r="E268" i="23"/>
  <c r="E269" i="23"/>
  <c r="E218" i="23"/>
  <c r="E219" i="23"/>
  <c r="E790" i="23"/>
  <c r="E810" i="23"/>
  <c r="E830" i="23"/>
  <c r="E791" i="23"/>
  <c r="E811" i="23"/>
  <c r="E831" i="23"/>
  <c r="E792" i="23"/>
  <c r="E812" i="23"/>
  <c r="E832" i="23"/>
  <c r="E793" i="23"/>
  <c r="E813" i="23"/>
  <c r="E833" i="23"/>
  <c r="E794" i="23"/>
  <c r="E814" i="23"/>
  <c r="E834" i="23"/>
  <c r="E795" i="23"/>
  <c r="E815" i="23"/>
  <c r="E835" i="23"/>
  <c r="E796" i="23"/>
  <c r="E816" i="23"/>
  <c r="E836" i="23"/>
  <c r="E797" i="23"/>
  <c r="E817" i="23"/>
  <c r="E837" i="23"/>
  <c r="E800" i="23"/>
  <c r="E820" i="23"/>
  <c r="E840" i="23"/>
  <c r="E801" i="23"/>
  <c r="E821" i="23"/>
  <c r="E841" i="23"/>
  <c r="E802" i="23"/>
  <c r="E822" i="23"/>
  <c r="E842" i="23"/>
  <c r="E803" i="23"/>
  <c r="E823" i="23"/>
  <c r="E843" i="23"/>
  <c r="E804" i="23"/>
  <c r="E824" i="23"/>
  <c r="E844" i="23"/>
  <c r="E805" i="23"/>
  <c r="E825" i="23"/>
  <c r="E845" i="23"/>
  <c r="E787" i="23"/>
  <c r="E807" i="23"/>
  <c r="E827" i="23"/>
  <c r="E788" i="23"/>
  <c r="E789" i="23"/>
  <c r="E798" i="23"/>
  <c r="E799" i="23"/>
  <c r="E806" i="23"/>
  <c r="E808" i="23"/>
  <c r="E809" i="23"/>
  <c r="E818" i="23"/>
  <c r="E819" i="23"/>
  <c r="E826" i="23"/>
  <c r="E828" i="23"/>
  <c r="E829" i="23"/>
  <c r="E839" i="23"/>
  <c r="E786" i="23"/>
  <c r="E838" i="23"/>
  <c r="E1031" i="23"/>
  <c r="E1071" i="23"/>
  <c r="E1111" i="23"/>
  <c r="E992" i="23"/>
  <c r="E1032" i="23"/>
  <c r="E953" i="23"/>
  <c r="E993" i="23"/>
  <c r="E1033" i="23"/>
  <c r="E1073" i="23"/>
  <c r="E1113" i="23"/>
  <c r="E954" i="23"/>
  <c r="E994" i="23"/>
  <c r="E1034" i="23"/>
  <c r="E1074" i="23"/>
  <c r="E1114" i="23"/>
  <c r="E955" i="23"/>
  <c r="E995" i="23"/>
  <c r="E1035" i="23"/>
  <c r="E1075" i="23"/>
  <c r="E1115" i="23"/>
  <c r="E956" i="23"/>
  <c r="E996" i="23"/>
  <c r="E1036" i="23"/>
  <c r="E1076" i="23"/>
  <c r="E1116" i="23"/>
  <c r="E957" i="23"/>
  <c r="E997" i="23"/>
  <c r="E1037" i="23"/>
  <c r="E1077" i="23"/>
  <c r="E1117" i="23"/>
  <c r="E960" i="23"/>
  <c r="E1000" i="23"/>
  <c r="E1040" i="23"/>
  <c r="E1080" i="23"/>
  <c r="E1120" i="23"/>
  <c r="E961" i="23"/>
  <c r="E1001" i="23"/>
  <c r="E1041" i="23"/>
  <c r="E1081" i="23"/>
  <c r="E1121" i="23"/>
  <c r="E962" i="23"/>
  <c r="E1002" i="23"/>
  <c r="E1042" i="23"/>
  <c r="E1082" i="23"/>
  <c r="E1122" i="23"/>
  <c r="E963" i="23"/>
  <c r="E1003" i="23"/>
  <c r="E964" i="23"/>
  <c r="E958" i="23"/>
  <c r="E1038" i="23"/>
  <c r="E959" i="23"/>
  <c r="E1039" i="23"/>
  <c r="E1112" i="23"/>
  <c r="E1118" i="23"/>
  <c r="E1119" i="23"/>
  <c r="E999" i="23"/>
  <c r="E1072" i="23"/>
  <c r="E1078" i="23"/>
  <c r="E998" i="23"/>
  <c r="E1079" i="23"/>
  <c r="E1413" i="23"/>
  <c r="E1433" i="23"/>
  <c r="E1453" i="23"/>
  <c r="E1414" i="23"/>
  <c r="E1434" i="23"/>
  <c r="E1454" i="23"/>
  <c r="E1415" i="23"/>
  <c r="E1435" i="23"/>
  <c r="E1455" i="23"/>
  <c r="E1397" i="23"/>
  <c r="E1417" i="23"/>
  <c r="E1437" i="23"/>
  <c r="E1400" i="23"/>
  <c r="E1420" i="23"/>
  <c r="E1440" i="23"/>
  <c r="E1401" i="23"/>
  <c r="E1421" i="23"/>
  <c r="E1441" i="23"/>
  <c r="E1402" i="23"/>
  <c r="E1422" i="23"/>
  <c r="E1442" i="23"/>
  <c r="E1404" i="23"/>
  <c r="E1424" i="23"/>
  <c r="E1444" i="23"/>
  <c r="E1405" i="23"/>
  <c r="E1425" i="23"/>
  <c r="E1445" i="23"/>
  <c r="E1407" i="23"/>
  <c r="E1427" i="23"/>
  <c r="E1447" i="23"/>
  <c r="E1431" i="23"/>
  <c r="E1432" i="23"/>
  <c r="E1396" i="23"/>
  <c r="E1436" i="23"/>
  <c r="E1398" i="23"/>
  <c r="E1438" i="23"/>
  <c r="E1399" i="23"/>
  <c r="E1439" i="23"/>
  <c r="E1403" i="23"/>
  <c r="E1443" i="23"/>
  <c r="E1406" i="23"/>
  <c r="E1446" i="23"/>
  <c r="E1408" i="23"/>
  <c r="E1448" i="23"/>
  <c r="E1409" i="23"/>
  <c r="E1449" i="23"/>
  <c r="E1410" i="23"/>
  <c r="E1450" i="23"/>
  <c r="E1411" i="23"/>
  <c r="E1451" i="23"/>
  <c r="E1412" i="23"/>
  <c r="E1452" i="23"/>
  <c r="E1418" i="23"/>
  <c r="E1419" i="23"/>
  <c r="E1416" i="23"/>
  <c r="E1423" i="23"/>
  <c r="E1426" i="23"/>
  <c r="E1428" i="23"/>
  <c r="E1429" i="23"/>
  <c r="E1430" i="23"/>
  <c r="D6" i="17"/>
  <c r="D8" i="17"/>
  <c r="AA10" i="2"/>
  <c r="AC10" i="2" s="1"/>
  <c r="AA11" i="2"/>
  <c r="AC11" i="2" s="1"/>
  <c r="AA12" i="2"/>
  <c r="AC12" i="2" s="1"/>
  <c r="AA13" i="2"/>
  <c r="AC13" i="2" s="1"/>
  <c r="D7" i="17"/>
  <c r="AA15" i="2"/>
  <c r="AA17" i="2"/>
  <c r="AA19" i="2"/>
  <c r="AA20" i="2"/>
  <c r="V20" i="2"/>
  <c r="V19" i="2"/>
  <c r="Y18" i="2"/>
  <c r="AA18" i="2" s="1"/>
  <c r="V18" i="2"/>
  <c r="V17" i="2"/>
  <c r="V16" i="2"/>
  <c r="V15" i="2"/>
  <c r="Y9" i="2"/>
  <c r="Y8" i="2"/>
  <c r="AC8" i="2" s="1"/>
  <c r="D14" i="17" s="1"/>
  <c r="Y7" i="2"/>
  <c r="Y6" i="2"/>
  <c r="D11" i="17" s="1"/>
  <c r="Y5" i="2"/>
  <c r="D10" i="17" s="1"/>
  <c r="Y4" i="2"/>
  <c r="D9" i="17" s="1"/>
  <c r="V14" i="2"/>
  <c r="LB2" i="17"/>
  <c r="RU23" i="17"/>
  <c r="QS23" i="17"/>
  <c r="PQ23" i="17"/>
  <c r="PQ20" i="17"/>
  <c r="OO23" i="17"/>
  <c r="OO20" i="17"/>
  <c r="NM23" i="17"/>
  <c r="NM20" i="17"/>
  <c r="JD23" i="17"/>
  <c r="JD20" i="17"/>
  <c r="GY23" i="17"/>
  <c r="GY20" i="17"/>
  <c r="MK23" i="17"/>
  <c r="LI23" i="17"/>
  <c r="FW23" i="17"/>
  <c r="IB23" i="17"/>
  <c r="EU23" i="17"/>
  <c r="KF23" i="17"/>
  <c r="CQ3" i="1"/>
  <c r="CQ4" i="1"/>
  <c r="CQ5" i="1"/>
  <c r="CQ6" i="1"/>
  <c r="CQ7" i="1"/>
  <c r="CQ8" i="1"/>
  <c r="CQ9" i="1"/>
  <c r="CQ10" i="1"/>
  <c r="CQ11" i="1"/>
  <c r="CQ12" i="1"/>
  <c r="CQ13" i="1"/>
  <c r="CQ14" i="1"/>
  <c r="CQ15" i="1"/>
  <c r="CQ16" i="1"/>
  <c r="CQ17" i="1"/>
  <c r="CQ18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4" i="1"/>
  <c r="CQ35" i="1"/>
  <c r="CQ36" i="1"/>
  <c r="CQ37" i="1"/>
  <c r="CQ38" i="1"/>
  <c r="CQ39" i="1"/>
  <c r="CQ40" i="1"/>
  <c r="CQ41" i="1"/>
  <c r="CQ42" i="1"/>
  <c r="CQ43" i="1"/>
  <c r="CQ44" i="1"/>
  <c r="CQ45" i="1"/>
  <c r="CQ46" i="1"/>
  <c r="CQ47" i="1"/>
  <c r="CQ48" i="1"/>
  <c r="CQ49" i="1"/>
  <c r="CQ50" i="1"/>
  <c r="CQ51" i="1"/>
  <c r="CQ52" i="1"/>
  <c r="CQ53" i="1"/>
  <c r="CQ54" i="1"/>
  <c r="CQ55" i="1"/>
  <c r="CQ56" i="1"/>
  <c r="CQ57" i="1"/>
  <c r="CQ58" i="1"/>
  <c r="CQ59" i="1"/>
  <c r="CQ60" i="1"/>
  <c r="CQ61" i="1"/>
  <c r="CQ62" i="1"/>
  <c r="CQ63" i="1"/>
  <c r="CQ64" i="1"/>
  <c r="CQ65" i="1"/>
  <c r="CQ66" i="1"/>
  <c r="CQ67" i="1"/>
  <c r="CQ68" i="1"/>
  <c r="CQ69" i="1"/>
  <c r="CQ70" i="1"/>
  <c r="CQ71" i="1"/>
  <c r="CQ72" i="1"/>
  <c r="CQ73" i="1"/>
  <c r="CQ74" i="1"/>
  <c r="CQ75" i="1"/>
  <c r="CQ76" i="1"/>
  <c r="CQ77" i="1"/>
  <c r="CQ78" i="1"/>
  <c r="CQ79" i="1"/>
  <c r="CQ80" i="1"/>
  <c r="CQ81" i="1"/>
  <c r="CQ82" i="1"/>
  <c r="CQ83" i="1"/>
  <c r="CQ84" i="1"/>
  <c r="CQ85" i="1"/>
  <c r="CQ86" i="1"/>
  <c r="CQ87" i="1"/>
  <c r="CQ88" i="1"/>
  <c r="CQ89" i="1"/>
  <c r="CQ90" i="1"/>
  <c r="CQ91" i="1"/>
  <c r="CQ92" i="1"/>
  <c r="CQ93" i="1"/>
  <c r="CQ94" i="1"/>
  <c r="CQ95" i="1"/>
  <c r="CQ96" i="1"/>
  <c r="CQ97" i="1"/>
  <c r="CQ98" i="1"/>
  <c r="CQ99" i="1"/>
  <c r="CQ100" i="1"/>
  <c r="CQ101" i="1"/>
  <c r="CQ102" i="1"/>
  <c r="CQ103" i="1"/>
  <c r="CQ104" i="1"/>
  <c r="CQ105" i="1"/>
  <c r="CQ106" i="1"/>
  <c r="CQ107" i="1"/>
  <c r="CQ108" i="1"/>
  <c r="CQ109" i="1"/>
  <c r="BN20" i="17"/>
  <c r="DR23" i="17"/>
  <c r="CP23" i="17"/>
  <c r="BN23" i="17"/>
  <c r="AL23" i="17"/>
  <c r="J23" i="17" l="1"/>
  <c r="G72" i="11"/>
  <c r="G68" i="11"/>
  <c r="F68" i="11"/>
  <c r="G20" i="11"/>
  <c r="G29" i="11"/>
  <c r="H29" i="11"/>
  <c r="G24" i="11"/>
  <c r="CP3" i="1" l="1"/>
  <c r="CP4" i="1"/>
  <c r="CP5" i="1"/>
  <c r="CP6" i="1"/>
  <c r="CP7" i="1"/>
  <c r="CP8" i="1"/>
  <c r="CP9" i="1"/>
  <c r="CP10" i="1"/>
  <c r="CP11" i="1"/>
  <c r="CP12" i="1"/>
  <c r="CP13" i="1"/>
  <c r="CP14" i="1"/>
  <c r="CP15" i="1"/>
  <c r="CP16" i="1"/>
  <c r="CP17" i="1"/>
  <c r="CP18" i="1"/>
  <c r="CP19" i="1"/>
  <c r="CP20" i="1"/>
  <c r="CP21" i="1"/>
  <c r="CP22" i="1"/>
  <c r="CP23" i="1"/>
  <c r="CP24" i="1"/>
  <c r="CP25" i="1"/>
  <c r="CP26" i="1"/>
  <c r="CP27" i="1"/>
  <c r="CP28" i="1"/>
  <c r="CP29" i="1"/>
  <c r="CP30" i="1"/>
  <c r="CP31" i="1"/>
  <c r="CP32" i="1"/>
  <c r="CP33" i="1"/>
  <c r="CP34" i="1"/>
  <c r="CP35" i="1"/>
  <c r="CP36" i="1"/>
  <c r="CP37" i="1"/>
  <c r="CP38" i="1"/>
  <c r="CP39" i="1"/>
  <c r="CP40" i="1"/>
  <c r="CP41" i="1"/>
  <c r="CP42" i="1"/>
  <c r="CP43" i="1"/>
  <c r="CP44" i="1"/>
  <c r="CP45" i="1"/>
  <c r="CP46" i="1"/>
  <c r="CP47" i="1"/>
  <c r="CP48" i="1"/>
  <c r="CP49" i="1"/>
  <c r="CP50" i="1"/>
  <c r="CP51" i="1"/>
  <c r="CP52" i="1"/>
  <c r="CP53" i="1"/>
  <c r="CP54" i="1"/>
  <c r="CP55" i="1"/>
  <c r="CP56" i="1"/>
  <c r="CP57" i="1"/>
  <c r="CP58" i="1"/>
  <c r="CP59" i="1"/>
  <c r="CP60" i="1"/>
  <c r="CP61" i="1"/>
  <c r="CP62" i="1"/>
  <c r="CP63" i="1"/>
  <c r="CP64" i="1"/>
  <c r="CP65" i="1"/>
  <c r="CP66" i="1"/>
  <c r="CP67" i="1"/>
  <c r="CP68" i="1"/>
  <c r="CP69" i="1"/>
  <c r="CP70" i="1"/>
  <c r="CP71" i="1"/>
  <c r="CP72" i="1"/>
  <c r="CP73" i="1"/>
  <c r="CP74" i="1"/>
  <c r="CP75" i="1"/>
  <c r="CP76" i="1"/>
  <c r="CP77" i="1"/>
  <c r="CP78" i="1"/>
  <c r="CP79" i="1"/>
  <c r="CP80" i="1"/>
  <c r="CP81" i="1"/>
  <c r="CP82" i="1"/>
  <c r="CP83" i="1"/>
  <c r="CP84" i="1"/>
  <c r="CP85" i="1"/>
  <c r="CP86" i="1"/>
  <c r="CP87" i="1"/>
  <c r="CP88" i="1"/>
  <c r="CP89" i="1"/>
  <c r="CP90" i="1"/>
  <c r="CP91" i="1"/>
  <c r="CP92" i="1"/>
  <c r="CP93" i="1"/>
  <c r="CP94" i="1"/>
  <c r="CP95" i="1"/>
  <c r="CP96" i="1"/>
  <c r="CP97" i="1"/>
  <c r="CP98" i="1"/>
  <c r="CP99" i="1"/>
  <c r="CP100" i="1"/>
  <c r="CP101" i="1"/>
  <c r="CP102" i="1"/>
  <c r="CP103" i="1"/>
  <c r="CP104" i="1"/>
  <c r="CP105" i="1"/>
  <c r="CP106" i="1"/>
  <c r="CP107" i="1"/>
  <c r="CP108" i="1"/>
  <c r="CP109" i="1"/>
  <c r="C13" i="14"/>
  <c r="KA2" i="17"/>
  <c r="IY2" i="17"/>
  <c r="HW2" i="17"/>
  <c r="HU2" i="17"/>
  <c r="GT2" i="17"/>
  <c r="FR2" i="17"/>
  <c r="EP2" i="17"/>
  <c r="EN2" i="17"/>
  <c r="DM2" i="17"/>
  <c r="CK2" i="17"/>
  <c r="BI2" i="17"/>
  <c r="AG2" i="17"/>
  <c r="E2" i="17"/>
  <c r="NH2" i="17" l="1"/>
  <c r="SQ2" i="17"/>
  <c r="MF2" i="17"/>
  <c r="LD2" i="17"/>
  <c r="RP2" i="17"/>
  <c r="QN2" i="17"/>
  <c r="PL2" i="17"/>
  <c r="OJ2" i="17"/>
  <c r="DL19" i="17"/>
  <c r="DL17" i="17"/>
  <c r="DL18" i="17"/>
  <c r="EN18" i="17"/>
  <c r="EN17" i="17"/>
  <c r="EN19" i="17"/>
  <c r="AF20" i="17"/>
  <c r="AF19" i="17"/>
  <c r="AF18" i="17"/>
  <c r="AF17" i="17"/>
  <c r="FQ26" i="17"/>
  <c r="FQ19" i="17"/>
  <c r="FQ11" i="17"/>
  <c r="FQ25" i="17"/>
  <c r="FQ18" i="17"/>
  <c r="FQ10" i="17"/>
  <c r="FQ24" i="17"/>
  <c r="FQ17" i="17"/>
  <c r="FQ9" i="17"/>
  <c r="FQ22" i="17"/>
  <c r="FQ14" i="17"/>
  <c r="FQ6" i="17"/>
  <c r="FQ21" i="17"/>
  <c r="FQ13" i="17"/>
  <c r="FQ20" i="17"/>
  <c r="FQ16" i="17"/>
  <c r="FQ15" i="17"/>
  <c r="FQ7" i="17"/>
  <c r="FQ12" i="17"/>
  <c r="FQ8" i="17"/>
  <c r="FQ27" i="17"/>
  <c r="FQ23" i="17"/>
  <c r="GS22" i="17"/>
  <c r="GS14" i="17"/>
  <c r="GS6" i="17"/>
  <c r="GS21" i="17"/>
  <c r="GS13" i="17"/>
  <c r="GS20" i="17"/>
  <c r="GS12" i="17"/>
  <c r="GS25" i="17"/>
  <c r="GS17" i="17"/>
  <c r="GS9" i="17"/>
  <c r="GS15" i="17"/>
  <c r="GS7" i="17"/>
  <c r="GS24" i="17"/>
  <c r="GS16" i="17"/>
  <c r="GS8" i="17"/>
  <c r="GS19" i="17"/>
  <c r="GS18" i="17"/>
  <c r="GS26" i="17"/>
  <c r="GS11" i="17"/>
  <c r="GS10" i="17"/>
  <c r="GS27" i="17"/>
  <c r="GS23" i="17"/>
  <c r="IX20" i="17"/>
  <c r="IX12" i="17"/>
  <c r="IX27" i="17"/>
  <c r="IX19" i="17"/>
  <c r="IX11" i="17"/>
  <c r="IX26" i="17"/>
  <c r="IX18" i="17"/>
  <c r="IX10" i="17"/>
  <c r="IX15" i="17"/>
  <c r="IX7" i="17"/>
  <c r="IX21" i="17"/>
  <c r="IX22" i="17"/>
  <c r="IX14" i="17"/>
  <c r="IX6" i="17"/>
  <c r="IX17" i="17"/>
  <c r="IX16" i="17"/>
  <c r="IX25" i="17"/>
  <c r="IX13" i="17"/>
  <c r="IX9" i="17"/>
  <c r="IX8" i="17"/>
  <c r="IX24" i="17"/>
  <c r="IX23" i="17"/>
  <c r="HU12" i="17"/>
  <c r="HU27" i="17"/>
  <c r="HU19" i="17"/>
  <c r="HU11" i="17"/>
  <c r="HU26" i="17"/>
  <c r="HU18" i="17"/>
  <c r="HU10" i="17"/>
  <c r="HU15" i="17"/>
  <c r="HU7" i="17"/>
  <c r="HU21" i="17"/>
  <c r="HU13" i="17"/>
  <c r="HU22" i="17"/>
  <c r="HU14" i="17"/>
  <c r="HU6" i="17"/>
  <c r="HU16" i="17"/>
  <c r="HU9" i="17"/>
  <c r="HU8" i="17"/>
  <c r="HU25" i="17"/>
  <c r="HU24" i="17"/>
  <c r="HU17" i="17"/>
  <c r="HU23" i="17"/>
  <c r="HU20" i="17"/>
  <c r="JZ21" i="17"/>
  <c r="JZ14" i="17"/>
  <c r="JZ6" i="17"/>
  <c r="JZ20" i="17"/>
  <c r="JZ13" i="17"/>
  <c r="JZ27" i="17"/>
  <c r="JZ12" i="17"/>
  <c r="JZ24" i="17"/>
  <c r="JZ17" i="17"/>
  <c r="JZ9" i="17"/>
  <c r="JZ22" i="17"/>
  <c r="JZ15" i="17"/>
  <c r="JZ7" i="17"/>
  <c r="JZ16" i="17"/>
  <c r="JZ8" i="17"/>
  <c r="JZ18" i="17"/>
  <c r="JZ11" i="17"/>
  <c r="JZ10" i="17"/>
  <c r="JZ26" i="17"/>
  <c r="JZ25" i="17"/>
  <c r="JZ19" i="17"/>
  <c r="JZ23" i="17"/>
  <c r="LB26" i="17"/>
  <c r="LB18" i="17"/>
  <c r="LB10" i="17"/>
  <c r="LB25" i="17"/>
  <c r="LB17" i="17"/>
  <c r="LB9" i="17"/>
  <c r="LB24" i="17"/>
  <c r="LB16" i="17"/>
  <c r="LB8" i="17"/>
  <c r="LB21" i="17"/>
  <c r="LB13" i="17"/>
  <c r="LB27" i="17"/>
  <c r="LB19" i="17"/>
  <c r="LB11" i="17"/>
  <c r="LB20" i="17"/>
  <c r="LB12" i="17"/>
  <c r="LB23" i="17"/>
  <c r="LB22" i="17"/>
  <c r="LB15" i="17"/>
  <c r="LB14" i="17"/>
  <c r="LB7" i="17"/>
  <c r="LB6" i="17"/>
  <c r="BH19" i="17"/>
  <c r="BH18" i="17"/>
  <c r="BH17" i="17"/>
  <c r="CJ17" i="17"/>
  <c r="CJ18" i="17"/>
  <c r="CJ19" i="17"/>
  <c r="CJ26" i="17"/>
  <c r="CJ15" i="17"/>
  <c r="CJ7" i="17"/>
  <c r="CJ25" i="17"/>
  <c r="CJ14" i="17"/>
  <c r="CJ6" i="17"/>
  <c r="CJ24" i="17"/>
  <c r="CJ13" i="17"/>
  <c r="CJ12" i="17"/>
  <c r="CJ10" i="17"/>
  <c r="CJ22" i="17"/>
  <c r="CJ11" i="17"/>
  <c r="CJ20" i="17"/>
  <c r="CJ9" i="17"/>
  <c r="CJ21" i="17"/>
  <c r="CJ27" i="17"/>
  <c r="CJ16" i="17"/>
  <c r="CJ8" i="17"/>
  <c r="CJ23" i="17"/>
  <c r="BH21" i="17"/>
  <c r="BH10" i="17"/>
  <c r="BH7" i="17"/>
  <c r="BH13" i="17"/>
  <c r="BH20" i="17"/>
  <c r="BH9" i="17"/>
  <c r="BH26" i="17"/>
  <c r="BH24" i="17"/>
  <c r="BH27" i="17"/>
  <c r="BH16" i="17"/>
  <c r="BH8" i="17"/>
  <c r="BH25" i="17"/>
  <c r="BH14" i="17"/>
  <c r="BH6" i="17"/>
  <c r="BH12" i="17"/>
  <c r="BH22" i="17"/>
  <c r="BH11" i="17"/>
  <c r="BH15" i="17"/>
  <c r="BH23" i="17"/>
  <c r="DL12" i="17"/>
  <c r="DL22" i="17"/>
  <c r="DL11" i="17"/>
  <c r="DL15" i="17"/>
  <c r="DL21" i="17"/>
  <c r="DL10" i="17"/>
  <c r="DL27" i="17"/>
  <c r="DL16" i="17"/>
  <c r="DL8" i="17"/>
  <c r="DL26" i="17"/>
  <c r="DL25" i="17"/>
  <c r="DL14" i="17"/>
  <c r="DL6" i="17"/>
  <c r="DL20" i="17"/>
  <c r="DL24" i="17"/>
  <c r="DL13" i="17"/>
  <c r="DL9" i="17"/>
  <c r="DL7" i="17"/>
  <c r="DL23" i="17"/>
  <c r="EN20" i="17"/>
  <c r="EN9" i="17"/>
  <c r="EN6" i="17"/>
  <c r="EN27" i="17"/>
  <c r="EN16" i="17"/>
  <c r="EN8" i="17"/>
  <c r="EN14" i="17"/>
  <c r="EN26" i="17"/>
  <c r="EN15" i="17"/>
  <c r="EN7" i="17"/>
  <c r="EN25" i="17"/>
  <c r="EN24" i="17"/>
  <c r="EN13" i="17"/>
  <c r="EN22" i="17"/>
  <c r="EN11" i="17"/>
  <c r="EN12" i="17"/>
  <c r="EN21" i="17"/>
  <c r="EN10" i="17"/>
  <c r="EN23" i="17"/>
  <c r="AF10" i="17"/>
  <c r="AF21" i="17"/>
  <c r="AF12" i="17"/>
  <c r="AF23" i="17"/>
  <c r="AF13" i="17"/>
  <c r="AF24" i="17"/>
  <c r="AF11" i="17"/>
  <c r="AF22" i="17"/>
  <c r="AF6" i="17"/>
  <c r="AF14" i="17"/>
  <c r="AF25" i="17"/>
  <c r="AF7" i="17"/>
  <c r="AF15" i="17"/>
  <c r="AF26" i="17"/>
  <c r="AF8" i="17"/>
  <c r="AF16" i="17"/>
  <c r="AF27" i="17"/>
  <c r="AF9" i="17"/>
  <c r="EO26" i="17" l="1"/>
  <c r="LC26" i="17"/>
  <c r="HV26" i="17"/>
  <c r="HV6" i="17"/>
  <c r="SU6" i="17" s="1"/>
  <c r="TD6" i="17" s="1"/>
  <c r="LC25" i="17"/>
  <c r="SV25" i="17" s="1"/>
  <c r="LC17" i="17"/>
  <c r="SV17" i="17" s="1"/>
  <c r="LC23" i="17"/>
  <c r="SV23" i="17" s="1"/>
  <c r="LC24" i="17"/>
  <c r="SV24" i="17" s="1"/>
  <c r="LC19" i="17"/>
  <c r="SV19" i="17" s="1"/>
  <c r="LC18" i="17"/>
  <c r="SV18" i="17" s="1"/>
  <c r="TJ18" i="17" s="1"/>
  <c r="LC10" i="17"/>
  <c r="SV10" i="17" s="1"/>
  <c r="TG10" i="17" s="1"/>
  <c r="LC9" i="17"/>
  <c r="SV9" i="17" s="1"/>
  <c r="TG9" i="17" s="1"/>
  <c r="LC21" i="17"/>
  <c r="SV21" i="17" s="1"/>
  <c r="TJ21" i="17" s="1"/>
  <c r="LC8" i="17"/>
  <c r="SV8" i="17" s="1"/>
  <c r="TJ8" i="17" s="1"/>
  <c r="HV14" i="17"/>
  <c r="SU14" i="17" s="1"/>
  <c r="SQ22" i="17"/>
  <c r="SQ27" i="17"/>
  <c r="SQ11" i="17"/>
  <c r="SQ13" i="17"/>
  <c r="SQ6" i="17"/>
  <c r="SQ26" i="17"/>
  <c r="SQ9" i="17"/>
  <c r="SQ21" i="17"/>
  <c r="SQ14" i="17"/>
  <c r="SQ19" i="17"/>
  <c r="SQ8" i="17"/>
  <c r="SQ17" i="17"/>
  <c r="SQ25" i="17"/>
  <c r="SQ12" i="17"/>
  <c r="SQ7" i="17"/>
  <c r="SQ15" i="17"/>
  <c r="SQ10" i="17"/>
  <c r="SQ23" i="17"/>
  <c r="SQ16" i="17"/>
  <c r="SQ18" i="17"/>
  <c r="SQ24" i="17"/>
  <c r="SQ20" i="17"/>
  <c r="ME22" i="17"/>
  <c r="ME9" i="17"/>
  <c r="ME20" i="17"/>
  <c r="ME21" i="17"/>
  <c r="ME14" i="17"/>
  <c r="ME26" i="17"/>
  <c r="ME6" i="17"/>
  <c r="ME18" i="17"/>
  <c r="ME27" i="17"/>
  <c r="ME19" i="17"/>
  <c r="ME8" i="17"/>
  <c r="ME25" i="17"/>
  <c r="ME23" i="17"/>
  <c r="ME7" i="17"/>
  <c r="ME13" i="17"/>
  <c r="ME24" i="17"/>
  <c r="ME10" i="17"/>
  <c r="ME12" i="17"/>
  <c r="ME16" i="17"/>
  <c r="ME11" i="17"/>
  <c r="ME15" i="17"/>
  <c r="ME17" i="17"/>
  <c r="RO17" i="17"/>
  <c r="RO27" i="17"/>
  <c r="RO21" i="17"/>
  <c r="RO8" i="17"/>
  <c r="RO23" i="17"/>
  <c r="RO19" i="17"/>
  <c r="RO13" i="17"/>
  <c r="RO24" i="17"/>
  <c r="RO11" i="17"/>
  <c r="RO22" i="17"/>
  <c r="RO26" i="17"/>
  <c r="RO18" i="17"/>
  <c r="RO16" i="17"/>
  <c r="RO25" i="17"/>
  <c r="RO7" i="17"/>
  <c r="RO14" i="17"/>
  <c r="RO6" i="17"/>
  <c r="RO10" i="17"/>
  <c r="RO9" i="17"/>
  <c r="RO20" i="17"/>
  <c r="RO15" i="17"/>
  <c r="RO12" i="17"/>
  <c r="NG22" i="17"/>
  <c r="NG26" i="17"/>
  <c r="NG8" i="17"/>
  <c r="NG11" i="17"/>
  <c r="NG24" i="17"/>
  <c r="NG12" i="17"/>
  <c r="NG18" i="17"/>
  <c r="NG21" i="17"/>
  <c r="NG23" i="17"/>
  <c r="NG10" i="17"/>
  <c r="NG13" i="17"/>
  <c r="NG27" i="17"/>
  <c r="NG17" i="17"/>
  <c r="NG7" i="17"/>
  <c r="NG20" i="17"/>
  <c r="NG15" i="17"/>
  <c r="NG16" i="17"/>
  <c r="NG6" i="17"/>
  <c r="NG25" i="17"/>
  <c r="NG14" i="17"/>
  <c r="NG19" i="17"/>
  <c r="NG9" i="17"/>
  <c r="QM24" i="17"/>
  <c r="QM21" i="17"/>
  <c r="QM19" i="17"/>
  <c r="QM20" i="17"/>
  <c r="QM6" i="17"/>
  <c r="QM12" i="17"/>
  <c r="QM16" i="17"/>
  <c r="QM17" i="17"/>
  <c r="QM26" i="17"/>
  <c r="QM7" i="17"/>
  <c r="QM10" i="17"/>
  <c r="QM15" i="17"/>
  <c r="QM18" i="17"/>
  <c r="QM25" i="17"/>
  <c r="QM8" i="17"/>
  <c r="QM9" i="17"/>
  <c r="QM23" i="17"/>
  <c r="QM14" i="17"/>
  <c r="QM22" i="17"/>
  <c r="QM13" i="17"/>
  <c r="QM11" i="17"/>
  <c r="QM27" i="17"/>
  <c r="PK15" i="17"/>
  <c r="PK16" i="17"/>
  <c r="PK21" i="17"/>
  <c r="PK17" i="17"/>
  <c r="PK25" i="17"/>
  <c r="PK20" i="17"/>
  <c r="PK8" i="17"/>
  <c r="PK13" i="17"/>
  <c r="PK12" i="17"/>
  <c r="PK24" i="17"/>
  <c r="PK11" i="17"/>
  <c r="PK6" i="17"/>
  <c r="PK14" i="17"/>
  <c r="PK19" i="17"/>
  <c r="PK9" i="17"/>
  <c r="PK27" i="17"/>
  <c r="PK10" i="17"/>
  <c r="PK18" i="17"/>
  <c r="PK22" i="17"/>
  <c r="PK7" i="17"/>
  <c r="PK26" i="17"/>
  <c r="PK23" i="17"/>
  <c r="EO23" i="17"/>
  <c r="ST23" i="17" s="1"/>
  <c r="EO25" i="17"/>
  <c r="ST25" i="17" s="1"/>
  <c r="OI22" i="17"/>
  <c r="OI11" i="17"/>
  <c r="OI10" i="17"/>
  <c r="OI14" i="17"/>
  <c r="OI13" i="17"/>
  <c r="OI20" i="17"/>
  <c r="OI9" i="17"/>
  <c r="OI18" i="17"/>
  <c r="OI21" i="17"/>
  <c r="OI17" i="17"/>
  <c r="OI24" i="17"/>
  <c r="OI7" i="17"/>
  <c r="OI23" i="17"/>
  <c r="OI19" i="17"/>
  <c r="OI6" i="17"/>
  <c r="OI12" i="17"/>
  <c r="OI15" i="17"/>
  <c r="OI25" i="17"/>
  <c r="OI8" i="17"/>
  <c r="OI26" i="17"/>
  <c r="OI16" i="17"/>
  <c r="OI27" i="17"/>
  <c r="LC13" i="17"/>
  <c r="SV13" i="17" s="1"/>
  <c r="LC7" i="17"/>
  <c r="SV7" i="17" s="1"/>
  <c r="HV23" i="17"/>
  <c r="SU23" i="17" s="1"/>
  <c r="HV13" i="17"/>
  <c r="SU13" i="17" s="1"/>
  <c r="HV10" i="17"/>
  <c r="SU10" i="17" s="1"/>
  <c r="EO19" i="17"/>
  <c r="ST19" i="17" s="1"/>
  <c r="LC15" i="17"/>
  <c r="SV15" i="17" s="1"/>
  <c r="LC20" i="17"/>
  <c r="SV20" i="17" s="1"/>
  <c r="HV27" i="17"/>
  <c r="SU27" i="17" s="1"/>
  <c r="HV21" i="17"/>
  <c r="SU21" i="17" s="1"/>
  <c r="HV18" i="17"/>
  <c r="SU18" i="17" s="1"/>
  <c r="LC16" i="17"/>
  <c r="SV16" i="17" s="1"/>
  <c r="HV8" i="17"/>
  <c r="SU8" i="17" s="1"/>
  <c r="HV25" i="17"/>
  <c r="LC12" i="17"/>
  <c r="SV12" i="17" s="1"/>
  <c r="HV12" i="17"/>
  <c r="SU12" i="17" s="1"/>
  <c r="HV11" i="17"/>
  <c r="SU11" i="17" s="1"/>
  <c r="LC6" i="17"/>
  <c r="SV6" i="17" s="1"/>
  <c r="SV26" i="17"/>
  <c r="HV7" i="17"/>
  <c r="SU7" i="17" s="1"/>
  <c r="HV22" i="17"/>
  <c r="SU22" i="17" s="1"/>
  <c r="HV19" i="17"/>
  <c r="SU19" i="17" s="1"/>
  <c r="LC14" i="17"/>
  <c r="SV14" i="17" s="1"/>
  <c r="LC11" i="17"/>
  <c r="SV11" i="17" s="1"/>
  <c r="HV15" i="17"/>
  <c r="SU15" i="17" s="1"/>
  <c r="HV9" i="17"/>
  <c r="SU9" i="17" s="1"/>
  <c r="SU26" i="17"/>
  <c r="EO24" i="17"/>
  <c r="HV20" i="17"/>
  <c r="SU20" i="17" s="1"/>
  <c r="LC22" i="17"/>
  <c r="SV22" i="17" s="1"/>
  <c r="HV16" i="17"/>
  <c r="SU16" i="17" s="1"/>
  <c r="HV17" i="17"/>
  <c r="SU17" i="17" s="1"/>
  <c r="EO17" i="17"/>
  <c r="LC27" i="17"/>
  <c r="SV27" i="17" s="1"/>
  <c r="HV24" i="17"/>
  <c r="SU24" i="17" s="1"/>
  <c r="EO18" i="17"/>
  <c r="EO11" i="17"/>
  <c r="ST11" i="17" s="1"/>
  <c r="EO10" i="17"/>
  <c r="EO6" i="17"/>
  <c r="ST6" i="17" s="1"/>
  <c r="EO12" i="17"/>
  <c r="EO9" i="17"/>
  <c r="EO20" i="17"/>
  <c r="EO14" i="17"/>
  <c r="EO22" i="17"/>
  <c r="EO21" i="17"/>
  <c r="ST21" i="17" s="1"/>
  <c r="EO27" i="17"/>
  <c r="ST27" i="17" s="1"/>
  <c r="EO16" i="17"/>
  <c r="ST16" i="17" s="1"/>
  <c r="EO8" i="17"/>
  <c r="ST8" i="17" s="1"/>
  <c r="EO15" i="17"/>
  <c r="EO13" i="17"/>
  <c r="EO7" i="17"/>
  <c r="U13" i="2"/>
  <c r="V13" i="2" s="1"/>
  <c r="U12" i="2"/>
  <c r="V12" i="2" s="1"/>
  <c r="U11" i="2"/>
  <c r="V11" i="2" s="1"/>
  <c r="U10" i="2"/>
  <c r="V10" i="2" s="1"/>
  <c r="U9" i="2"/>
  <c r="V9" i="2" s="1"/>
  <c r="U8" i="2"/>
  <c r="V8" i="2" s="1"/>
  <c r="U7" i="2"/>
  <c r="V7" i="2" s="1"/>
  <c r="U6" i="2"/>
  <c r="V6" i="2" s="1"/>
  <c r="U5" i="2"/>
  <c r="V5" i="2" s="1"/>
  <c r="U4" i="2"/>
  <c r="V4" i="2" s="1"/>
  <c r="U3" i="2"/>
  <c r="V3" i="2" s="1"/>
  <c r="U2" i="2"/>
  <c r="V2" i="2" s="1"/>
  <c r="SR26" i="17" l="1"/>
  <c r="SS26" i="17" s="1"/>
  <c r="TE6" i="17"/>
  <c r="TF6" i="17"/>
  <c r="TC6" i="17"/>
  <c r="TI10" i="17"/>
  <c r="TH10" i="17"/>
  <c r="SR17" i="17"/>
  <c r="SS17" i="17" s="1"/>
  <c r="TG19" i="17"/>
  <c r="TI19" i="17"/>
  <c r="TH19" i="17"/>
  <c r="TJ19" i="17"/>
  <c r="TH24" i="17"/>
  <c r="TI24" i="17"/>
  <c r="TG24" i="17"/>
  <c r="TJ24" i="17"/>
  <c r="TJ23" i="17"/>
  <c r="TG23" i="17"/>
  <c r="TI23" i="17"/>
  <c r="TH23" i="17"/>
  <c r="TJ10" i="17"/>
  <c r="TH17" i="17"/>
  <c r="TJ17" i="17"/>
  <c r="TG17" i="17"/>
  <c r="TI17" i="17"/>
  <c r="TJ25" i="17"/>
  <c r="TH25" i="17"/>
  <c r="TI25" i="17"/>
  <c r="TG25" i="17"/>
  <c r="TJ9" i="17"/>
  <c r="TH9" i="17"/>
  <c r="TI18" i="17"/>
  <c r="TI9" i="17"/>
  <c r="TG18" i="17"/>
  <c r="TH18" i="17"/>
  <c r="TH21" i="17"/>
  <c r="TG21" i="17"/>
  <c r="TI21" i="17"/>
  <c r="TH8" i="17"/>
  <c r="TG8" i="17"/>
  <c r="TI8" i="17"/>
  <c r="TD13" i="17"/>
  <c r="TF13" i="17"/>
  <c r="TE13" i="17"/>
  <c r="TC13" i="17"/>
  <c r="SZ16" i="17"/>
  <c r="TA16" i="17"/>
  <c r="SY16" i="17"/>
  <c r="TB16" i="17"/>
  <c r="TB27" i="17"/>
  <c r="TA27" i="17"/>
  <c r="SY27" i="17"/>
  <c r="SZ27" i="17"/>
  <c r="TH22" i="17"/>
  <c r="TJ22" i="17"/>
  <c r="TI22" i="17"/>
  <c r="TG22" i="17"/>
  <c r="TD19" i="17"/>
  <c r="TC19" i="17"/>
  <c r="TF19" i="17"/>
  <c r="TE19" i="17"/>
  <c r="TB19" i="17"/>
  <c r="TA19" i="17"/>
  <c r="SY19" i="17"/>
  <c r="SZ19" i="17"/>
  <c r="TB21" i="17"/>
  <c r="SY21" i="17"/>
  <c r="TA21" i="17"/>
  <c r="SZ21" i="17"/>
  <c r="TB11" i="17"/>
  <c r="TA11" i="17"/>
  <c r="SY11" i="17"/>
  <c r="SZ11" i="17"/>
  <c r="TF20" i="17"/>
  <c r="TE20" i="17"/>
  <c r="TC20" i="17"/>
  <c r="TD20" i="17"/>
  <c r="TF22" i="17"/>
  <c r="TE22" i="17"/>
  <c r="TD22" i="17"/>
  <c r="TC22" i="17"/>
  <c r="TD8" i="17"/>
  <c r="TC8" i="17"/>
  <c r="TF8" i="17"/>
  <c r="TE8" i="17"/>
  <c r="TF10" i="17"/>
  <c r="TC10" i="17"/>
  <c r="TE10" i="17"/>
  <c r="TD10" i="17"/>
  <c r="TH26" i="17"/>
  <c r="TJ26" i="17"/>
  <c r="TI26" i="17"/>
  <c r="TG26" i="17"/>
  <c r="TF14" i="17"/>
  <c r="TE14" i="17"/>
  <c r="TD14" i="17"/>
  <c r="TC14" i="17"/>
  <c r="TF24" i="17"/>
  <c r="TC24" i="17"/>
  <c r="TE24" i="17"/>
  <c r="TD24" i="17"/>
  <c r="TF18" i="17"/>
  <c r="TE18" i="17"/>
  <c r="TC18" i="17"/>
  <c r="TD18" i="17"/>
  <c r="TJ27" i="17"/>
  <c r="TI27" i="17"/>
  <c r="TH27" i="17"/>
  <c r="TG27" i="17"/>
  <c r="TD9" i="17"/>
  <c r="TC9" i="17"/>
  <c r="TF9" i="17"/>
  <c r="TE9" i="17"/>
  <c r="TJ6" i="17"/>
  <c r="TI6" i="17"/>
  <c r="TH6" i="17"/>
  <c r="TG6" i="17"/>
  <c r="TD21" i="17"/>
  <c r="TF21" i="17"/>
  <c r="TE21" i="17"/>
  <c r="TC21" i="17"/>
  <c r="TH7" i="17"/>
  <c r="TJ7" i="17"/>
  <c r="TI7" i="17"/>
  <c r="TG7" i="17"/>
  <c r="TH16" i="17"/>
  <c r="TJ16" i="17"/>
  <c r="TI16" i="17"/>
  <c r="TG16" i="17"/>
  <c r="TF26" i="17"/>
  <c r="TE26" i="17"/>
  <c r="TC26" i="17"/>
  <c r="TD26" i="17"/>
  <c r="TD23" i="17"/>
  <c r="TF23" i="17"/>
  <c r="TE23" i="17"/>
  <c r="TC23" i="17"/>
  <c r="TD15" i="17"/>
  <c r="TC15" i="17"/>
  <c r="TF15" i="17"/>
  <c r="TE15" i="17"/>
  <c r="TD11" i="17"/>
  <c r="TF11" i="17"/>
  <c r="TE11" i="17"/>
  <c r="TC11" i="17"/>
  <c r="TD27" i="17"/>
  <c r="TC27" i="17"/>
  <c r="TF27" i="17"/>
  <c r="TE27" i="17"/>
  <c r="TJ13" i="17"/>
  <c r="TI13" i="17"/>
  <c r="TG13" i="17"/>
  <c r="TH13" i="17"/>
  <c r="TB25" i="17"/>
  <c r="TA25" i="17"/>
  <c r="SY25" i="17"/>
  <c r="SZ25" i="17"/>
  <c r="TB8" i="17"/>
  <c r="TA8" i="17"/>
  <c r="SZ8" i="17"/>
  <c r="SY8" i="17"/>
  <c r="TD17" i="17"/>
  <c r="TE17" i="17"/>
  <c r="TC17" i="17"/>
  <c r="TF17" i="17"/>
  <c r="TJ11" i="17"/>
  <c r="TI11" i="17"/>
  <c r="TH11" i="17"/>
  <c r="TG11" i="17"/>
  <c r="TF12" i="17"/>
  <c r="TE12" i="17"/>
  <c r="TC12" i="17"/>
  <c r="TD12" i="17"/>
  <c r="TH20" i="17"/>
  <c r="TG20" i="17"/>
  <c r="TJ20" i="17"/>
  <c r="TI20" i="17"/>
  <c r="TB23" i="17"/>
  <c r="TA23" i="17"/>
  <c r="SZ23" i="17"/>
  <c r="SY23" i="17"/>
  <c r="TF7" i="17"/>
  <c r="TE7" i="17"/>
  <c r="TC7" i="17"/>
  <c r="TD7" i="17"/>
  <c r="TB6" i="17"/>
  <c r="SY6" i="17"/>
  <c r="TA6" i="17"/>
  <c r="SZ6" i="17"/>
  <c r="TF16" i="17"/>
  <c r="TC16" i="17"/>
  <c r="TE16" i="17"/>
  <c r="TD16" i="17"/>
  <c r="TH14" i="17"/>
  <c r="TG14" i="17"/>
  <c r="TJ14" i="17"/>
  <c r="TI14" i="17"/>
  <c r="TH12" i="17"/>
  <c r="TJ12" i="17"/>
  <c r="TI12" i="17"/>
  <c r="TG12" i="17"/>
  <c r="TJ15" i="17"/>
  <c r="TG15" i="17"/>
  <c r="TI15" i="17"/>
  <c r="TH15" i="17"/>
  <c r="SR27" i="17"/>
  <c r="SW27" i="17" s="1"/>
  <c r="SR24" i="17"/>
  <c r="SS24" i="17" s="1"/>
  <c r="SR11" i="17"/>
  <c r="SS11" i="17" s="1"/>
  <c r="SR21" i="17"/>
  <c r="SS21" i="17" s="1"/>
  <c r="SR12" i="17"/>
  <c r="SS12" i="17" s="1"/>
  <c r="SR19" i="17"/>
  <c r="SR9" i="17"/>
  <c r="SR10" i="17"/>
  <c r="SS10" i="17" s="1"/>
  <c r="SR18" i="17"/>
  <c r="SS18" i="17" s="1"/>
  <c r="SR13" i="17"/>
  <c r="SS13" i="17" s="1"/>
  <c r="SR6" i="17"/>
  <c r="SR7" i="17"/>
  <c r="SS7" i="17" s="1"/>
  <c r="SR15" i="17"/>
  <c r="SS15" i="17" s="1"/>
  <c r="SR23" i="17"/>
  <c r="SS23" i="17" s="1"/>
  <c r="SR14" i="17"/>
  <c r="SS14" i="17" s="1"/>
  <c r="SR22" i="17"/>
  <c r="SS22" i="17" s="1"/>
  <c r="SR25" i="17"/>
  <c r="SS25" i="17" s="1"/>
  <c r="SR16" i="17"/>
  <c r="SS16" i="17" s="1"/>
  <c r="SR8" i="17"/>
  <c r="SS8" i="17" s="1"/>
  <c r="SR20" i="17"/>
  <c r="ST7" i="17"/>
  <c r="ST22" i="17"/>
  <c r="ST14" i="17"/>
  <c r="ST26" i="17"/>
  <c r="ST18" i="17"/>
  <c r="ST13" i="17"/>
  <c r="ST9" i="17"/>
  <c r="ST15" i="17"/>
  <c r="ST12" i="17"/>
  <c r="SU25" i="17"/>
  <c r="ST17" i="17"/>
  <c r="ST24" i="17"/>
  <c r="ST20" i="17"/>
  <c r="ST10" i="17"/>
  <c r="B3" i="14"/>
  <c r="I108" i="14"/>
  <c r="H108" i="14"/>
  <c r="E108" i="14"/>
  <c r="G108" i="14"/>
  <c r="H111" i="14"/>
  <c r="G111" i="14"/>
  <c r="C115" i="14"/>
  <c r="I118" i="14"/>
  <c r="G118" i="14"/>
  <c r="E120" i="14"/>
  <c r="F120" i="14"/>
  <c r="F112" i="14"/>
  <c r="G112" i="14"/>
  <c r="G120" i="14"/>
  <c r="H117" i="14"/>
  <c r="G117" i="14"/>
  <c r="H118" i="14"/>
  <c r="H120" i="14"/>
  <c r="N102" i="14"/>
  <c r="K102" i="14"/>
  <c r="C102" i="14"/>
  <c r="H101" i="14"/>
  <c r="G101" i="14"/>
  <c r="J99" i="14"/>
  <c r="I99" i="14"/>
  <c r="M98" i="14"/>
  <c r="L98" i="14"/>
  <c r="J98" i="14"/>
  <c r="I98" i="14"/>
  <c r="H98" i="14"/>
  <c r="I97" i="14"/>
  <c r="H97" i="14"/>
  <c r="G97" i="14"/>
  <c r="F96" i="14"/>
  <c r="E96" i="14"/>
  <c r="D96" i="14"/>
  <c r="F95" i="14"/>
  <c r="E95" i="14"/>
  <c r="D95" i="14"/>
  <c r="F94" i="14"/>
  <c r="M93" i="14"/>
  <c r="L93" i="14"/>
  <c r="J93" i="14"/>
  <c r="I93" i="14"/>
  <c r="H93" i="14"/>
  <c r="G93" i="14"/>
  <c r="G92" i="14"/>
  <c r="N91" i="14"/>
  <c r="K91" i="14"/>
  <c r="C91" i="14"/>
  <c r="H90" i="14"/>
  <c r="G90" i="14"/>
  <c r="J88" i="14"/>
  <c r="I88" i="14"/>
  <c r="M87" i="14"/>
  <c r="L87" i="14"/>
  <c r="J87" i="14"/>
  <c r="I87" i="14"/>
  <c r="H87" i="14"/>
  <c r="I86" i="14"/>
  <c r="H86" i="14"/>
  <c r="G86" i="14"/>
  <c r="F85" i="14"/>
  <c r="E85" i="14"/>
  <c r="D85" i="14"/>
  <c r="F84" i="14"/>
  <c r="E84" i="14"/>
  <c r="D84" i="14"/>
  <c r="F83" i="14"/>
  <c r="M82" i="14"/>
  <c r="L82" i="14"/>
  <c r="J82" i="14"/>
  <c r="I82" i="14"/>
  <c r="H82" i="14"/>
  <c r="G82" i="14"/>
  <c r="G81" i="14"/>
  <c r="H79" i="14"/>
  <c r="G79" i="14"/>
  <c r="J77" i="14"/>
  <c r="I77" i="14"/>
  <c r="M76" i="14"/>
  <c r="L76" i="14"/>
  <c r="J76" i="14"/>
  <c r="I76" i="14"/>
  <c r="H76" i="14"/>
  <c r="I75" i="14"/>
  <c r="H75" i="14"/>
  <c r="G75" i="14"/>
  <c r="F74" i="14"/>
  <c r="E74" i="14"/>
  <c r="D74" i="14"/>
  <c r="F73" i="14"/>
  <c r="E73" i="14"/>
  <c r="D73" i="14"/>
  <c r="F72" i="14"/>
  <c r="M71" i="14"/>
  <c r="L71" i="14"/>
  <c r="J71" i="14"/>
  <c r="I71" i="14"/>
  <c r="H71" i="14"/>
  <c r="G71" i="14"/>
  <c r="G70" i="14"/>
  <c r="N80" i="14"/>
  <c r="K80" i="14"/>
  <c r="C80" i="14"/>
  <c r="H68" i="14"/>
  <c r="G68" i="14"/>
  <c r="J66" i="14"/>
  <c r="I66" i="14"/>
  <c r="M65" i="14"/>
  <c r="L65" i="14"/>
  <c r="J65" i="14"/>
  <c r="I65" i="14"/>
  <c r="H65" i="14"/>
  <c r="I64" i="14"/>
  <c r="H64" i="14"/>
  <c r="G64" i="14"/>
  <c r="F63" i="14"/>
  <c r="E63" i="14"/>
  <c r="D63" i="14"/>
  <c r="F62" i="14"/>
  <c r="E62" i="14"/>
  <c r="D62" i="14"/>
  <c r="F61" i="14"/>
  <c r="M60" i="14"/>
  <c r="L60" i="14"/>
  <c r="J60" i="14"/>
  <c r="I60" i="14"/>
  <c r="H60" i="14"/>
  <c r="G60" i="14"/>
  <c r="G59" i="14"/>
  <c r="N69" i="14"/>
  <c r="K69" i="14"/>
  <c r="C69" i="14"/>
  <c r="I55" i="14"/>
  <c r="I53" i="14"/>
  <c r="H53" i="14"/>
  <c r="H57" i="14"/>
  <c r="N58" i="14"/>
  <c r="K58" i="14"/>
  <c r="C58" i="14"/>
  <c r="G57" i="14"/>
  <c r="J55" i="14"/>
  <c r="M54" i="14"/>
  <c r="L54" i="14"/>
  <c r="J54" i="14"/>
  <c r="I54" i="14"/>
  <c r="H54" i="14"/>
  <c r="G53" i="14"/>
  <c r="F52" i="14"/>
  <c r="E52" i="14"/>
  <c r="D52" i="14"/>
  <c r="F51" i="14"/>
  <c r="E51" i="14"/>
  <c r="D51" i="14"/>
  <c r="F50" i="14"/>
  <c r="M49" i="14"/>
  <c r="L49" i="14"/>
  <c r="J49" i="14"/>
  <c r="I49" i="14"/>
  <c r="H49" i="14"/>
  <c r="G49" i="14"/>
  <c r="G48" i="14"/>
  <c r="G32" i="14"/>
  <c r="H32" i="14"/>
  <c r="G31" i="14"/>
  <c r="H42" i="14"/>
  <c r="J44" i="14"/>
  <c r="G42" i="14"/>
  <c r="G46" i="14"/>
  <c r="F46" i="14"/>
  <c r="N47" i="14"/>
  <c r="K47" i="14"/>
  <c r="I44" i="14"/>
  <c r="M43" i="14"/>
  <c r="L43" i="14"/>
  <c r="J43" i="14"/>
  <c r="I43" i="14"/>
  <c r="H43" i="14"/>
  <c r="F41" i="14"/>
  <c r="E41" i="14"/>
  <c r="D41" i="14"/>
  <c r="F40" i="14"/>
  <c r="E40" i="14"/>
  <c r="D40" i="14"/>
  <c r="F39" i="14"/>
  <c r="M38" i="14"/>
  <c r="L38" i="14"/>
  <c r="J38" i="14"/>
  <c r="I38" i="14"/>
  <c r="H38" i="14"/>
  <c r="G38" i="14"/>
  <c r="C47" i="14"/>
  <c r="G37" i="14"/>
  <c r="M32" i="14"/>
  <c r="L32" i="14"/>
  <c r="J32" i="14"/>
  <c r="I32" i="14"/>
  <c r="H31" i="14"/>
  <c r="F30" i="14"/>
  <c r="E30" i="14"/>
  <c r="D30" i="14"/>
  <c r="F29" i="14"/>
  <c r="E29" i="14"/>
  <c r="D29" i="14"/>
  <c r="M27" i="14"/>
  <c r="L27" i="14"/>
  <c r="J27" i="14"/>
  <c r="I27" i="14"/>
  <c r="H27" i="14"/>
  <c r="G27" i="14"/>
  <c r="N36" i="14"/>
  <c r="K36" i="14"/>
  <c r="C36" i="14"/>
  <c r="J13" i="14" l="1"/>
  <c r="L13" i="14"/>
  <c r="M13" i="14"/>
  <c r="G13" i="14"/>
  <c r="H13" i="14"/>
  <c r="I13" i="14"/>
  <c r="TL27" i="17"/>
  <c r="TN27" i="17"/>
  <c r="TM27" i="17"/>
  <c r="TK27" i="17"/>
  <c r="SZ24" i="17"/>
  <c r="SY24" i="17"/>
  <c r="TA24" i="17"/>
  <c r="TB24" i="17"/>
  <c r="TB15" i="17"/>
  <c r="SY15" i="17"/>
  <c r="TA15" i="17"/>
  <c r="SZ15" i="17"/>
  <c r="SZ14" i="17"/>
  <c r="SY14" i="17"/>
  <c r="TA14" i="17"/>
  <c r="TB14" i="17"/>
  <c r="SZ22" i="17"/>
  <c r="TA22" i="17"/>
  <c r="SY22" i="17"/>
  <c r="TB22" i="17"/>
  <c r="TB17" i="17"/>
  <c r="TA17" i="17"/>
  <c r="SY17" i="17"/>
  <c r="SZ17" i="17"/>
  <c r="TB13" i="17"/>
  <c r="TA13" i="17"/>
  <c r="SZ13" i="17"/>
  <c r="SY13" i="17"/>
  <c r="SZ7" i="17"/>
  <c r="SY7" i="17"/>
  <c r="TB7" i="17"/>
  <c r="TA7" i="17"/>
  <c r="TB9" i="17"/>
  <c r="SY9" i="17"/>
  <c r="TA9" i="17"/>
  <c r="SZ9" i="17"/>
  <c r="SS27" i="17"/>
  <c r="TD25" i="17"/>
  <c r="TF25" i="17"/>
  <c r="TE25" i="17"/>
  <c r="TC25" i="17"/>
  <c r="SX27" i="17"/>
  <c r="SZ18" i="17"/>
  <c r="SY18" i="17"/>
  <c r="TA18" i="17"/>
  <c r="TB18" i="17"/>
  <c r="SZ10" i="17"/>
  <c r="TA10" i="17"/>
  <c r="SY10" i="17"/>
  <c r="TB10" i="17"/>
  <c r="SZ12" i="17"/>
  <c r="TA12" i="17"/>
  <c r="SY12" i="17"/>
  <c r="TB12" i="17"/>
  <c r="SZ20" i="17"/>
  <c r="TA20" i="17"/>
  <c r="SY20" i="17"/>
  <c r="TB20" i="17"/>
  <c r="SZ26" i="17"/>
  <c r="TA26" i="17"/>
  <c r="SY26" i="17"/>
  <c r="TB26" i="17"/>
  <c r="SW16" i="17"/>
  <c r="SX16" i="17"/>
  <c r="SW15" i="17"/>
  <c r="SX15" i="17"/>
  <c r="SW18" i="17"/>
  <c r="SX18" i="17"/>
  <c r="SX20" i="17"/>
  <c r="SW20" i="17"/>
  <c r="SW9" i="17"/>
  <c r="SX9" i="17"/>
  <c r="SW19" i="17"/>
  <c r="SX19" i="17"/>
  <c r="SS19" i="17"/>
  <c r="SS9" i="17"/>
  <c r="SW25" i="17"/>
  <c r="SX25" i="17"/>
  <c r="SX7" i="17"/>
  <c r="SW7" i="17"/>
  <c r="SX12" i="17"/>
  <c r="SW12" i="17"/>
  <c r="SW26" i="17"/>
  <c r="SX26" i="17"/>
  <c r="SX22" i="17"/>
  <c r="SW22" i="17"/>
  <c r="SW17" i="17"/>
  <c r="SX17" i="17"/>
  <c r="SX21" i="17"/>
  <c r="SW21" i="17"/>
  <c r="SX14" i="17"/>
  <c r="SW14" i="17"/>
  <c r="SX6" i="17"/>
  <c r="SW6" i="17"/>
  <c r="SW11" i="17"/>
  <c r="SX11" i="17"/>
  <c r="SW10" i="17"/>
  <c r="SX10" i="17"/>
  <c r="SW8" i="17"/>
  <c r="SX8" i="17"/>
  <c r="SS6" i="17"/>
  <c r="SS20" i="17"/>
  <c r="SW23" i="17"/>
  <c r="SX23" i="17"/>
  <c r="SW13" i="17"/>
  <c r="SX13" i="17"/>
  <c r="SW24" i="17"/>
  <c r="SX24" i="17"/>
  <c r="J36" i="14"/>
  <c r="E47" i="14"/>
  <c r="G80" i="14"/>
  <c r="N104" i="14"/>
  <c r="K104" i="14"/>
  <c r="E80" i="14"/>
  <c r="C104" i="14"/>
  <c r="D102" i="14"/>
  <c r="I80" i="14"/>
  <c r="J91" i="14"/>
  <c r="H91" i="14"/>
  <c r="E102" i="14"/>
  <c r="L102" i="14"/>
  <c r="M91" i="14"/>
  <c r="E69" i="14"/>
  <c r="H69" i="14"/>
  <c r="I47" i="14"/>
  <c r="L58" i="14"/>
  <c r="D36" i="14"/>
  <c r="J47" i="14"/>
  <c r="L47" i="14"/>
  <c r="D47" i="14"/>
  <c r="G102" i="14"/>
  <c r="J69" i="14"/>
  <c r="M58" i="14"/>
  <c r="G58" i="14"/>
  <c r="D80" i="14"/>
  <c r="L36" i="14"/>
  <c r="F58" i="14"/>
  <c r="M69" i="14"/>
  <c r="M36" i="14"/>
  <c r="M47" i="14"/>
  <c r="D58" i="14"/>
  <c r="E58" i="14"/>
  <c r="E91" i="14"/>
  <c r="L91" i="14"/>
  <c r="F102" i="14"/>
  <c r="E36" i="14"/>
  <c r="G69" i="14"/>
  <c r="I69" i="14"/>
  <c r="F91" i="14"/>
  <c r="M102" i="14"/>
  <c r="G47" i="14"/>
  <c r="H58" i="14"/>
  <c r="H80" i="14"/>
  <c r="G91" i="14"/>
  <c r="D91" i="14"/>
  <c r="H102" i="14"/>
  <c r="J58" i="14"/>
  <c r="J80" i="14"/>
  <c r="I102" i="14"/>
  <c r="I91" i="14"/>
  <c r="J102" i="14"/>
  <c r="H47" i="14"/>
  <c r="I58" i="14"/>
  <c r="F69" i="14"/>
  <c r="F80" i="14"/>
  <c r="D69" i="14"/>
  <c r="F47" i="14"/>
  <c r="L69" i="14"/>
  <c r="L80" i="14"/>
  <c r="M80" i="14"/>
  <c r="G36" i="14"/>
  <c r="I36" i="14"/>
  <c r="H36" i="14"/>
  <c r="TN22" i="17" l="1"/>
  <c r="TK22" i="17"/>
  <c r="TM22" i="17"/>
  <c r="TL22" i="17"/>
  <c r="TP11" i="17"/>
  <c r="TR11" i="17"/>
  <c r="TQ11" i="17"/>
  <c r="TO11" i="17"/>
  <c r="TN7" i="17"/>
  <c r="TM7" i="17"/>
  <c r="TL7" i="17"/>
  <c r="TK7" i="17"/>
  <c r="TR16" i="17"/>
  <c r="TQ16" i="17"/>
  <c r="TP16" i="17"/>
  <c r="TO16" i="17"/>
  <c r="TN20" i="17"/>
  <c r="TM20" i="17"/>
  <c r="TK20" i="17"/>
  <c r="TL20" i="17"/>
  <c r="TP23" i="17"/>
  <c r="TO23" i="17"/>
  <c r="TR23" i="17"/>
  <c r="TQ23" i="17"/>
  <c r="TP17" i="17"/>
  <c r="TR17" i="17"/>
  <c r="TQ17" i="17"/>
  <c r="TO17" i="17"/>
  <c r="TP9" i="17"/>
  <c r="TO9" i="17"/>
  <c r="TR9" i="17"/>
  <c r="TQ9" i="17"/>
  <c r="TL23" i="17"/>
  <c r="TN23" i="17"/>
  <c r="TM23" i="17"/>
  <c r="TK23" i="17"/>
  <c r="TL11" i="17"/>
  <c r="TN11" i="17"/>
  <c r="TM11" i="17"/>
  <c r="TK11" i="17"/>
  <c r="TL17" i="17"/>
  <c r="TN17" i="17"/>
  <c r="TM17" i="17"/>
  <c r="TK17" i="17"/>
  <c r="TP7" i="17"/>
  <c r="TR7" i="17"/>
  <c r="TQ7" i="17"/>
  <c r="TO7" i="17"/>
  <c r="TL9" i="17"/>
  <c r="TK9" i="17"/>
  <c r="TN9" i="17"/>
  <c r="TM9" i="17"/>
  <c r="TN16" i="17"/>
  <c r="TK16" i="17"/>
  <c r="TM16" i="17"/>
  <c r="TL16" i="17"/>
  <c r="TR6" i="17"/>
  <c r="TQ6" i="17"/>
  <c r="TP6" i="17"/>
  <c r="TO6" i="17"/>
  <c r="TP25" i="17"/>
  <c r="TR25" i="17"/>
  <c r="TQ25" i="17"/>
  <c r="TO25" i="17"/>
  <c r="TR22" i="17"/>
  <c r="TQ22" i="17"/>
  <c r="TP22" i="17"/>
  <c r="TO22" i="17"/>
  <c r="TR20" i="17"/>
  <c r="TQ20" i="17"/>
  <c r="TP20" i="17"/>
  <c r="TO20" i="17"/>
  <c r="TR24" i="17"/>
  <c r="TQ24" i="17"/>
  <c r="TP24" i="17"/>
  <c r="TO24" i="17"/>
  <c r="TR8" i="17"/>
  <c r="TO8" i="17"/>
  <c r="TQ8" i="17"/>
  <c r="TP8" i="17"/>
  <c r="TN14" i="17"/>
  <c r="TM14" i="17"/>
  <c r="TL14" i="17"/>
  <c r="TK14" i="17"/>
  <c r="TR26" i="17"/>
  <c r="TQ26" i="17"/>
  <c r="TP26" i="17"/>
  <c r="TO26" i="17"/>
  <c r="TR18" i="17"/>
  <c r="TQ18" i="17"/>
  <c r="TP18" i="17"/>
  <c r="TO18" i="17"/>
  <c r="TN24" i="17"/>
  <c r="TM24" i="17"/>
  <c r="TL24" i="17"/>
  <c r="TK24" i="17"/>
  <c r="TR14" i="17"/>
  <c r="TQ14" i="17"/>
  <c r="TP14" i="17"/>
  <c r="TO14" i="17"/>
  <c r="TN26" i="17"/>
  <c r="TM26" i="17"/>
  <c r="TK26" i="17"/>
  <c r="TL26" i="17"/>
  <c r="TN18" i="17"/>
  <c r="TM18" i="17"/>
  <c r="TK18" i="17"/>
  <c r="TL18" i="17"/>
  <c r="TL6" i="17"/>
  <c r="TN6" i="17"/>
  <c r="TM6" i="17"/>
  <c r="TK6" i="17"/>
  <c r="TL25" i="17"/>
  <c r="TK25" i="17"/>
  <c r="TN25" i="17"/>
  <c r="TM25" i="17"/>
  <c r="TP13" i="17"/>
  <c r="TR13" i="17"/>
  <c r="TQ13" i="17"/>
  <c r="TO13" i="17"/>
  <c r="TR10" i="17"/>
  <c r="TQ10" i="17"/>
  <c r="TO10" i="17"/>
  <c r="TP10" i="17"/>
  <c r="TN12" i="17"/>
  <c r="TM12" i="17"/>
  <c r="TK12" i="17"/>
  <c r="TL12" i="17"/>
  <c r="TP19" i="17"/>
  <c r="TO19" i="17"/>
  <c r="TR19" i="17"/>
  <c r="TQ19" i="17"/>
  <c r="TP15" i="17"/>
  <c r="TO15" i="17"/>
  <c r="TR15" i="17"/>
  <c r="TQ15" i="17"/>
  <c r="TP27" i="17"/>
  <c r="TO27" i="17"/>
  <c r="TR27" i="17"/>
  <c r="TQ27" i="17"/>
  <c r="TL8" i="17"/>
  <c r="TK8" i="17"/>
  <c r="TN8" i="17"/>
  <c r="TM8" i="17"/>
  <c r="TL21" i="17"/>
  <c r="TN21" i="17"/>
  <c r="TM21" i="17"/>
  <c r="TK21" i="17"/>
  <c r="TL13" i="17"/>
  <c r="TN13" i="17"/>
  <c r="TM13" i="17"/>
  <c r="TK13" i="17"/>
  <c r="TN10" i="17"/>
  <c r="TK10" i="17"/>
  <c r="TM10" i="17"/>
  <c r="TL10" i="17"/>
  <c r="TP21" i="17"/>
  <c r="TO21" i="17"/>
  <c r="TR21" i="17"/>
  <c r="TQ21" i="17"/>
  <c r="TR12" i="17"/>
  <c r="TQ12" i="17"/>
  <c r="TP12" i="17"/>
  <c r="TO12" i="17"/>
  <c r="TL19" i="17"/>
  <c r="TK19" i="17"/>
  <c r="TN19" i="17"/>
  <c r="TM19" i="17"/>
  <c r="TL15" i="17"/>
  <c r="TK15" i="17"/>
  <c r="TN15" i="17"/>
  <c r="TM15" i="17"/>
  <c r="E104" i="14"/>
  <c r="I104" i="14"/>
  <c r="G104" i="14"/>
  <c r="M104" i="14"/>
  <c r="L104" i="14"/>
  <c r="J104" i="14"/>
  <c r="D104" i="14"/>
  <c r="H104" i="14"/>
  <c r="BV83" i="1" l="1"/>
  <c r="BV82" i="1"/>
  <c r="BV81" i="1"/>
  <c r="BV80" i="1"/>
  <c r="BV79" i="1"/>
  <c r="BV78" i="1"/>
  <c r="BV77" i="1"/>
  <c r="BV76" i="1"/>
  <c r="BV75" i="1"/>
  <c r="BV74" i="1"/>
  <c r="BV73" i="1"/>
  <c r="BV72" i="1"/>
  <c r="BV71" i="1"/>
  <c r="BV70" i="1"/>
  <c r="BV69" i="1"/>
  <c r="BV68" i="1"/>
  <c r="BV67" i="1"/>
  <c r="BV66" i="1"/>
  <c r="BV65" i="1"/>
  <c r="BV64" i="1"/>
  <c r="BV59" i="1"/>
  <c r="BV58" i="1"/>
  <c r="BV57" i="1"/>
  <c r="BV54" i="1"/>
  <c r="BV52" i="1"/>
  <c r="BV51" i="1"/>
  <c r="BT83" i="1"/>
  <c r="BT82" i="1"/>
  <c r="BT81" i="1"/>
  <c r="BT80" i="1"/>
  <c r="BT79" i="1"/>
  <c r="BT78" i="1"/>
  <c r="BT77" i="1"/>
  <c r="BT76" i="1"/>
  <c r="BT75" i="1"/>
  <c r="BT74" i="1"/>
  <c r="BT73" i="1"/>
  <c r="BT72" i="1"/>
  <c r="BT71" i="1"/>
  <c r="BT70" i="1"/>
  <c r="BT69" i="1"/>
  <c r="BT68" i="1"/>
  <c r="BT67" i="1"/>
  <c r="BT66" i="1"/>
  <c r="BT65" i="1"/>
  <c r="BT64" i="1"/>
  <c r="BT59" i="1"/>
  <c r="BT58" i="1"/>
  <c r="BT57" i="1"/>
  <c r="BT54" i="1"/>
  <c r="BT52" i="1"/>
  <c r="BT51" i="1"/>
  <c r="BS83" i="1"/>
  <c r="BS82" i="1"/>
  <c r="BS81" i="1"/>
  <c r="BS80" i="1"/>
  <c r="BS79" i="1"/>
  <c r="BS78" i="1"/>
  <c r="BS77" i="1"/>
  <c r="BS76" i="1"/>
  <c r="BS75" i="1"/>
  <c r="BS74" i="1"/>
  <c r="BS73" i="1"/>
  <c r="BS72" i="1"/>
  <c r="BS71" i="1"/>
  <c r="BS70" i="1"/>
  <c r="BS69" i="1"/>
  <c r="BS68" i="1"/>
  <c r="BS67" i="1"/>
  <c r="BS66" i="1"/>
  <c r="BS65" i="1"/>
  <c r="BS64" i="1"/>
  <c r="BS59" i="1"/>
  <c r="BS58" i="1"/>
  <c r="BS57" i="1"/>
  <c r="BS54" i="1"/>
  <c r="BS52" i="1"/>
  <c r="BS51" i="1"/>
  <c r="BR83" i="1"/>
  <c r="BR82" i="1"/>
  <c r="BR81" i="1"/>
  <c r="BR80" i="1"/>
  <c r="BR79" i="1"/>
  <c r="BR78" i="1"/>
  <c r="BR77" i="1"/>
  <c r="BR76" i="1"/>
  <c r="BR75" i="1"/>
  <c r="BR74" i="1"/>
  <c r="BR73" i="1"/>
  <c r="BR72" i="1"/>
  <c r="BR71" i="1"/>
  <c r="BR70" i="1"/>
  <c r="BR69" i="1"/>
  <c r="BR68" i="1"/>
  <c r="BR67" i="1"/>
  <c r="BR66" i="1"/>
  <c r="BR65" i="1"/>
  <c r="BR64" i="1"/>
  <c r="BR59" i="1"/>
  <c r="BR58" i="1"/>
  <c r="BR57" i="1"/>
  <c r="BR54" i="1"/>
  <c r="BR52" i="1"/>
  <c r="BR51" i="1"/>
  <c r="CO83" i="1"/>
  <c r="CO82" i="1"/>
  <c r="CO81" i="1"/>
  <c r="CO80" i="1"/>
  <c r="CO79" i="1"/>
  <c r="CO78" i="1"/>
  <c r="CO77" i="1"/>
  <c r="CO76" i="1"/>
  <c r="CO75" i="1"/>
  <c r="CO74" i="1"/>
  <c r="CO73" i="1"/>
  <c r="CO72" i="1"/>
  <c r="CO71" i="1"/>
  <c r="CO70" i="1"/>
  <c r="CO69" i="1"/>
  <c r="CO68" i="1"/>
  <c r="CO67" i="1"/>
  <c r="CO66" i="1"/>
  <c r="CO65" i="1"/>
  <c r="CO64" i="1"/>
  <c r="CO59" i="1"/>
  <c r="CO58" i="1"/>
  <c r="CO57" i="1"/>
  <c r="CO54" i="1"/>
  <c r="CO52" i="1"/>
  <c r="CO51" i="1"/>
  <c r="CN83" i="1"/>
  <c r="CN82" i="1"/>
  <c r="CN81" i="1"/>
  <c r="CN80" i="1"/>
  <c r="CN79" i="1"/>
  <c r="CN78" i="1"/>
  <c r="CN77" i="1"/>
  <c r="CN76" i="1"/>
  <c r="CN75" i="1"/>
  <c r="CN74" i="1"/>
  <c r="CN73" i="1"/>
  <c r="CN72" i="1"/>
  <c r="CN71" i="1"/>
  <c r="CN70" i="1"/>
  <c r="CN69" i="1"/>
  <c r="CN68" i="1"/>
  <c r="CN67" i="1"/>
  <c r="CN66" i="1"/>
  <c r="CN65" i="1"/>
  <c r="CN64" i="1"/>
  <c r="CN59" i="1"/>
  <c r="CN58" i="1"/>
  <c r="CN57" i="1"/>
  <c r="CN54" i="1"/>
  <c r="CN52" i="1"/>
  <c r="CN51" i="1"/>
  <c r="BM109" i="1"/>
  <c r="BM108" i="1"/>
  <c r="BM107" i="1"/>
  <c r="BM106" i="1"/>
  <c r="BM105" i="1"/>
  <c r="BM104" i="1"/>
  <c r="BM103" i="1"/>
  <c r="BM102" i="1"/>
  <c r="BM101" i="1"/>
  <c r="BM100" i="1"/>
  <c r="BM99" i="1"/>
  <c r="BM98" i="1"/>
  <c r="BM97" i="1"/>
  <c r="BM96" i="1"/>
  <c r="BM95" i="1"/>
  <c r="BM94" i="1"/>
  <c r="BM93" i="1"/>
  <c r="BM92" i="1"/>
  <c r="BM91" i="1"/>
  <c r="BM90" i="1"/>
  <c r="BM89" i="1"/>
  <c r="BM88" i="1"/>
  <c r="BM87" i="1"/>
  <c r="BM86" i="1"/>
  <c r="BM85" i="1"/>
  <c r="BM84" i="1"/>
  <c r="BL109" i="1"/>
  <c r="BL108" i="1"/>
  <c r="BL107" i="1"/>
  <c r="BL106" i="1"/>
  <c r="BL105" i="1"/>
  <c r="BL104" i="1"/>
  <c r="BL103" i="1"/>
  <c r="BL102" i="1"/>
  <c r="BL101" i="1"/>
  <c r="BL100" i="1"/>
  <c r="BL99" i="1"/>
  <c r="BL98" i="1"/>
  <c r="BL97" i="1"/>
  <c r="BL96" i="1"/>
  <c r="BL95" i="1"/>
  <c r="BL94" i="1"/>
  <c r="BL93" i="1"/>
  <c r="BL92" i="1"/>
  <c r="BL91" i="1"/>
  <c r="BL90" i="1"/>
  <c r="BL89" i="1"/>
  <c r="BL88" i="1"/>
  <c r="BL87" i="1"/>
  <c r="BL86" i="1"/>
  <c r="BL85" i="1"/>
  <c r="BL84" i="1"/>
  <c r="BK109" i="1"/>
  <c r="BK108" i="1"/>
  <c r="BK107" i="1"/>
  <c r="BK106" i="1"/>
  <c r="BK105" i="1"/>
  <c r="BK104" i="1"/>
  <c r="BK103" i="1"/>
  <c r="BK102" i="1"/>
  <c r="BK101" i="1"/>
  <c r="BK100" i="1"/>
  <c r="BK99" i="1"/>
  <c r="BK98" i="1"/>
  <c r="BK97" i="1"/>
  <c r="BK96" i="1"/>
  <c r="BK95" i="1"/>
  <c r="BK94" i="1"/>
  <c r="BK93" i="1"/>
  <c r="BK92" i="1"/>
  <c r="BK91" i="1"/>
  <c r="BK90" i="1"/>
  <c r="BK89" i="1"/>
  <c r="BK88" i="1"/>
  <c r="BK87" i="1"/>
  <c r="BK86" i="1"/>
  <c r="BK85" i="1"/>
  <c r="BK84" i="1"/>
  <c r="BJ109" i="1"/>
  <c r="BJ108" i="1"/>
  <c r="BJ107" i="1"/>
  <c r="BJ106" i="1"/>
  <c r="BJ105" i="1"/>
  <c r="BJ104" i="1"/>
  <c r="BJ103" i="1"/>
  <c r="BJ102" i="1"/>
  <c r="BJ101" i="1"/>
  <c r="BJ100" i="1"/>
  <c r="BJ99" i="1"/>
  <c r="BJ98" i="1"/>
  <c r="BJ97" i="1"/>
  <c r="BJ96" i="1"/>
  <c r="BJ95" i="1"/>
  <c r="BJ94" i="1"/>
  <c r="BJ93" i="1"/>
  <c r="BJ92" i="1"/>
  <c r="BJ91" i="1"/>
  <c r="BJ90" i="1"/>
  <c r="BJ89" i="1"/>
  <c r="BJ88" i="1"/>
  <c r="BJ87" i="1"/>
  <c r="BJ86" i="1"/>
  <c r="BJ85" i="1"/>
  <c r="BJ84" i="1"/>
  <c r="BI109" i="1"/>
  <c r="BI108" i="1"/>
  <c r="BI107" i="1"/>
  <c r="BI106" i="1"/>
  <c r="BI105" i="1"/>
  <c r="BI104" i="1"/>
  <c r="BI103" i="1"/>
  <c r="BI102" i="1"/>
  <c r="BI101" i="1"/>
  <c r="BI100" i="1"/>
  <c r="BI99" i="1"/>
  <c r="BI98" i="1"/>
  <c r="BI97" i="1"/>
  <c r="BI96" i="1"/>
  <c r="BI95" i="1"/>
  <c r="BI94" i="1"/>
  <c r="BI93" i="1"/>
  <c r="BI92" i="1"/>
  <c r="BI91" i="1"/>
  <c r="BI90" i="1"/>
  <c r="BI89" i="1"/>
  <c r="BI88" i="1"/>
  <c r="BI87" i="1"/>
  <c r="BI86" i="1"/>
  <c r="BI85" i="1"/>
  <c r="BI84" i="1"/>
  <c r="BH109" i="1"/>
  <c r="BH108" i="1"/>
  <c r="BH107" i="1"/>
  <c r="BH106" i="1"/>
  <c r="BH105" i="1"/>
  <c r="BH104" i="1"/>
  <c r="BH103" i="1"/>
  <c r="BH102" i="1"/>
  <c r="BH101" i="1"/>
  <c r="BH100" i="1"/>
  <c r="BH99" i="1"/>
  <c r="BH98" i="1"/>
  <c r="BH97" i="1"/>
  <c r="BH96" i="1"/>
  <c r="BH95" i="1"/>
  <c r="BH94" i="1"/>
  <c r="BH93" i="1"/>
  <c r="BH92" i="1"/>
  <c r="BH91" i="1"/>
  <c r="BH90" i="1"/>
  <c r="BH89" i="1"/>
  <c r="BH88" i="1"/>
  <c r="BH87" i="1"/>
  <c r="BH86" i="1"/>
  <c r="BH85" i="1"/>
  <c r="BH84" i="1"/>
  <c r="BG109" i="1"/>
  <c r="BG108" i="1"/>
  <c r="BG107" i="1"/>
  <c r="BG106" i="1"/>
  <c r="BG105" i="1"/>
  <c r="BG104" i="1"/>
  <c r="BG103" i="1"/>
  <c r="BG102" i="1"/>
  <c r="BG101" i="1"/>
  <c r="BG100" i="1"/>
  <c r="BG99" i="1"/>
  <c r="BG98" i="1"/>
  <c r="BG97" i="1"/>
  <c r="BG96" i="1"/>
  <c r="BG95" i="1"/>
  <c r="BG94" i="1"/>
  <c r="BG93" i="1"/>
  <c r="BG92" i="1"/>
  <c r="BG91" i="1"/>
  <c r="BG90" i="1"/>
  <c r="BG89" i="1"/>
  <c r="BG88" i="1"/>
  <c r="BG87" i="1"/>
  <c r="BG86" i="1"/>
  <c r="BG85" i="1"/>
  <c r="BG84" i="1"/>
  <c r="BF109" i="1"/>
  <c r="BF108" i="1"/>
  <c r="BF107" i="1"/>
  <c r="BF106" i="1"/>
  <c r="BF105" i="1"/>
  <c r="BF104" i="1"/>
  <c r="BF103" i="1"/>
  <c r="BF102" i="1"/>
  <c r="BF101" i="1"/>
  <c r="BF100" i="1"/>
  <c r="BF99" i="1"/>
  <c r="BF98" i="1"/>
  <c r="BF97" i="1"/>
  <c r="BF96" i="1"/>
  <c r="BF95" i="1"/>
  <c r="BF94" i="1"/>
  <c r="BF93" i="1"/>
  <c r="BF92" i="1"/>
  <c r="BF91" i="1"/>
  <c r="BF90" i="1"/>
  <c r="BF89" i="1"/>
  <c r="BF88" i="1"/>
  <c r="BF87" i="1"/>
  <c r="BF86" i="1"/>
  <c r="BF85" i="1"/>
  <c r="BF84" i="1"/>
  <c r="BE109" i="1"/>
  <c r="BE108" i="1"/>
  <c r="BE107" i="1"/>
  <c r="BE106" i="1"/>
  <c r="BE105" i="1"/>
  <c r="BE104" i="1"/>
  <c r="BE103" i="1"/>
  <c r="BE102" i="1"/>
  <c r="BE101" i="1"/>
  <c r="BE100" i="1"/>
  <c r="BE99" i="1"/>
  <c r="BE98" i="1"/>
  <c r="BE97" i="1"/>
  <c r="BE96" i="1"/>
  <c r="BE95" i="1"/>
  <c r="BE94" i="1"/>
  <c r="BE93" i="1"/>
  <c r="BE92" i="1"/>
  <c r="BE91" i="1"/>
  <c r="BE90" i="1"/>
  <c r="BE89" i="1"/>
  <c r="BE88" i="1"/>
  <c r="BE87" i="1"/>
  <c r="BE86" i="1"/>
  <c r="BE85" i="1"/>
  <c r="BE84" i="1"/>
  <c r="BD109" i="1"/>
  <c r="BD108" i="1"/>
  <c r="BD107" i="1"/>
  <c r="BD106" i="1"/>
  <c r="BD105" i="1"/>
  <c r="BD104" i="1"/>
  <c r="BD103" i="1"/>
  <c r="BD102" i="1"/>
  <c r="BD101" i="1"/>
  <c r="BD100" i="1"/>
  <c r="BD99" i="1"/>
  <c r="BD98" i="1"/>
  <c r="BD97" i="1"/>
  <c r="BD96" i="1"/>
  <c r="BD95" i="1"/>
  <c r="BD94" i="1"/>
  <c r="BD93" i="1"/>
  <c r="BD92" i="1"/>
  <c r="BD91" i="1"/>
  <c r="BD90" i="1"/>
  <c r="BD89" i="1"/>
  <c r="BD88" i="1"/>
  <c r="BD87" i="1"/>
  <c r="BD86" i="1"/>
  <c r="BD85" i="1"/>
  <c r="BD84" i="1"/>
  <c r="BC109" i="1"/>
  <c r="BC108" i="1"/>
  <c r="BC107" i="1"/>
  <c r="BC106" i="1"/>
  <c r="BC105" i="1"/>
  <c r="BC104" i="1"/>
  <c r="BC103" i="1"/>
  <c r="BC102" i="1"/>
  <c r="BC101" i="1"/>
  <c r="BC100" i="1"/>
  <c r="BC99" i="1"/>
  <c r="BC98" i="1"/>
  <c r="BC97" i="1"/>
  <c r="BC96" i="1"/>
  <c r="BC95" i="1"/>
  <c r="BC94" i="1"/>
  <c r="BC93" i="1"/>
  <c r="BC92" i="1"/>
  <c r="BC91" i="1"/>
  <c r="BC90" i="1"/>
  <c r="BC89" i="1"/>
  <c r="BC88" i="1"/>
  <c r="BC87" i="1"/>
  <c r="BC86" i="1"/>
  <c r="BC85" i="1"/>
  <c r="BC84" i="1"/>
  <c r="BA109" i="1"/>
  <c r="BA108" i="1"/>
  <c r="BA107" i="1"/>
  <c r="BA106" i="1"/>
  <c r="BA105" i="1"/>
  <c r="BA104" i="1"/>
  <c r="BA103" i="1"/>
  <c r="BA102" i="1"/>
  <c r="BA101" i="1"/>
  <c r="BA100" i="1"/>
  <c r="BA99" i="1"/>
  <c r="BA98" i="1"/>
  <c r="BA97" i="1"/>
  <c r="BA96" i="1"/>
  <c r="BA95" i="1"/>
  <c r="BA94" i="1"/>
  <c r="BA93" i="1"/>
  <c r="BA92" i="1"/>
  <c r="BA91" i="1"/>
  <c r="BA90" i="1"/>
  <c r="BA89" i="1"/>
  <c r="BA88" i="1"/>
  <c r="BA87" i="1"/>
  <c r="BA86" i="1"/>
  <c r="BA85" i="1"/>
  <c r="BA84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X109" i="1"/>
  <c r="AX108" i="1"/>
  <c r="AX107" i="1"/>
  <c r="AX106" i="1"/>
  <c r="AX105" i="1"/>
  <c r="AX104" i="1"/>
  <c r="AX103" i="1"/>
  <c r="AX102" i="1"/>
  <c r="AX101" i="1"/>
  <c r="AX100" i="1"/>
  <c r="AX99" i="1"/>
  <c r="AX98" i="1"/>
  <c r="AX97" i="1"/>
  <c r="AX96" i="1"/>
  <c r="AX95" i="1"/>
  <c r="AX94" i="1"/>
  <c r="AX93" i="1"/>
  <c r="AX92" i="1"/>
  <c r="AX91" i="1"/>
  <c r="AX90" i="1"/>
  <c r="AX89" i="1"/>
  <c r="AX88" i="1"/>
  <c r="AX87" i="1"/>
  <c r="AX86" i="1"/>
  <c r="AX85" i="1"/>
  <c r="AX84" i="1"/>
  <c r="AW109" i="1"/>
  <c r="AW108" i="1"/>
  <c r="AW107" i="1"/>
  <c r="AW106" i="1"/>
  <c r="AW105" i="1"/>
  <c r="AW104" i="1"/>
  <c r="AW103" i="1"/>
  <c r="AW102" i="1"/>
  <c r="AW101" i="1"/>
  <c r="AW100" i="1"/>
  <c r="AW99" i="1"/>
  <c r="AW98" i="1"/>
  <c r="AW97" i="1"/>
  <c r="AW96" i="1"/>
  <c r="AW95" i="1"/>
  <c r="AW94" i="1"/>
  <c r="AW93" i="1"/>
  <c r="AW92" i="1"/>
  <c r="AW91" i="1"/>
  <c r="AW90" i="1"/>
  <c r="AW89" i="1"/>
  <c r="AW88" i="1"/>
  <c r="AW87" i="1"/>
  <c r="AW86" i="1"/>
  <c r="AW85" i="1"/>
  <c r="AW84" i="1"/>
  <c r="AV109" i="1"/>
  <c r="AV108" i="1"/>
  <c r="AV107" i="1"/>
  <c r="AV106" i="1"/>
  <c r="AV105" i="1"/>
  <c r="AV104" i="1"/>
  <c r="AV103" i="1"/>
  <c r="AV102" i="1"/>
  <c r="AV101" i="1"/>
  <c r="AV100" i="1"/>
  <c r="AV99" i="1"/>
  <c r="AV98" i="1"/>
  <c r="AV97" i="1"/>
  <c r="AV96" i="1"/>
  <c r="AV95" i="1"/>
  <c r="AV94" i="1"/>
  <c r="AV93" i="1"/>
  <c r="AV92" i="1"/>
  <c r="AV91" i="1"/>
  <c r="AV90" i="1"/>
  <c r="AV89" i="1"/>
  <c r="AV88" i="1"/>
  <c r="AV87" i="1"/>
  <c r="AV86" i="1"/>
  <c r="AV85" i="1"/>
  <c r="AV84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T109" i="1"/>
  <c r="AT108" i="1"/>
  <c r="AT107" i="1"/>
  <c r="AT106" i="1"/>
  <c r="AT105" i="1"/>
  <c r="AT104" i="1"/>
  <c r="AT103" i="1"/>
  <c r="AT102" i="1"/>
  <c r="AT101" i="1"/>
  <c r="AT100" i="1"/>
  <c r="AT99" i="1"/>
  <c r="AT98" i="1"/>
  <c r="AT97" i="1"/>
  <c r="AT96" i="1"/>
  <c r="AT95" i="1"/>
  <c r="AT94" i="1"/>
  <c r="AT93" i="1"/>
  <c r="AT92" i="1"/>
  <c r="AT91" i="1"/>
  <c r="AT90" i="1"/>
  <c r="AT89" i="1"/>
  <c r="AT88" i="1"/>
  <c r="AT87" i="1"/>
  <c r="AT86" i="1"/>
  <c r="AT85" i="1"/>
  <c r="AT84" i="1"/>
  <c r="AS109" i="1"/>
  <c r="AS108" i="1"/>
  <c r="AS107" i="1"/>
  <c r="AS106" i="1"/>
  <c r="AS105" i="1"/>
  <c r="AS104" i="1"/>
  <c r="AS103" i="1"/>
  <c r="AS102" i="1"/>
  <c r="AS101" i="1"/>
  <c r="AS100" i="1"/>
  <c r="AS99" i="1"/>
  <c r="AS98" i="1"/>
  <c r="AS97" i="1"/>
  <c r="AS96" i="1"/>
  <c r="AS95" i="1"/>
  <c r="AS94" i="1"/>
  <c r="AS93" i="1"/>
  <c r="AS92" i="1"/>
  <c r="AS91" i="1"/>
  <c r="AS90" i="1"/>
  <c r="AS89" i="1"/>
  <c r="AS88" i="1"/>
  <c r="AS87" i="1"/>
  <c r="AS86" i="1"/>
  <c r="AS85" i="1"/>
  <c r="AS84" i="1"/>
  <c r="AR109" i="1"/>
  <c r="AR108" i="1"/>
  <c r="AR107" i="1"/>
  <c r="AR106" i="1"/>
  <c r="AR105" i="1"/>
  <c r="AR104" i="1"/>
  <c r="AR103" i="1"/>
  <c r="AR102" i="1"/>
  <c r="AR101" i="1"/>
  <c r="AR100" i="1"/>
  <c r="AR99" i="1"/>
  <c r="AR98" i="1"/>
  <c r="AR97" i="1"/>
  <c r="AR96" i="1"/>
  <c r="AR95" i="1"/>
  <c r="AR94" i="1"/>
  <c r="AR93" i="1"/>
  <c r="AR92" i="1"/>
  <c r="AR91" i="1"/>
  <c r="AR90" i="1"/>
  <c r="AR89" i="1"/>
  <c r="AR88" i="1"/>
  <c r="AR87" i="1"/>
  <c r="AR86" i="1"/>
  <c r="AR85" i="1"/>
  <c r="AR84" i="1"/>
  <c r="AN109" i="1"/>
  <c r="AN108" i="1"/>
  <c r="AN107" i="1"/>
  <c r="AN106" i="1"/>
  <c r="AN105" i="1"/>
  <c r="AN104" i="1"/>
  <c r="AN103" i="1"/>
  <c r="AN102" i="1"/>
  <c r="AN101" i="1"/>
  <c r="AN100" i="1"/>
  <c r="AN99" i="1"/>
  <c r="AN98" i="1"/>
  <c r="AN97" i="1"/>
  <c r="AN96" i="1"/>
  <c r="AN95" i="1"/>
  <c r="AN94" i="1"/>
  <c r="AN93" i="1"/>
  <c r="AN92" i="1"/>
  <c r="AN91" i="1"/>
  <c r="AN90" i="1"/>
  <c r="AN89" i="1"/>
  <c r="AN88" i="1"/>
  <c r="AN87" i="1"/>
  <c r="AN86" i="1"/>
  <c r="AN85" i="1"/>
  <c r="AN84" i="1"/>
  <c r="BJ83" i="1"/>
  <c r="BJ82" i="1"/>
  <c r="BJ81" i="1"/>
  <c r="BJ80" i="1"/>
  <c r="BJ79" i="1"/>
  <c r="BJ78" i="1"/>
  <c r="BJ77" i="1"/>
  <c r="BJ76" i="1"/>
  <c r="BJ75" i="1"/>
  <c r="BJ74" i="1"/>
  <c r="BJ73" i="1"/>
  <c r="BJ72" i="1"/>
  <c r="BJ71" i="1"/>
  <c r="BJ70" i="1"/>
  <c r="BJ69" i="1"/>
  <c r="BJ68" i="1"/>
  <c r="BJ67" i="1"/>
  <c r="BJ66" i="1"/>
  <c r="BJ65" i="1"/>
  <c r="BJ64" i="1"/>
  <c r="BJ63" i="1"/>
  <c r="BJ62" i="1"/>
  <c r="BJ61" i="1"/>
  <c r="BJ60" i="1"/>
  <c r="BJ59" i="1"/>
  <c r="BJ58" i="1"/>
  <c r="BJ57" i="1"/>
  <c r="BJ56" i="1"/>
  <c r="BJ55" i="1"/>
  <c r="BJ54" i="1"/>
  <c r="BJ53" i="1"/>
  <c r="BJ52" i="1"/>
  <c r="BJ51" i="1"/>
  <c r="BI83" i="1"/>
  <c r="BI82" i="1"/>
  <c r="BI81" i="1"/>
  <c r="BI80" i="1"/>
  <c r="BI79" i="1"/>
  <c r="BI78" i="1"/>
  <c r="BI77" i="1"/>
  <c r="BI76" i="1"/>
  <c r="BI75" i="1"/>
  <c r="BI74" i="1"/>
  <c r="BI73" i="1"/>
  <c r="BI72" i="1"/>
  <c r="BI71" i="1"/>
  <c r="BI70" i="1"/>
  <c r="BI69" i="1"/>
  <c r="BI68" i="1"/>
  <c r="BI67" i="1"/>
  <c r="BI66" i="1"/>
  <c r="BI65" i="1"/>
  <c r="BI64" i="1"/>
  <c r="BI63" i="1"/>
  <c r="BI62" i="1"/>
  <c r="BI61" i="1"/>
  <c r="BI60" i="1"/>
  <c r="BI59" i="1"/>
  <c r="BI58" i="1"/>
  <c r="BI57" i="1"/>
  <c r="BI56" i="1"/>
  <c r="BI55" i="1"/>
  <c r="BI54" i="1"/>
  <c r="BI53" i="1"/>
  <c r="BI52" i="1"/>
  <c r="BI51" i="1"/>
  <c r="BH83" i="1"/>
  <c r="BH82" i="1"/>
  <c r="BH81" i="1"/>
  <c r="BH80" i="1"/>
  <c r="BH79" i="1"/>
  <c r="BH78" i="1"/>
  <c r="BH77" i="1"/>
  <c r="BH76" i="1"/>
  <c r="BH75" i="1"/>
  <c r="BH74" i="1"/>
  <c r="BH73" i="1"/>
  <c r="BH72" i="1"/>
  <c r="BH71" i="1"/>
  <c r="BH70" i="1"/>
  <c r="BH69" i="1"/>
  <c r="BH68" i="1"/>
  <c r="BH67" i="1"/>
  <c r="BH66" i="1"/>
  <c r="BH65" i="1"/>
  <c r="BH64" i="1"/>
  <c r="BH63" i="1"/>
  <c r="BH62" i="1"/>
  <c r="BH61" i="1"/>
  <c r="BH60" i="1"/>
  <c r="BH59" i="1"/>
  <c r="BH58" i="1"/>
  <c r="BH57" i="1"/>
  <c r="BH56" i="1"/>
  <c r="BH55" i="1"/>
  <c r="BH54" i="1"/>
  <c r="BH53" i="1"/>
  <c r="BH52" i="1"/>
  <c r="BH51" i="1"/>
  <c r="BG83" i="1"/>
  <c r="BG82" i="1"/>
  <c r="BG81" i="1"/>
  <c r="BG80" i="1"/>
  <c r="BG79" i="1"/>
  <c r="BG78" i="1"/>
  <c r="BG77" i="1"/>
  <c r="BG76" i="1"/>
  <c r="BG75" i="1"/>
  <c r="BG74" i="1"/>
  <c r="BG73" i="1"/>
  <c r="BG72" i="1"/>
  <c r="BG71" i="1"/>
  <c r="BG70" i="1"/>
  <c r="BG69" i="1"/>
  <c r="BG68" i="1"/>
  <c r="BG67" i="1"/>
  <c r="BG66" i="1"/>
  <c r="BG65" i="1"/>
  <c r="BG64" i="1"/>
  <c r="BG63" i="1"/>
  <c r="BG62" i="1"/>
  <c r="BG61" i="1"/>
  <c r="BG60" i="1"/>
  <c r="BG59" i="1"/>
  <c r="BG58" i="1"/>
  <c r="BG57" i="1"/>
  <c r="BG56" i="1"/>
  <c r="BG55" i="1"/>
  <c r="BG54" i="1"/>
  <c r="BG53" i="1"/>
  <c r="BG52" i="1"/>
  <c r="BG51" i="1"/>
  <c r="BF83" i="1"/>
  <c r="BF82" i="1"/>
  <c r="BF81" i="1"/>
  <c r="BF80" i="1"/>
  <c r="BF79" i="1"/>
  <c r="BF78" i="1"/>
  <c r="BF77" i="1"/>
  <c r="BF76" i="1"/>
  <c r="BF75" i="1"/>
  <c r="BF74" i="1"/>
  <c r="BF73" i="1"/>
  <c r="BF72" i="1"/>
  <c r="BF71" i="1"/>
  <c r="BF70" i="1"/>
  <c r="BF69" i="1"/>
  <c r="BF68" i="1"/>
  <c r="BF67" i="1"/>
  <c r="BF66" i="1"/>
  <c r="BF65" i="1"/>
  <c r="BF64" i="1"/>
  <c r="BF63" i="1"/>
  <c r="BF62" i="1"/>
  <c r="BF61" i="1"/>
  <c r="BF60" i="1"/>
  <c r="BF59" i="1"/>
  <c r="BF58" i="1"/>
  <c r="BF57" i="1"/>
  <c r="BF56" i="1"/>
  <c r="BF55" i="1"/>
  <c r="BF54" i="1"/>
  <c r="BF53" i="1"/>
  <c r="BF52" i="1"/>
  <c r="BF51" i="1"/>
  <c r="BE83" i="1"/>
  <c r="BE82" i="1"/>
  <c r="BE81" i="1"/>
  <c r="BE80" i="1"/>
  <c r="BE79" i="1"/>
  <c r="BE78" i="1"/>
  <c r="BE77" i="1"/>
  <c r="BE76" i="1"/>
  <c r="BE75" i="1"/>
  <c r="BE74" i="1"/>
  <c r="BE73" i="1"/>
  <c r="BE72" i="1"/>
  <c r="BE71" i="1"/>
  <c r="BE70" i="1"/>
  <c r="BE69" i="1"/>
  <c r="BE68" i="1"/>
  <c r="BE67" i="1"/>
  <c r="BE66" i="1"/>
  <c r="BE65" i="1"/>
  <c r="BE64" i="1"/>
  <c r="BE63" i="1"/>
  <c r="BE62" i="1"/>
  <c r="BE61" i="1"/>
  <c r="BE60" i="1"/>
  <c r="BE59" i="1"/>
  <c r="BE58" i="1"/>
  <c r="BE57" i="1"/>
  <c r="BE56" i="1"/>
  <c r="BE55" i="1"/>
  <c r="BE54" i="1"/>
  <c r="BE53" i="1"/>
  <c r="BE52" i="1"/>
  <c r="BE51" i="1"/>
  <c r="BD83" i="1"/>
  <c r="BD82" i="1"/>
  <c r="BD81" i="1"/>
  <c r="BD80" i="1"/>
  <c r="BD79" i="1"/>
  <c r="BD78" i="1"/>
  <c r="BD77" i="1"/>
  <c r="BD76" i="1"/>
  <c r="BD75" i="1"/>
  <c r="BD74" i="1"/>
  <c r="BD73" i="1"/>
  <c r="BD72" i="1"/>
  <c r="BD71" i="1"/>
  <c r="BD70" i="1"/>
  <c r="BD69" i="1"/>
  <c r="BD68" i="1"/>
  <c r="BD67" i="1"/>
  <c r="BD66" i="1"/>
  <c r="BD65" i="1"/>
  <c r="BD64" i="1"/>
  <c r="BD63" i="1"/>
  <c r="BD62" i="1"/>
  <c r="BD61" i="1"/>
  <c r="BD60" i="1"/>
  <c r="BD59" i="1"/>
  <c r="BD58" i="1"/>
  <c r="BD57" i="1"/>
  <c r="BD56" i="1"/>
  <c r="BD55" i="1"/>
  <c r="BD54" i="1"/>
  <c r="BD53" i="1"/>
  <c r="BD52" i="1"/>
  <c r="BD51" i="1"/>
  <c r="BC83" i="1"/>
  <c r="BC82" i="1"/>
  <c r="BC81" i="1"/>
  <c r="BC80" i="1"/>
  <c r="BC79" i="1"/>
  <c r="BC78" i="1"/>
  <c r="BC77" i="1"/>
  <c r="BC76" i="1"/>
  <c r="BC75" i="1"/>
  <c r="BC74" i="1"/>
  <c r="BC73" i="1"/>
  <c r="BC72" i="1"/>
  <c r="BC71" i="1"/>
  <c r="BC70" i="1"/>
  <c r="BC69" i="1"/>
  <c r="BC68" i="1"/>
  <c r="BC67" i="1"/>
  <c r="BC66" i="1"/>
  <c r="BC65" i="1"/>
  <c r="BC64" i="1"/>
  <c r="BC63" i="1"/>
  <c r="BC62" i="1"/>
  <c r="BC61" i="1"/>
  <c r="BC60" i="1"/>
  <c r="BC59" i="1"/>
  <c r="BC58" i="1"/>
  <c r="BC57" i="1"/>
  <c r="BC56" i="1"/>
  <c r="BC55" i="1"/>
  <c r="BC54" i="1"/>
  <c r="BC53" i="1"/>
  <c r="BC52" i="1"/>
  <c r="BC51" i="1"/>
  <c r="BA83" i="1"/>
  <c r="BA82" i="1"/>
  <c r="BA81" i="1"/>
  <c r="BA80" i="1"/>
  <c r="BA79" i="1"/>
  <c r="BA78" i="1"/>
  <c r="BA77" i="1"/>
  <c r="BA76" i="1"/>
  <c r="BA75" i="1"/>
  <c r="BA74" i="1"/>
  <c r="BA73" i="1"/>
  <c r="BA72" i="1"/>
  <c r="BA71" i="1"/>
  <c r="BA70" i="1"/>
  <c r="BA69" i="1"/>
  <c r="BA68" i="1"/>
  <c r="BA67" i="1"/>
  <c r="BA66" i="1"/>
  <c r="BA65" i="1"/>
  <c r="BA64" i="1"/>
  <c r="BA63" i="1"/>
  <c r="BA62" i="1"/>
  <c r="BA61" i="1"/>
  <c r="BA60" i="1"/>
  <c r="BA59" i="1"/>
  <c r="BA58" i="1"/>
  <c r="BA57" i="1"/>
  <c r="BA56" i="1"/>
  <c r="BA55" i="1"/>
  <c r="BA54" i="1"/>
  <c r="BA53" i="1"/>
  <c r="BA52" i="1"/>
  <c r="BA51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X83" i="1"/>
  <c r="AX82" i="1"/>
  <c r="AX81" i="1"/>
  <c r="AX80" i="1"/>
  <c r="AX79" i="1"/>
  <c r="AX78" i="1"/>
  <c r="AX77" i="1"/>
  <c r="AX76" i="1"/>
  <c r="AX75" i="1"/>
  <c r="AX74" i="1"/>
  <c r="AX73" i="1"/>
  <c r="AX72" i="1"/>
  <c r="AX71" i="1"/>
  <c r="AX70" i="1"/>
  <c r="AX69" i="1"/>
  <c r="AX68" i="1"/>
  <c r="AX67" i="1"/>
  <c r="AX66" i="1"/>
  <c r="AX65" i="1"/>
  <c r="AX64" i="1"/>
  <c r="AX63" i="1"/>
  <c r="AX62" i="1"/>
  <c r="AX61" i="1"/>
  <c r="AX60" i="1"/>
  <c r="AX59" i="1"/>
  <c r="AX58" i="1"/>
  <c r="AX57" i="1"/>
  <c r="AX56" i="1"/>
  <c r="AX55" i="1"/>
  <c r="AX54" i="1"/>
  <c r="AX53" i="1"/>
  <c r="AX52" i="1"/>
  <c r="AX51" i="1"/>
  <c r="AW83" i="1"/>
  <c r="AW82" i="1"/>
  <c r="AW81" i="1"/>
  <c r="AW80" i="1"/>
  <c r="AW79" i="1"/>
  <c r="AW78" i="1"/>
  <c r="AW77" i="1"/>
  <c r="AW76" i="1"/>
  <c r="AW75" i="1"/>
  <c r="AW74" i="1"/>
  <c r="AW73" i="1"/>
  <c r="AW72" i="1"/>
  <c r="AW71" i="1"/>
  <c r="AW70" i="1"/>
  <c r="AW69" i="1"/>
  <c r="AW68" i="1"/>
  <c r="AW67" i="1"/>
  <c r="AW66" i="1"/>
  <c r="AW65" i="1"/>
  <c r="AW64" i="1"/>
  <c r="AW63" i="1"/>
  <c r="AW62" i="1"/>
  <c r="AW61" i="1"/>
  <c r="AW60" i="1"/>
  <c r="AW59" i="1"/>
  <c r="AW58" i="1"/>
  <c r="AW57" i="1"/>
  <c r="AW56" i="1"/>
  <c r="AW55" i="1"/>
  <c r="AW54" i="1"/>
  <c r="AW53" i="1"/>
  <c r="AW52" i="1"/>
  <c r="AW51" i="1"/>
  <c r="AV83" i="1"/>
  <c r="AV82" i="1"/>
  <c r="AV81" i="1"/>
  <c r="AV80" i="1"/>
  <c r="AV79" i="1"/>
  <c r="AV78" i="1"/>
  <c r="AV77" i="1"/>
  <c r="AV76" i="1"/>
  <c r="AV75" i="1"/>
  <c r="AV74" i="1"/>
  <c r="AV73" i="1"/>
  <c r="AV72" i="1"/>
  <c r="AV71" i="1"/>
  <c r="AV70" i="1"/>
  <c r="AV69" i="1"/>
  <c r="AV68" i="1"/>
  <c r="AV67" i="1"/>
  <c r="AV66" i="1"/>
  <c r="AV65" i="1"/>
  <c r="AV64" i="1"/>
  <c r="AV63" i="1"/>
  <c r="AV62" i="1"/>
  <c r="AV61" i="1"/>
  <c r="AV60" i="1"/>
  <c r="AV59" i="1"/>
  <c r="AV58" i="1"/>
  <c r="AV57" i="1"/>
  <c r="AV56" i="1"/>
  <c r="AV55" i="1"/>
  <c r="AV54" i="1"/>
  <c r="AV53" i="1"/>
  <c r="AV52" i="1"/>
  <c r="AV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51" i="1"/>
  <c r="AS83" i="1"/>
  <c r="AS82" i="1"/>
  <c r="AS81" i="1"/>
  <c r="AS80" i="1"/>
  <c r="AS79" i="1"/>
  <c r="AS78" i="1"/>
  <c r="AS77" i="1"/>
  <c r="AS76" i="1"/>
  <c r="AS75" i="1"/>
  <c r="AS74" i="1"/>
  <c r="AS73" i="1"/>
  <c r="AS72" i="1"/>
  <c r="AS71" i="1"/>
  <c r="AS70" i="1"/>
  <c r="AS69" i="1"/>
  <c r="AS68" i="1"/>
  <c r="AS67" i="1"/>
  <c r="AS66" i="1"/>
  <c r="AS65" i="1"/>
  <c r="AS64" i="1"/>
  <c r="AS63" i="1"/>
  <c r="AS62" i="1"/>
  <c r="AS61" i="1"/>
  <c r="AS60" i="1"/>
  <c r="AS59" i="1"/>
  <c r="AS58" i="1"/>
  <c r="AS57" i="1"/>
  <c r="AS56" i="1"/>
  <c r="AS55" i="1"/>
  <c r="AS54" i="1"/>
  <c r="AS53" i="1"/>
  <c r="AS52" i="1"/>
  <c r="AS51" i="1"/>
  <c r="AR83" i="1"/>
  <c r="AR82" i="1"/>
  <c r="AR81" i="1"/>
  <c r="AR80" i="1"/>
  <c r="AR79" i="1"/>
  <c r="AR78" i="1"/>
  <c r="AR77" i="1"/>
  <c r="AR76" i="1"/>
  <c r="AR75" i="1"/>
  <c r="AR74" i="1"/>
  <c r="AR73" i="1"/>
  <c r="AR72" i="1"/>
  <c r="AR71" i="1"/>
  <c r="AR70" i="1"/>
  <c r="AR69" i="1"/>
  <c r="AR68" i="1"/>
  <c r="AR67" i="1"/>
  <c r="AR66" i="1"/>
  <c r="AR65" i="1"/>
  <c r="AR64" i="1"/>
  <c r="AR63" i="1"/>
  <c r="AR62" i="1"/>
  <c r="AR61" i="1"/>
  <c r="AR60" i="1"/>
  <c r="AR59" i="1"/>
  <c r="AR58" i="1"/>
  <c r="AR57" i="1"/>
  <c r="AR56" i="1"/>
  <c r="AR55" i="1"/>
  <c r="AR54" i="1"/>
  <c r="AR53" i="1"/>
  <c r="AR52" i="1"/>
  <c r="AR51" i="1"/>
  <c r="AN83" i="1"/>
  <c r="AN82" i="1"/>
  <c r="AN81" i="1"/>
  <c r="AN80" i="1"/>
  <c r="AN79" i="1"/>
  <c r="AN78" i="1"/>
  <c r="AN77" i="1"/>
  <c r="AN76" i="1"/>
  <c r="AN75" i="1"/>
  <c r="AN74" i="1"/>
  <c r="AN73" i="1"/>
  <c r="AN72" i="1"/>
  <c r="AN71" i="1"/>
  <c r="AN70" i="1"/>
  <c r="AN69" i="1"/>
  <c r="AN68" i="1"/>
  <c r="AN67" i="1"/>
  <c r="AN66" i="1"/>
  <c r="AN65" i="1"/>
  <c r="AN64" i="1"/>
  <c r="AN63" i="1"/>
  <c r="AN62" i="1"/>
  <c r="AN61" i="1"/>
  <c r="AN60" i="1"/>
  <c r="AN59" i="1"/>
  <c r="AN58" i="1"/>
  <c r="AN57" i="1"/>
  <c r="AN56" i="1"/>
  <c r="AN55" i="1"/>
  <c r="AN54" i="1"/>
  <c r="AN53" i="1"/>
  <c r="AN52" i="1"/>
  <c r="AN51" i="1"/>
  <c r="AI65" i="1"/>
  <c r="AI74" i="1"/>
  <c r="AI75" i="1"/>
  <c r="AI83" i="1"/>
  <c r="AI66" i="1"/>
  <c r="AI82" i="1"/>
  <c r="AI71" i="1"/>
  <c r="AI70" i="1"/>
  <c r="AI69" i="1"/>
  <c r="AI67" i="1"/>
  <c r="AI64" i="1"/>
  <c r="AI73" i="1"/>
  <c r="AI72" i="1"/>
  <c r="AI80" i="1"/>
  <c r="AI79" i="1"/>
  <c r="AI78" i="1"/>
  <c r="AI76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8" i="1"/>
  <c r="AI77" i="1"/>
  <c r="AI81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C118" i="49" l="1"/>
  <c r="D118" i="49" s="1"/>
  <c r="C76" i="49"/>
  <c r="D76" i="49" s="1"/>
  <c r="E76" i="49" s="1"/>
  <c r="C103" i="49"/>
  <c r="D103" i="49" s="1"/>
  <c r="E103" i="49" s="1"/>
  <c r="C100" i="49"/>
  <c r="D100" i="49" s="1"/>
  <c r="E100" i="49" s="1"/>
  <c r="C124" i="49"/>
  <c r="D124" i="49" s="1"/>
  <c r="E124" i="49" s="1"/>
  <c r="C102" i="49"/>
  <c r="C72" i="49"/>
  <c r="C77" i="49"/>
  <c r="C122" i="49"/>
  <c r="D122" i="49" s="1"/>
  <c r="E122" i="49" s="1"/>
  <c r="C104" i="49"/>
  <c r="D104" i="49" s="1"/>
  <c r="E104" i="49" s="1"/>
  <c r="C101" i="49"/>
  <c r="D101" i="49" s="1"/>
  <c r="E101" i="49" s="1"/>
  <c r="C95" i="49"/>
  <c r="C123" i="49"/>
  <c r="D123" i="49" s="1"/>
  <c r="E123" i="49" s="1"/>
  <c r="C99" i="49"/>
  <c r="D99" i="49" s="1"/>
  <c r="E99" i="49" s="1"/>
  <c r="C78" i="49"/>
  <c r="BN51" i="1"/>
  <c r="BN59" i="1"/>
  <c r="BN67" i="1"/>
  <c r="BN75" i="1"/>
  <c r="BN83" i="1"/>
  <c r="BN76" i="1"/>
  <c r="BQ76" i="1" s="1"/>
  <c r="BN68" i="1"/>
  <c r="BP68" i="1" s="1"/>
  <c r="BN64" i="1"/>
  <c r="BN72" i="1"/>
  <c r="BN80" i="1"/>
  <c r="BN52" i="1"/>
  <c r="BP52" i="1" s="1"/>
  <c r="BN58" i="1"/>
  <c r="BN66" i="1"/>
  <c r="BN74" i="1"/>
  <c r="BN82" i="1"/>
  <c r="BN69" i="1"/>
  <c r="BN77" i="1"/>
  <c r="BN54" i="1"/>
  <c r="BN70" i="1"/>
  <c r="BN78" i="1"/>
  <c r="BN71" i="1"/>
  <c r="BP71" i="1" s="1"/>
  <c r="BN79" i="1"/>
  <c r="BQ79" i="1" s="1"/>
  <c r="BN57" i="1"/>
  <c r="BP57" i="1" s="1"/>
  <c r="BN65" i="1"/>
  <c r="BP65" i="1" s="1"/>
  <c r="BN73" i="1"/>
  <c r="BQ73" i="1" s="1"/>
  <c r="BN81" i="1"/>
  <c r="BQ81" i="1" s="1"/>
  <c r="CL69" i="1"/>
  <c r="CL57" i="1"/>
  <c r="CL77" i="1"/>
  <c r="CL52" i="1"/>
  <c r="CL67" i="1"/>
  <c r="CL75" i="1"/>
  <c r="CL83" i="1"/>
  <c r="CL54" i="1"/>
  <c r="CL68" i="1"/>
  <c r="CL76" i="1"/>
  <c r="CL58" i="1"/>
  <c r="CL70" i="1"/>
  <c r="CL78" i="1"/>
  <c r="CL59" i="1"/>
  <c r="CL71" i="1"/>
  <c r="CL79" i="1"/>
  <c r="CL64" i="1"/>
  <c r="CL72" i="1"/>
  <c r="CL80" i="1"/>
  <c r="CL65" i="1"/>
  <c r="CL73" i="1"/>
  <c r="CL81" i="1"/>
  <c r="CL51" i="1"/>
  <c r="CL66" i="1"/>
  <c r="CL74" i="1"/>
  <c r="CL82" i="1"/>
  <c r="CO110" i="1"/>
  <c r="CO113" i="1" s="1"/>
  <c r="CN110" i="1"/>
  <c r="AI90" i="1"/>
  <c r="AI86" i="1"/>
  <c r="AI89" i="1"/>
  <c r="AI92" i="1"/>
  <c r="AI104" i="1"/>
  <c r="AI88" i="1"/>
  <c r="AI85" i="1"/>
  <c r="AI84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I109" i="1"/>
  <c r="AI108" i="1"/>
  <c r="AI107" i="1"/>
  <c r="AI106" i="1"/>
  <c r="AI105" i="1"/>
  <c r="AI103" i="1"/>
  <c r="AI102" i="1"/>
  <c r="AI101" i="1"/>
  <c r="AI100" i="1"/>
  <c r="AI99" i="1"/>
  <c r="AI98" i="1"/>
  <c r="AI97" i="1"/>
  <c r="AI96" i="1"/>
  <c r="AI91" i="1"/>
  <c r="AI95" i="1"/>
  <c r="AI94" i="1"/>
  <c r="AI93" i="1"/>
  <c r="AI87" i="1"/>
  <c r="BV63" i="1"/>
  <c r="BV62" i="1"/>
  <c r="BV61" i="1"/>
  <c r="BV60" i="1"/>
  <c r="BV56" i="1"/>
  <c r="BV55" i="1"/>
  <c r="BV53" i="1"/>
  <c r="BU63" i="1"/>
  <c r="BU62" i="1"/>
  <c r="BU61" i="1"/>
  <c r="BU60" i="1"/>
  <c r="BU56" i="1"/>
  <c r="BU55" i="1"/>
  <c r="BU53" i="1"/>
  <c r="BT63" i="1"/>
  <c r="BT61" i="1"/>
  <c r="BT62" i="1"/>
  <c r="BT60" i="1"/>
  <c r="BT56" i="1"/>
  <c r="BT55" i="1"/>
  <c r="BT53" i="1"/>
  <c r="BS63" i="1"/>
  <c r="BS62" i="1"/>
  <c r="BS61" i="1"/>
  <c r="BS60" i="1"/>
  <c r="BS56" i="1"/>
  <c r="BS55" i="1"/>
  <c r="BS53" i="1"/>
  <c r="BR63" i="1"/>
  <c r="BR62" i="1"/>
  <c r="BR61" i="1"/>
  <c r="BR60" i="1"/>
  <c r="BR56" i="1"/>
  <c r="BR55" i="1"/>
  <c r="BR53" i="1"/>
  <c r="BM83" i="1"/>
  <c r="BM82" i="1"/>
  <c r="BM81" i="1"/>
  <c r="BM80" i="1"/>
  <c r="BM79" i="1"/>
  <c r="BM78" i="1"/>
  <c r="BM77" i="1"/>
  <c r="BM76" i="1"/>
  <c r="BM75" i="1"/>
  <c r="BM74" i="1"/>
  <c r="BM73" i="1"/>
  <c r="BM72" i="1"/>
  <c r="BM71" i="1"/>
  <c r="BM70" i="1"/>
  <c r="BM69" i="1"/>
  <c r="BM68" i="1"/>
  <c r="BM67" i="1"/>
  <c r="BM66" i="1"/>
  <c r="BM65" i="1"/>
  <c r="BM64" i="1"/>
  <c r="BM63" i="1"/>
  <c r="BM62" i="1"/>
  <c r="BM61" i="1"/>
  <c r="BM60" i="1"/>
  <c r="BM59" i="1"/>
  <c r="BM58" i="1"/>
  <c r="BM57" i="1"/>
  <c r="BM56" i="1"/>
  <c r="BM55" i="1"/>
  <c r="BM54" i="1"/>
  <c r="BM53" i="1"/>
  <c r="BM52" i="1"/>
  <c r="BM51" i="1"/>
  <c r="BL83" i="1"/>
  <c r="BL82" i="1"/>
  <c r="BL81" i="1"/>
  <c r="BL80" i="1"/>
  <c r="BL79" i="1"/>
  <c r="BL78" i="1"/>
  <c r="BL77" i="1"/>
  <c r="BL76" i="1"/>
  <c r="BL75" i="1"/>
  <c r="BL74" i="1"/>
  <c r="BL73" i="1"/>
  <c r="BL72" i="1"/>
  <c r="BL71" i="1"/>
  <c r="BL70" i="1"/>
  <c r="BL69" i="1"/>
  <c r="BL68" i="1"/>
  <c r="BL67" i="1"/>
  <c r="BL66" i="1"/>
  <c r="BL65" i="1"/>
  <c r="BL64" i="1"/>
  <c r="BL63" i="1"/>
  <c r="BL62" i="1"/>
  <c r="BL61" i="1"/>
  <c r="BL60" i="1"/>
  <c r="BL59" i="1"/>
  <c r="BL58" i="1"/>
  <c r="BL57" i="1"/>
  <c r="BL56" i="1"/>
  <c r="BL55" i="1"/>
  <c r="BL54" i="1"/>
  <c r="BL53" i="1"/>
  <c r="BL52" i="1"/>
  <c r="BL51" i="1"/>
  <c r="BK83" i="1"/>
  <c r="BK82" i="1"/>
  <c r="BK81" i="1"/>
  <c r="BK80" i="1"/>
  <c r="BK79" i="1"/>
  <c r="BK78" i="1"/>
  <c r="BK77" i="1"/>
  <c r="BK76" i="1"/>
  <c r="BK75" i="1"/>
  <c r="BK74" i="1"/>
  <c r="BK73" i="1"/>
  <c r="BK72" i="1"/>
  <c r="BK71" i="1"/>
  <c r="BK70" i="1"/>
  <c r="BK69" i="1"/>
  <c r="BK68" i="1"/>
  <c r="BK67" i="1"/>
  <c r="BK66" i="1"/>
  <c r="BK65" i="1"/>
  <c r="BK64" i="1"/>
  <c r="BK63" i="1"/>
  <c r="BK62" i="1"/>
  <c r="BK61" i="1"/>
  <c r="BK60" i="1"/>
  <c r="BK59" i="1"/>
  <c r="BK58" i="1"/>
  <c r="BK57" i="1"/>
  <c r="BK56" i="1"/>
  <c r="BK55" i="1"/>
  <c r="BK54" i="1"/>
  <c r="BK53" i="1"/>
  <c r="BK52" i="1"/>
  <c r="BK51" i="1"/>
  <c r="C80" i="49" l="1"/>
  <c r="D80" i="49" s="1"/>
  <c r="E80" i="49" s="1"/>
  <c r="C79" i="49"/>
  <c r="D79" i="49" s="1"/>
  <c r="E79" i="49" s="1"/>
  <c r="C81" i="49"/>
  <c r="K81" i="49" s="1"/>
  <c r="D95" i="49"/>
  <c r="C112" i="49"/>
  <c r="C110" i="49"/>
  <c r="C111" i="49" s="1"/>
  <c r="D77" i="49"/>
  <c r="E77" i="49" s="1"/>
  <c r="D72" i="49"/>
  <c r="C89" i="49"/>
  <c r="D78" i="49"/>
  <c r="E78" i="49" s="1"/>
  <c r="D102" i="49"/>
  <c r="E102" i="49" s="1"/>
  <c r="C113" i="49"/>
  <c r="E118" i="49"/>
  <c r="C135" i="49"/>
  <c r="BQ71" i="1"/>
  <c r="BP76" i="1"/>
  <c r="BQ68" i="1"/>
  <c r="BQ52" i="1"/>
  <c r="BP81" i="1"/>
  <c r="BP73" i="1"/>
  <c r="BP79" i="1"/>
  <c r="BQ65" i="1"/>
  <c r="BQ57" i="1"/>
  <c r="BP70" i="1"/>
  <c r="BQ70" i="1"/>
  <c r="BP78" i="1"/>
  <c r="BQ78" i="1"/>
  <c r="BQ82" i="1"/>
  <c r="BP82" i="1"/>
  <c r="BQ75" i="1"/>
  <c r="BP75" i="1"/>
  <c r="BQ74" i="1"/>
  <c r="BP74" i="1"/>
  <c r="BQ80" i="1"/>
  <c r="BP80" i="1"/>
  <c r="BP54" i="1"/>
  <c r="BQ54" i="1"/>
  <c r="BQ67" i="1"/>
  <c r="BP67" i="1"/>
  <c r="BQ66" i="1"/>
  <c r="BP66" i="1"/>
  <c r="BQ83" i="1"/>
  <c r="BP83" i="1"/>
  <c r="BQ72" i="1"/>
  <c r="BP72" i="1"/>
  <c r="BQ59" i="1"/>
  <c r="BP59" i="1"/>
  <c r="BQ58" i="1"/>
  <c r="BP58" i="1"/>
  <c r="BQ64" i="1"/>
  <c r="BP64" i="1"/>
  <c r="BP77" i="1"/>
  <c r="BQ77" i="1"/>
  <c r="BQ51" i="1"/>
  <c r="BP51" i="1"/>
  <c r="BP69" i="1"/>
  <c r="BQ69" i="1"/>
  <c r="CL53" i="1"/>
  <c r="CL60" i="1"/>
  <c r="CL55" i="1"/>
  <c r="CL56" i="1"/>
  <c r="CL61" i="1"/>
  <c r="CL62" i="1"/>
  <c r="CL63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D81" i="49" l="1"/>
  <c r="E81" i="49" s="1"/>
  <c r="C90" i="49"/>
  <c r="E72" i="49"/>
  <c r="D110" i="49"/>
  <c r="D111" i="49" s="1"/>
  <c r="E95" i="49"/>
  <c r="E110" i="49" s="1"/>
  <c r="E111" i="49" s="1"/>
  <c r="N124" i="14"/>
  <c r="M124" i="14"/>
  <c r="L124" i="14"/>
  <c r="K124" i="14"/>
  <c r="J124" i="14"/>
  <c r="I124" i="14"/>
  <c r="H124" i="14"/>
  <c r="F124" i="14"/>
  <c r="E124" i="14"/>
  <c r="D124" i="14"/>
  <c r="C124" i="14"/>
  <c r="C123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F118" i="14"/>
  <c r="E118" i="14"/>
  <c r="E13" i="14" s="1"/>
  <c r="D118" i="14"/>
  <c r="D13" i="14" s="1"/>
  <c r="N117" i="14"/>
  <c r="M117" i="14"/>
  <c r="L117" i="14"/>
  <c r="K117" i="14"/>
  <c r="J117" i="14"/>
  <c r="I117" i="14"/>
  <c r="F117" i="14"/>
  <c r="E117" i="14"/>
  <c r="D117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N115" i="14"/>
  <c r="M115" i="14"/>
  <c r="L115" i="14"/>
  <c r="K115" i="14"/>
  <c r="J115" i="14"/>
  <c r="I115" i="14"/>
  <c r="H115" i="14"/>
  <c r="F115" i="14"/>
  <c r="E115" i="14"/>
  <c r="D115" i="14"/>
  <c r="N114" i="14"/>
  <c r="M114" i="14"/>
  <c r="L114" i="14"/>
  <c r="K114" i="14"/>
  <c r="J114" i="14"/>
  <c r="I114" i="14"/>
  <c r="H114" i="14"/>
  <c r="G114" i="14"/>
  <c r="F114" i="14"/>
  <c r="E114" i="14"/>
  <c r="N113" i="14"/>
  <c r="M113" i="14"/>
  <c r="L113" i="14"/>
  <c r="K113" i="14"/>
  <c r="J113" i="14"/>
  <c r="I113" i="14"/>
  <c r="H113" i="14"/>
  <c r="G113" i="14"/>
  <c r="N112" i="14"/>
  <c r="J112" i="14"/>
  <c r="I112" i="14"/>
  <c r="M111" i="14"/>
  <c r="K111" i="14"/>
  <c r="F111" i="14"/>
  <c r="M110" i="14"/>
  <c r="K110" i="14"/>
  <c r="I110" i="14"/>
  <c r="G110" i="14"/>
  <c r="E110" i="14"/>
  <c r="C110" i="14"/>
  <c r="N109" i="14"/>
  <c r="J109" i="14"/>
  <c r="G109" i="14"/>
  <c r="C108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F28" i="14"/>
  <c r="F26" i="14"/>
  <c r="F13" i="14" s="1"/>
  <c r="N3" i="14"/>
  <c r="M3" i="14"/>
  <c r="L3" i="14"/>
  <c r="K3" i="14"/>
  <c r="J3" i="14"/>
  <c r="I3" i="14"/>
  <c r="H3" i="14"/>
  <c r="G3" i="14"/>
  <c r="F3" i="14"/>
  <c r="E3" i="14"/>
  <c r="D3" i="14"/>
  <c r="C3" i="14"/>
  <c r="F36" i="14" l="1"/>
  <c r="F104" i="14" s="1"/>
  <c r="D125" i="14"/>
  <c r="M125" i="14"/>
  <c r="L125" i="14"/>
  <c r="F125" i="14"/>
  <c r="N125" i="14"/>
  <c r="H125" i="14"/>
  <c r="G125" i="14"/>
  <c r="E125" i="14"/>
  <c r="I125" i="14"/>
  <c r="J125" i="14"/>
  <c r="C125" i="14"/>
  <c r="K125" i="14"/>
  <c r="C127" i="14" l="1"/>
  <c r="O125" i="14"/>
  <c r="B13" i="14"/>
  <c r="BA50" i="1" l="1"/>
  <c r="BA49" i="1"/>
  <c r="BA48" i="1"/>
  <c r="BA47" i="1"/>
  <c r="BA46" i="1"/>
  <c r="BA45" i="1"/>
  <c r="BA44" i="1"/>
  <c r="BA43" i="1"/>
  <c r="BA42" i="1"/>
  <c r="BA41" i="1"/>
  <c r="BA40" i="1"/>
  <c r="BA39" i="1"/>
  <c r="BA38" i="1"/>
  <c r="AT50" i="1"/>
  <c r="AT49" i="1"/>
  <c r="AT48" i="1"/>
  <c r="AT47" i="1"/>
  <c r="AT46" i="1"/>
  <c r="AT45" i="1"/>
  <c r="AT44" i="1"/>
  <c r="AT43" i="1"/>
  <c r="AT42" i="1"/>
  <c r="AT41" i="1"/>
  <c r="AT40" i="1"/>
  <c r="AT39" i="1"/>
  <c r="AT38" i="1"/>
  <c r="AQ50" i="1"/>
  <c r="AQ49" i="1"/>
  <c r="AQ48" i="1"/>
  <c r="AQ47" i="1"/>
  <c r="AQ46" i="1"/>
  <c r="AQ45" i="1"/>
  <c r="AQ44" i="1"/>
  <c r="AQ43" i="1"/>
  <c r="AQ42" i="1"/>
  <c r="AQ41" i="1"/>
  <c r="AQ40" i="1"/>
  <c r="AQ39" i="1"/>
  <c r="AQ38" i="1"/>
  <c r="C52" i="49" s="1"/>
  <c r="D52" i="49" s="1"/>
  <c r="E52" i="49" s="1"/>
  <c r="AP50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J31" i="11"/>
  <c r="C51" i="49" l="1"/>
  <c r="D51" i="49" s="1"/>
  <c r="E51" i="49" s="1"/>
  <c r="C3" i="11"/>
  <c r="D3" i="11"/>
  <c r="CM51" i="1"/>
  <c r="CM52" i="1"/>
  <c r="CM54" i="1"/>
  <c r="CM57" i="1"/>
  <c r="CM58" i="1"/>
  <c r="CM59" i="1"/>
  <c r="CM64" i="1"/>
  <c r="CM65" i="1"/>
  <c r="CM66" i="1"/>
  <c r="CM67" i="1"/>
  <c r="CM68" i="1"/>
  <c r="CM69" i="1"/>
  <c r="CM70" i="1"/>
  <c r="CM71" i="1"/>
  <c r="CM72" i="1"/>
  <c r="CM73" i="1"/>
  <c r="CM74" i="1"/>
  <c r="CM75" i="1"/>
  <c r="CM76" i="1"/>
  <c r="CM77" i="1"/>
  <c r="CM78" i="1"/>
  <c r="CM79" i="1"/>
  <c r="CM80" i="1"/>
  <c r="CM81" i="1"/>
  <c r="CM82" i="1"/>
  <c r="CM83" i="1"/>
  <c r="CK51" i="1"/>
  <c r="CK52" i="1"/>
  <c r="CK54" i="1"/>
  <c r="CK57" i="1"/>
  <c r="CK58" i="1"/>
  <c r="CK59" i="1"/>
  <c r="CK64" i="1"/>
  <c r="CK65" i="1"/>
  <c r="CK66" i="1"/>
  <c r="CK67" i="1"/>
  <c r="CK68" i="1"/>
  <c r="CK69" i="1"/>
  <c r="CK70" i="1"/>
  <c r="CK71" i="1"/>
  <c r="CK72" i="1"/>
  <c r="CK73" i="1"/>
  <c r="CK74" i="1"/>
  <c r="CK75" i="1"/>
  <c r="CK76" i="1"/>
  <c r="CK77" i="1"/>
  <c r="CK78" i="1"/>
  <c r="CK79" i="1"/>
  <c r="CK80" i="1"/>
  <c r="CK81" i="1"/>
  <c r="CK82" i="1"/>
  <c r="CK83" i="1"/>
  <c r="CJ51" i="1"/>
  <c r="CJ52" i="1"/>
  <c r="CJ53" i="1"/>
  <c r="CJ54" i="1"/>
  <c r="CJ55" i="1"/>
  <c r="CJ56" i="1"/>
  <c r="CJ57" i="1"/>
  <c r="CJ58" i="1"/>
  <c r="CJ59" i="1"/>
  <c r="CJ60" i="1"/>
  <c r="CJ61" i="1"/>
  <c r="CJ62" i="1"/>
  <c r="CJ63" i="1"/>
  <c r="CJ64" i="1"/>
  <c r="CJ65" i="1"/>
  <c r="CJ66" i="1"/>
  <c r="CJ67" i="1"/>
  <c r="CJ68" i="1"/>
  <c r="CJ69" i="1"/>
  <c r="CJ70" i="1"/>
  <c r="CJ71" i="1"/>
  <c r="CJ72" i="1"/>
  <c r="CJ73" i="1"/>
  <c r="CJ74" i="1"/>
  <c r="CJ75" i="1"/>
  <c r="CJ76" i="1"/>
  <c r="CJ77" i="1"/>
  <c r="CJ78" i="1"/>
  <c r="CJ79" i="1"/>
  <c r="CJ80" i="1"/>
  <c r="CJ81" i="1"/>
  <c r="CJ82" i="1"/>
  <c r="CJ83" i="1"/>
  <c r="CI51" i="1"/>
  <c r="CI52" i="1"/>
  <c r="CI53" i="1"/>
  <c r="CI54" i="1"/>
  <c r="CI55" i="1"/>
  <c r="CI56" i="1"/>
  <c r="CI57" i="1"/>
  <c r="CI58" i="1"/>
  <c r="CI59" i="1"/>
  <c r="CI60" i="1"/>
  <c r="CI61" i="1"/>
  <c r="CI62" i="1"/>
  <c r="CI63" i="1"/>
  <c r="CI64" i="1"/>
  <c r="CI65" i="1"/>
  <c r="CI66" i="1"/>
  <c r="CI67" i="1"/>
  <c r="CI68" i="1"/>
  <c r="CI69" i="1"/>
  <c r="CI70" i="1"/>
  <c r="CI71" i="1"/>
  <c r="CI72" i="1"/>
  <c r="CI73" i="1"/>
  <c r="CI74" i="1"/>
  <c r="CI75" i="1"/>
  <c r="CI76" i="1"/>
  <c r="CI77" i="1"/>
  <c r="CI78" i="1"/>
  <c r="CI79" i="1"/>
  <c r="CI80" i="1"/>
  <c r="CI81" i="1"/>
  <c r="CI82" i="1"/>
  <c r="CI83" i="1"/>
  <c r="CI84" i="1"/>
  <c r="CI85" i="1"/>
  <c r="CI86" i="1"/>
  <c r="CI87" i="1"/>
  <c r="CI88" i="1"/>
  <c r="CI89" i="1"/>
  <c r="CI90" i="1"/>
  <c r="CI91" i="1"/>
  <c r="CI92" i="1"/>
  <c r="CI93" i="1"/>
  <c r="CI94" i="1"/>
  <c r="CI95" i="1"/>
  <c r="CI96" i="1"/>
  <c r="CI97" i="1"/>
  <c r="CI98" i="1"/>
  <c r="CI99" i="1"/>
  <c r="CI100" i="1"/>
  <c r="CI101" i="1"/>
  <c r="CI102" i="1"/>
  <c r="CI103" i="1"/>
  <c r="CI104" i="1"/>
  <c r="CI105" i="1"/>
  <c r="CI106" i="1"/>
  <c r="CI107" i="1"/>
  <c r="CI108" i="1"/>
  <c r="CI109" i="1"/>
  <c r="C63" i="49" l="1"/>
  <c r="D63" i="49" s="1"/>
  <c r="E63" i="49" s="1"/>
  <c r="C62" i="49"/>
  <c r="D62" i="49" s="1"/>
  <c r="E62" i="49" s="1"/>
  <c r="CK50" i="1"/>
  <c r="CK49" i="1"/>
  <c r="CK48" i="1"/>
  <c r="CK47" i="1"/>
  <c r="CK46" i="1"/>
  <c r="CK45" i="1"/>
  <c r="CK44" i="1"/>
  <c r="CK43" i="1"/>
  <c r="CK42" i="1"/>
  <c r="CK41" i="1"/>
  <c r="CK40" i="1"/>
  <c r="CK39" i="1"/>
  <c r="CK38" i="1" l="1"/>
  <c r="C59" i="49"/>
  <c r="CM41" i="1"/>
  <c r="CM49" i="1"/>
  <c r="CM45" i="1"/>
  <c r="CM46" i="1"/>
  <c r="CM38" i="1"/>
  <c r="CM39" i="1"/>
  <c r="CM47" i="1"/>
  <c r="CM40" i="1"/>
  <c r="CM48" i="1"/>
  <c r="CM42" i="1"/>
  <c r="CM43" i="1"/>
  <c r="CM50" i="1"/>
  <c r="CM44" i="1"/>
  <c r="BU50" i="1"/>
  <c r="BU49" i="1"/>
  <c r="BU48" i="1"/>
  <c r="BU47" i="1"/>
  <c r="BU46" i="1"/>
  <c r="BU45" i="1"/>
  <c r="BU44" i="1"/>
  <c r="BU43" i="1"/>
  <c r="BU42" i="1"/>
  <c r="BU41" i="1"/>
  <c r="BU40" i="1"/>
  <c r="BU39" i="1"/>
  <c r="BU38" i="1"/>
  <c r="BT50" i="1"/>
  <c r="BT49" i="1"/>
  <c r="BT48" i="1"/>
  <c r="BT47" i="1"/>
  <c r="BT46" i="1"/>
  <c r="BT45" i="1"/>
  <c r="BT44" i="1"/>
  <c r="BT43" i="1"/>
  <c r="BT42" i="1"/>
  <c r="BT41" i="1"/>
  <c r="BT40" i="1"/>
  <c r="BT39" i="1"/>
  <c r="BT38" i="1"/>
  <c r="BS50" i="1"/>
  <c r="BS49" i="1"/>
  <c r="BS48" i="1"/>
  <c r="BS47" i="1"/>
  <c r="BS46" i="1"/>
  <c r="BS45" i="1"/>
  <c r="BS44" i="1"/>
  <c r="BS43" i="1"/>
  <c r="BS42" i="1"/>
  <c r="BS41" i="1"/>
  <c r="BS40" i="1"/>
  <c r="BS39" i="1"/>
  <c r="BS38" i="1"/>
  <c r="C56" i="49" s="1"/>
  <c r="BR50" i="1"/>
  <c r="BR49" i="1"/>
  <c r="BR48" i="1"/>
  <c r="BR47" i="1"/>
  <c r="BR46" i="1"/>
  <c r="BR45" i="1"/>
  <c r="BR44" i="1"/>
  <c r="BR43" i="1"/>
  <c r="BR42" i="1"/>
  <c r="BR41" i="1"/>
  <c r="BR40" i="1"/>
  <c r="BR39" i="1"/>
  <c r="BR38" i="1"/>
  <c r="K9" i="39" l="1"/>
  <c r="C57" i="49"/>
  <c r="D57" i="49" s="1"/>
  <c r="E57" i="49" s="1"/>
  <c r="D56" i="49"/>
  <c r="E56" i="49" s="1"/>
  <c r="D59" i="49"/>
  <c r="E59" i="49" s="1"/>
  <c r="C68" i="49"/>
  <c r="K11" i="11"/>
  <c r="M11" i="11"/>
  <c r="L11" i="11"/>
  <c r="CL39" i="1"/>
  <c r="CL47" i="1"/>
  <c r="CL41" i="1"/>
  <c r="CL49" i="1"/>
  <c r="CL48" i="1"/>
  <c r="CL40" i="1"/>
  <c r="CL50" i="1"/>
  <c r="CL42" i="1"/>
  <c r="CL43" i="1"/>
  <c r="CL45" i="1"/>
  <c r="CL44" i="1"/>
  <c r="CL38" i="1"/>
  <c r="CL46" i="1"/>
  <c r="B5" i="11"/>
  <c r="E5" i="11" s="1"/>
  <c r="CJ46" i="1"/>
  <c r="CJ38" i="1"/>
  <c r="CJ39" i="1"/>
  <c r="CJ47" i="1"/>
  <c r="CJ40" i="1"/>
  <c r="CJ48" i="1"/>
  <c r="CJ41" i="1"/>
  <c r="CJ49" i="1"/>
  <c r="CJ43" i="1"/>
  <c r="CJ44" i="1"/>
  <c r="CJ42" i="1"/>
  <c r="CJ50" i="1"/>
  <c r="CJ45" i="1"/>
  <c r="N82" i="11"/>
  <c r="M82" i="11"/>
  <c r="L82" i="11"/>
  <c r="K82" i="11"/>
  <c r="J82" i="11"/>
  <c r="I82" i="11"/>
  <c r="H82" i="11"/>
  <c r="G82" i="11"/>
  <c r="F82" i="11"/>
  <c r="E82" i="11"/>
  <c r="D82" i="11"/>
  <c r="C82" i="11"/>
  <c r="BM50" i="1"/>
  <c r="BM49" i="1"/>
  <c r="BM48" i="1"/>
  <c r="BM47" i="1"/>
  <c r="BM46" i="1"/>
  <c r="BM45" i="1"/>
  <c r="BM44" i="1"/>
  <c r="BM43" i="1"/>
  <c r="BM42" i="1"/>
  <c r="BM41" i="1"/>
  <c r="BM40" i="1"/>
  <c r="BM39" i="1"/>
  <c r="BM38" i="1"/>
  <c r="BL50" i="1"/>
  <c r="BL49" i="1"/>
  <c r="BL48" i="1"/>
  <c r="BL47" i="1"/>
  <c r="BL46" i="1"/>
  <c r="BL45" i="1"/>
  <c r="BL44" i="1"/>
  <c r="BL43" i="1"/>
  <c r="BL42" i="1"/>
  <c r="BL41" i="1"/>
  <c r="BL40" i="1"/>
  <c r="BL39" i="1"/>
  <c r="BL38" i="1"/>
  <c r="BK50" i="1"/>
  <c r="BK49" i="1"/>
  <c r="BK48" i="1"/>
  <c r="BK47" i="1"/>
  <c r="BK46" i="1"/>
  <c r="BK45" i="1"/>
  <c r="BK44" i="1"/>
  <c r="BK43" i="1"/>
  <c r="BK42" i="1"/>
  <c r="BK41" i="1"/>
  <c r="BK40" i="1"/>
  <c r="BK39" i="1"/>
  <c r="BK38" i="1"/>
  <c r="BJ50" i="1"/>
  <c r="BJ49" i="1"/>
  <c r="BJ48" i="1"/>
  <c r="BJ47" i="1"/>
  <c r="BJ46" i="1"/>
  <c r="BJ45" i="1"/>
  <c r="BJ44" i="1"/>
  <c r="BJ43" i="1"/>
  <c r="BJ42" i="1"/>
  <c r="BJ41" i="1"/>
  <c r="BJ40" i="1"/>
  <c r="BJ39" i="1"/>
  <c r="BJ38" i="1"/>
  <c r="BI50" i="1"/>
  <c r="BI49" i="1"/>
  <c r="BI48" i="1"/>
  <c r="BI47" i="1"/>
  <c r="BI46" i="1"/>
  <c r="BI45" i="1"/>
  <c r="BI44" i="1"/>
  <c r="BI43" i="1"/>
  <c r="BI42" i="1"/>
  <c r="BI41" i="1"/>
  <c r="BI40" i="1"/>
  <c r="BI39" i="1"/>
  <c r="BI38" i="1"/>
  <c r="BH50" i="1"/>
  <c r="BH49" i="1"/>
  <c r="BH48" i="1"/>
  <c r="BH47" i="1"/>
  <c r="BH46" i="1"/>
  <c r="BH45" i="1"/>
  <c r="BH44" i="1"/>
  <c r="BH43" i="1"/>
  <c r="BH42" i="1"/>
  <c r="BH41" i="1"/>
  <c r="BH40" i="1"/>
  <c r="BH39" i="1"/>
  <c r="BH38" i="1"/>
  <c r="BG50" i="1"/>
  <c r="BG49" i="1"/>
  <c r="BG48" i="1"/>
  <c r="BG47" i="1"/>
  <c r="BG46" i="1"/>
  <c r="BG45" i="1"/>
  <c r="BG44" i="1"/>
  <c r="BG43" i="1"/>
  <c r="BG42" i="1"/>
  <c r="BG41" i="1"/>
  <c r="BG40" i="1"/>
  <c r="BG39" i="1"/>
  <c r="BG38" i="1"/>
  <c r="BF50" i="1"/>
  <c r="BF49" i="1"/>
  <c r="BF48" i="1"/>
  <c r="BF47" i="1"/>
  <c r="BF46" i="1"/>
  <c r="BF45" i="1"/>
  <c r="BF44" i="1"/>
  <c r="BF43" i="1"/>
  <c r="BF42" i="1"/>
  <c r="BF41" i="1"/>
  <c r="BF40" i="1"/>
  <c r="BF39" i="1"/>
  <c r="BF38" i="1"/>
  <c r="BD50" i="1"/>
  <c r="BD49" i="1"/>
  <c r="BD48" i="1"/>
  <c r="BD47" i="1"/>
  <c r="BD46" i="1"/>
  <c r="BD45" i="1"/>
  <c r="BD44" i="1"/>
  <c r="BD43" i="1"/>
  <c r="BD42" i="1"/>
  <c r="BD41" i="1"/>
  <c r="BD40" i="1"/>
  <c r="BD39" i="1"/>
  <c r="BD38" i="1"/>
  <c r="BC50" i="1"/>
  <c r="BC49" i="1"/>
  <c r="BC48" i="1"/>
  <c r="BC47" i="1"/>
  <c r="BC46" i="1"/>
  <c r="BC45" i="1"/>
  <c r="BC44" i="1"/>
  <c r="BC43" i="1"/>
  <c r="BC42" i="1"/>
  <c r="BC41" i="1"/>
  <c r="BC40" i="1"/>
  <c r="BC39" i="1"/>
  <c r="BC38" i="1"/>
  <c r="AZ50" i="1"/>
  <c r="AZ49" i="1"/>
  <c r="AZ48" i="1"/>
  <c r="AZ47" i="1"/>
  <c r="AZ46" i="1"/>
  <c r="AZ45" i="1"/>
  <c r="AZ44" i="1"/>
  <c r="AZ43" i="1"/>
  <c r="AZ42" i="1"/>
  <c r="AZ41" i="1"/>
  <c r="AZ40" i="1"/>
  <c r="AZ39" i="1"/>
  <c r="AZ38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X50" i="1"/>
  <c r="AX49" i="1"/>
  <c r="AX48" i="1"/>
  <c r="AX47" i="1"/>
  <c r="AX46" i="1"/>
  <c r="AX45" i="1"/>
  <c r="AX44" i="1"/>
  <c r="AX43" i="1"/>
  <c r="AX42" i="1"/>
  <c r="AX41" i="1"/>
  <c r="AX40" i="1"/>
  <c r="AX39" i="1"/>
  <c r="AX38" i="1"/>
  <c r="AW50" i="1"/>
  <c r="AW49" i="1"/>
  <c r="AW48" i="1"/>
  <c r="AW47" i="1"/>
  <c r="AW46" i="1"/>
  <c r="AW45" i="1"/>
  <c r="AW44" i="1"/>
  <c r="AW43" i="1"/>
  <c r="AW42" i="1"/>
  <c r="AW41" i="1"/>
  <c r="AW40" i="1"/>
  <c r="AW39" i="1"/>
  <c r="AW38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S50" i="1"/>
  <c r="AS49" i="1"/>
  <c r="AS48" i="1"/>
  <c r="AS47" i="1"/>
  <c r="AS46" i="1"/>
  <c r="AS45" i="1"/>
  <c r="AS44" i="1"/>
  <c r="AS43" i="1"/>
  <c r="AS42" i="1"/>
  <c r="AS41" i="1"/>
  <c r="AS40" i="1"/>
  <c r="AS39" i="1"/>
  <c r="AS38" i="1"/>
  <c r="AR50" i="1"/>
  <c r="AR49" i="1"/>
  <c r="AR48" i="1"/>
  <c r="AR47" i="1"/>
  <c r="AR46" i="1"/>
  <c r="AR45" i="1"/>
  <c r="AR44" i="1"/>
  <c r="AR43" i="1"/>
  <c r="AR42" i="1"/>
  <c r="AR41" i="1"/>
  <c r="AR40" i="1"/>
  <c r="AR39" i="1"/>
  <c r="AR38" i="1"/>
  <c r="AO50" i="1"/>
  <c r="AO49" i="1"/>
  <c r="AO48" i="1"/>
  <c r="AO47" i="1"/>
  <c r="AO46" i="1"/>
  <c r="AO45" i="1"/>
  <c r="AO44" i="1"/>
  <c r="AO43" i="1"/>
  <c r="AO42" i="1"/>
  <c r="AO41" i="1"/>
  <c r="AO40" i="1"/>
  <c r="AO39" i="1"/>
  <c r="AO38" i="1"/>
  <c r="AN50" i="1"/>
  <c r="AN49" i="1"/>
  <c r="AN48" i="1"/>
  <c r="AN47" i="1"/>
  <c r="AN46" i="1"/>
  <c r="AN45" i="1"/>
  <c r="AN44" i="1"/>
  <c r="AN43" i="1"/>
  <c r="AN42" i="1"/>
  <c r="AN41" i="1"/>
  <c r="AN40" i="1"/>
  <c r="AN39" i="1"/>
  <c r="AN38" i="1"/>
  <c r="C110" i="1"/>
  <c r="C67" i="49" l="1"/>
  <c r="C54" i="49"/>
  <c r="D54" i="49" s="1"/>
  <c r="E54" i="49" s="1"/>
  <c r="C55" i="49"/>
  <c r="D55" i="49" s="1"/>
  <c r="E55" i="49" s="1"/>
  <c r="C49" i="49"/>
  <c r="C53" i="49"/>
  <c r="D53" i="49" s="1"/>
  <c r="E53" i="49" s="1"/>
  <c r="C50" i="49"/>
  <c r="D50" i="49" s="1"/>
  <c r="E50" i="49" s="1"/>
  <c r="BN38" i="1"/>
  <c r="BQ38" i="1" s="1"/>
  <c r="BN46" i="1"/>
  <c r="BQ46" i="1" s="1"/>
  <c r="BN44" i="1"/>
  <c r="BN45" i="1"/>
  <c r="BN47" i="1"/>
  <c r="BN48" i="1"/>
  <c r="BP48" i="1" s="1"/>
  <c r="BN39" i="1"/>
  <c r="BN41" i="1"/>
  <c r="BN49" i="1"/>
  <c r="BN40" i="1"/>
  <c r="BQ40" i="1" s="1"/>
  <c r="BN42" i="1"/>
  <c r="BN50" i="1"/>
  <c r="BN43" i="1"/>
  <c r="BQ43" i="1" s="1"/>
  <c r="D5" i="11"/>
  <c r="K5" i="11"/>
  <c r="H5" i="11"/>
  <c r="J5" i="11"/>
  <c r="L5" i="11"/>
  <c r="M5" i="11"/>
  <c r="I5" i="11"/>
  <c r="F5" i="11"/>
  <c r="N5" i="11"/>
  <c r="C5" i="11"/>
  <c r="G5" i="11"/>
  <c r="B4" i="11"/>
  <c r="CI45" i="1"/>
  <c r="CI38" i="1"/>
  <c r="CI39" i="1"/>
  <c r="CI47" i="1"/>
  <c r="CI46" i="1"/>
  <c r="CI40" i="1"/>
  <c r="CI48" i="1"/>
  <c r="CI41" i="1"/>
  <c r="CI50" i="1"/>
  <c r="CI43" i="1"/>
  <c r="CI49" i="1"/>
  <c r="CI42" i="1"/>
  <c r="CI44" i="1"/>
  <c r="BI9" i="1"/>
  <c r="BI8" i="1"/>
  <c r="BI7" i="1"/>
  <c r="BI6" i="1"/>
  <c r="BI5" i="1"/>
  <c r="BI4" i="1"/>
  <c r="BI3" i="1"/>
  <c r="BD9" i="1"/>
  <c r="BD8" i="1"/>
  <c r="BD7" i="1"/>
  <c r="BD6" i="1"/>
  <c r="BD5" i="1"/>
  <c r="BD4" i="1"/>
  <c r="BD3" i="1"/>
  <c r="BA9" i="1"/>
  <c r="BA8" i="1"/>
  <c r="BA7" i="1"/>
  <c r="BA6" i="1"/>
  <c r="BA5" i="1"/>
  <c r="BA4" i="1"/>
  <c r="BA3" i="1"/>
  <c r="AT9" i="1"/>
  <c r="AT8" i="1"/>
  <c r="AT7" i="1"/>
  <c r="AT6" i="1"/>
  <c r="AT5" i="1"/>
  <c r="AT4" i="1"/>
  <c r="AT3" i="1"/>
  <c r="AR9" i="1"/>
  <c r="AR8" i="1"/>
  <c r="AR7" i="1"/>
  <c r="AR6" i="1"/>
  <c r="AR5" i="1"/>
  <c r="AR4" i="1"/>
  <c r="AR3" i="1"/>
  <c r="AP9" i="1"/>
  <c r="AP8" i="1"/>
  <c r="AP7" i="1"/>
  <c r="AP6" i="1"/>
  <c r="AP5" i="1"/>
  <c r="AP4" i="1"/>
  <c r="AP3" i="1"/>
  <c r="AN9" i="1"/>
  <c r="AN8" i="1"/>
  <c r="AN7" i="1"/>
  <c r="AN6" i="1"/>
  <c r="AN5" i="1"/>
  <c r="AN4" i="1"/>
  <c r="AN3" i="1"/>
  <c r="AB9" i="1"/>
  <c r="AI9" i="1" s="1"/>
  <c r="AB8" i="1"/>
  <c r="AI8" i="1" s="1"/>
  <c r="AB7" i="1"/>
  <c r="AI7" i="1" s="1"/>
  <c r="AB6" i="1"/>
  <c r="AI6" i="1" s="1"/>
  <c r="AB5" i="1"/>
  <c r="AI5" i="1" s="1"/>
  <c r="AB4" i="1"/>
  <c r="AI4" i="1" s="1"/>
  <c r="AB3" i="1"/>
  <c r="AI3" i="1" s="1"/>
  <c r="BP38" i="1" l="1"/>
  <c r="C3" i="49"/>
  <c r="D3" i="49" s="1"/>
  <c r="C5" i="49"/>
  <c r="D49" i="49"/>
  <c r="C66" i="49"/>
  <c r="C64" i="49"/>
  <c r="C65" i="49" s="1"/>
  <c r="C7" i="49"/>
  <c r="BP46" i="1"/>
  <c r="BQ48" i="1"/>
  <c r="BP40" i="1"/>
  <c r="BP43" i="1"/>
  <c r="BQ50" i="1"/>
  <c r="BP50" i="1"/>
  <c r="BQ42" i="1"/>
  <c r="BP42" i="1"/>
  <c r="BP47" i="1"/>
  <c r="BQ47" i="1"/>
  <c r="BP39" i="1"/>
  <c r="BQ39" i="1"/>
  <c r="BQ49" i="1"/>
  <c r="BP49" i="1"/>
  <c r="BP45" i="1"/>
  <c r="BQ45" i="1"/>
  <c r="BQ41" i="1"/>
  <c r="BP41" i="1"/>
  <c r="BP44" i="1"/>
  <c r="BQ44" i="1"/>
  <c r="P4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C80" i="11"/>
  <c r="N79" i="11"/>
  <c r="M79" i="11"/>
  <c r="L79" i="11"/>
  <c r="K79" i="11"/>
  <c r="J79" i="11"/>
  <c r="I79" i="11"/>
  <c r="H79" i="11"/>
  <c r="F79" i="11"/>
  <c r="E79" i="11"/>
  <c r="D79" i="11"/>
  <c r="C79" i="11"/>
  <c r="C78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G75" i="11"/>
  <c r="N74" i="11"/>
  <c r="M74" i="11"/>
  <c r="M9" i="11" s="1"/>
  <c r="L74" i="11"/>
  <c r="K74" i="11"/>
  <c r="K9" i="11" s="1"/>
  <c r="J74" i="11"/>
  <c r="I74" i="11"/>
  <c r="H74" i="11"/>
  <c r="G74" i="11"/>
  <c r="F74" i="11"/>
  <c r="E74" i="11"/>
  <c r="E9" i="11" s="1"/>
  <c r="D74" i="11"/>
  <c r="D9" i="11" s="1"/>
  <c r="C74" i="11"/>
  <c r="G73" i="11"/>
  <c r="F73" i="11"/>
  <c r="E73" i="11"/>
  <c r="D73" i="11"/>
  <c r="N72" i="11"/>
  <c r="M72" i="11"/>
  <c r="L72" i="11"/>
  <c r="K72" i="11"/>
  <c r="I72" i="11"/>
  <c r="H72" i="11"/>
  <c r="E72" i="11"/>
  <c r="D72" i="11"/>
  <c r="N71" i="11"/>
  <c r="M71" i="11"/>
  <c r="L71" i="11"/>
  <c r="K71" i="11"/>
  <c r="J71" i="11"/>
  <c r="I71" i="11"/>
  <c r="H71" i="11"/>
  <c r="G71" i="11"/>
  <c r="F71" i="11"/>
  <c r="E71" i="11"/>
  <c r="D71" i="11"/>
  <c r="N70" i="11"/>
  <c r="M70" i="11"/>
  <c r="L70" i="11"/>
  <c r="K70" i="11"/>
  <c r="J70" i="11"/>
  <c r="I70" i="11"/>
  <c r="H70" i="11"/>
  <c r="G70" i="11"/>
  <c r="F70" i="11"/>
  <c r="N69" i="11"/>
  <c r="J69" i="11"/>
  <c r="I69" i="11"/>
  <c r="M68" i="11"/>
  <c r="M67" i="11"/>
  <c r="K67" i="11"/>
  <c r="I67" i="11"/>
  <c r="G67" i="11"/>
  <c r="E67" i="11"/>
  <c r="C67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M61" i="11"/>
  <c r="K61" i="11"/>
  <c r="C61" i="11"/>
  <c r="H60" i="11"/>
  <c r="J59" i="11"/>
  <c r="I58" i="11"/>
  <c r="J57" i="11"/>
  <c r="H57" i="11"/>
  <c r="I56" i="11"/>
  <c r="F55" i="11"/>
  <c r="E55" i="11"/>
  <c r="D55" i="11"/>
  <c r="F54" i="11"/>
  <c r="E54" i="11"/>
  <c r="D54" i="11"/>
  <c r="L53" i="11"/>
  <c r="J53" i="11"/>
  <c r="I53" i="11"/>
  <c r="H53" i="11"/>
  <c r="L52" i="11"/>
  <c r="I52" i="11"/>
  <c r="H52" i="11"/>
  <c r="N51" i="11"/>
  <c r="N61" i="11" s="1"/>
  <c r="G51" i="11"/>
  <c r="G61" i="11" s="1"/>
  <c r="F50" i="11"/>
  <c r="F49" i="11"/>
  <c r="F48" i="11"/>
  <c r="M47" i="11"/>
  <c r="K47" i="11"/>
  <c r="C47" i="11"/>
  <c r="H46" i="11"/>
  <c r="J45" i="11"/>
  <c r="I44" i="11"/>
  <c r="J43" i="11"/>
  <c r="H43" i="11"/>
  <c r="I42" i="11"/>
  <c r="F41" i="11"/>
  <c r="E41" i="11"/>
  <c r="D41" i="11"/>
  <c r="F40" i="11"/>
  <c r="E40" i="11"/>
  <c r="D40" i="11"/>
  <c r="L39" i="11"/>
  <c r="J39" i="11"/>
  <c r="I39" i="11"/>
  <c r="H39" i="11"/>
  <c r="L38" i="11"/>
  <c r="I38" i="11"/>
  <c r="H38" i="11"/>
  <c r="N37" i="11"/>
  <c r="N47" i="11" s="1"/>
  <c r="G37" i="11"/>
  <c r="G47" i="11" s="1"/>
  <c r="F36" i="11"/>
  <c r="F35" i="11"/>
  <c r="F34" i="11"/>
  <c r="M33" i="11"/>
  <c r="K33" i="11"/>
  <c r="C33" i="11"/>
  <c r="H32" i="11"/>
  <c r="I30" i="11"/>
  <c r="J29" i="11"/>
  <c r="I28" i="11"/>
  <c r="F27" i="11"/>
  <c r="E27" i="11"/>
  <c r="D27" i="11"/>
  <c r="F26" i="11"/>
  <c r="E26" i="11"/>
  <c r="D26" i="11"/>
  <c r="L25" i="11"/>
  <c r="J25" i="11"/>
  <c r="J9" i="11" s="1"/>
  <c r="I25" i="11"/>
  <c r="H25" i="11"/>
  <c r="H9" i="11" s="1"/>
  <c r="L24" i="11"/>
  <c r="I24" i="11"/>
  <c r="N23" i="11"/>
  <c r="G23" i="11"/>
  <c r="F22" i="11"/>
  <c r="F21" i="11"/>
  <c r="N3" i="11"/>
  <c r="M3" i="11"/>
  <c r="L3" i="11"/>
  <c r="K3" i="11"/>
  <c r="J3" i="11"/>
  <c r="I3" i="11"/>
  <c r="H3" i="11"/>
  <c r="G3" i="11"/>
  <c r="F3" i="11"/>
  <c r="E3" i="11"/>
  <c r="N3" i="10"/>
  <c r="M3" i="10"/>
  <c r="L3" i="10"/>
  <c r="K3" i="10"/>
  <c r="J3" i="10"/>
  <c r="I3" i="10"/>
  <c r="H3" i="10"/>
  <c r="G3" i="10"/>
  <c r="F3" i="10"/>
  <c r="E3" i="10"/>
  <c r="D3" i="10"/>
  <c r="C3" i="10"/>
  <c r="BS113" i="1"/>
  <c r="F9" i="11" l="1"/>
  <c r="G9" i="11"/>
  <c r="L9" i="11"/>
  <c r="N9" i="11"/>
  <c r="C9" i="11"/>
  <c r="I9" i="11"/>
  <c r="BT113" i="1"/>
  <c r="BU113" i="1"/>
  <c r="K72" i="49"/>
  <c r="C11" i="49"/>
  <c r="C10" i="49"/>
  <c r="D7" i="49"/>
  <c r="E7" i="49" s="1"/>
  <c r="K76" i="49"/>
  <c r="D64" i="49"/>
  <c r="D65" i="49" s="1"/>
  <c r="E49" i="49"/>
  <c r="E64" i="49" s="1"/>
  <c r="E65" i="49" s="1"/>
  <c r="E3" i="49"/>
  <c r="D5" i="49"/>
  <c r="E5" i="49" s="1"/>
  <c r="K74" i="49"/>
  <c r="M11" i="10"/>
  <c r="L11" i="10"/>
  <c r="K11" i="10"/>
  <c r="M63" i="11"/>
  <c r="N33" i="11"/>
  <c r="N63" i="11" s="1"/>
  <c r="D61" i="11"/>
  <c r="L47" i="11"/>
  <c r="C83" i="11"/>
  <c r="K83" i="11"/>
  <c r="CL9" i="1"/>
  <c r="CL3" i="1"/>
  <c r="CL4" i="1"/>
  <c r="CL6" i="1"/>
  <c r="CL7" i="1"/>
  <c r="CL5" i="1"/>
  <c r="CL8" i="1"/>
  <c r="CJ4" i="1"/>
  <c r="CJ5" i="1"/>
  <c r="CJ6" i="1"/>
  <c r="CJ8" i="1"/>
  <c r="CJ7" i="1"/>
  <c r="CJ9" i="1"/>
  <c r="CJ3" i="1"/>
  <c r="I83" i="11"/>
  <c r="J47" i="11"/>
  <c r="J83" i="11"/>
  <c r="L83" i="11"/>
  <c r="D33" i="11"/>
  <c r="F83" i="11"/>
  <c r="N83" i="11"/>
  <c r="D83" i="11"/>
  <c r="L33" i="11"/>
  <c r="E83" i="11"/>
  <c r="G83" i="11"/>
  <c r="M83" i="11"/>
  <c r="H83" i="11"/>
  <c r="C63" i="11"/>
  <c r="K63" i="11"/>
  <c r="E33" i="11"/>
  <c r="J33" i="11"/>
  <c r="F61" i="11"/>
  <c r="H47" i="11"/>
  <c r="E47" i="11"/>
  <c r="D47" i="11"/>
  <c r="I61" i="11"/>
  <c r="I47" i="11"/>
  <c r="H33" i="11"/>
  <c r="J61" i="11"/>
  <c r="F47" i="11"/>
  <c r="L61" i="11"/>
  <c r="I33" i="11"/>
  <c r="H61" i="11"/>
  <c r="E61" i="11"/>
  <c r="G33" i="11"/>
  <c r="G63" i="11" s="1"/>
  <c r="F33" i="1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4" i="1"/>
  <c r="BO57" i="1"/>
  <c r="BO58" i="1"/>
  <c r="BO59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80" i="1"/>
  <c r="BO81" i="1"/>
  <c r="BO82" i="1"/>
  <c r="BO83" i="1"/>
  <c r="C95" i="6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T37" i="1"/>
  <c r="AT36" i="1"/>
  <c r="AT35" i="1"/>
  <c r="AT34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J109" i="1"/>
  <c r="AJ108" i="1"/>
  <c r="AJ107" i="1"/>
  <c r="AJ106" i="1"/>
  <c r="AJ105" i="1"/>
  <c r="AJ104" i="1"/>
  <c r="AJ103" i="1"/>
  <c r="AJ102" i="1"/>
  <c r="AJ101" i="1"/>
  <c r="AJ100" i="1"/>
  <c r="AJ99" i="1"/>
  <c r="AJ98" i="1"/>
  <c r="AJ97" i="1"/>
  <c r="AJ96" i="1"/>
  <c r="AJ95" i="1"/>
  <c r="AJ94" i="1"/>
  <c r="AJ93" i="1"/>
  <c r="AJ92" i="1"/>
  <c r="AJ91" i="1"/>
  <c r="AJ90" i="1"/>
  <c r="AJ89" i="1"/>
  <c r="AJ88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AJ3" i="1"/>
  <c r="K98" i="6"/>
  <c r="M98" i="6"/>
  <c r="E101" i="6"/>
  <c r="G101" i="6"/>
  <c r="J104" i="6"/>
  <c r="I104" i="6"/>
  <c r="G98" i="6"/>
  <c r="F98" i="6"/>
  <c r="G99" i="6"/>
  <c r="I99" i="6"/>
  <c r="G96" i="6"/>
  <c r="J96" i="6"/>
  <c r="G104" i="6"/>
  <c r="G94" i="6"/>
  <c r="H94" i="6"/>
  <c r="G80" i="6"/>
  <c r="G66" i="6"/>
  <c r="G38" i="6"/>
  <c r="G24" i="6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BC37" i="1"/>
  <c r="BC36" i="1"/>
  <c r="BC35" i="1"/>
  <c r="BC34" i="1"/>
  <c r="BC33" i="1"/>
  <c r="BC32" i="1"/>
  <c r="BC31" i="1"/>
  <c r="BC30" i="1"/>
  <c r="BC29" i="1"/>
  <c r="BC28" i="1"/>
  <c r="BC27" i="1"/>
  <c r="BC26" i="1"/>
  <c r="BC25" i="1"/>
  <c r="BC24" i="1"/>
  <c r="BC23" i="1"/>
  <c r="BC22" i="1"/>
  <c r="BC21" i="1"/>
  <c r="BC20" i="1"/>
  <c r="BC19" i="1"/>
  <c r="BC18" i="1"/>
  <c r="BC17" i="1"/>
  <c r="BC16" i="1"/>
  <c r="BC15" i="1"/>
  <c r="BC14" i="1"/>
  <c r="BC13" i="1"/>
  <c r="BC12" i="1"/>
  <c r="BC11" i="1"/>
  <c r="BC10" i="1"/>
  <c r="BB11" i="1"/>
  <c r="BB10" i="1"/>
  <c r="BB37" i="1"/>
  <c r="BB3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E37" i="1"/>
  <c r="BE3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CH37" i="1"/>
  <c r="CH36" i="1"/>
  <c r="CH35" i="1"/>
  <c r="CH34" i="1"/>
  <c r="CH33" i="1"/>
  <c r="CH32" i="1"/>
  <c r="CH31" i="1"/>
  <c r="CH30" i="1"/>
  <c r="CH29" i="1"/>
  <c r="CH28" i="1"/>
  <c r="CH27" i="1"/>
  <c r="CH26" i="1"/>
  <c r="CH25" i="1"/>
  <c r="CH24" i="1"/>
  <c r="CH23" i="1"/>
  <c r="CH22" i="1"/>
  <c r="CH21" i="1"/>
  <c r="CH20" i="1"/>
  <c r="CH19" i="1"/>
  <c r="CH18" i="1"/>
  <c r="CH17" i="1"/>
  <c r="CH16" i="1"/>
  <c r="CH15" i="1"/>
  <c r="CH14" i="1"/>
  <c r="CH13" i="1"/>
  <c r="CH12" i="1"/>
  <c r="CH11" i="1"/>
  <c r="CH10" i="1"/>
  <c r="CG37" i="1"/>
  <c r="CG36" i="1"/>
  <c r="CG35" i="1"/>
  <c r="CG34" i="1"/>
  <c r="CG33" i="1"/>
  <c r="CG32" i="1"/>
  <c r="CG31" i="1"/>
  <c r="CG30" i="1"/>
  <c r="CG29" i="1"/>
  <c r="CG28" i="1"/>
  <c r="CG27" i="1"/>
  <c r="CG26" i="1"/>
  <c r="CG25" i="1"/>
  <c r="CG24" i="1"/>
  <c r="CG23" i="1"/>
  <c r="CG22" i="1"/>
  <c r="CG21" i="1"/>
  <c r="CG20" i="1"/>
  <c r="CG19" i="1"/>
  <c r="CG18" i="1"/>
  <c r="CG17" i="1"/>
  <c r="CG16" i="1"/>
  <c r="CG15" i="1"/>
  <c r="CG14" i="1"/>
  <c r="CG13" i="1"/>
  <c r="CG12" i="1"/>
  <c r="CG11" i="1"/>
  <c r="CG10" i="1"/>
  <c r="CF37" i="1"/>
  <c r="CF36" i="1"/>
  <c r="CF35" i="1"/>
  <c r="CF34" i="1"/>
  <c r="CF33" i="1"/>
  <c r="CF32" i="1"/>
  <c r="CF31" i="1"/>
  <c r="CF30" i="1"/>
  <c r="CF29" i="1"/>
  <c r="CF28" i="1"/>
  <c r="CF27" i="1"/>
  <c r="CF26" i="1"/>
  <c r="CF25" i="1"/>
  <c r="CF24" i="1"/>
  <c r="CF23" i="1"/>
  <c r="CF22" i="1"/>
  <c r="CF21" i="1"/>
  <c r="CF20" i="1"/>
  <c r="CF19" i="1"/>
  <c r="CF18" i="1"/>
  <c r="CF17" i="1"/>
  <c r="CF16" i="1"/>
  <c r="CF15" i="1"/>
  <c r="CF14" i="1"/>
  <c r="CF13" i="1"/>
  <c r="CF12" i="1"/>
  <c r="CF11" i="1"/>
  <c r="CF10" i="1"/>
  <c r="CD37" i="1"/>
  <c r="CD36" i="1"/>
  <c r="CD35" i="1"/>
  <c r="CD34" i="1"/>
  <c r="CD33" i="1"/>
  <c r="CD32" i="1"/>
  <c r="CD31" i="1"/>
  <c r="CD30" i="1"/>
  <c r="CD29" i="1"/>
  <c r="CD28" i="1"/>
  <c r="CD27" i="1"/>
  <c r="CD26" i="1"/>
  <c r="CD25" i="1"/>
  <c r="CD24" i="1"/>
  <c r="CD23" i="1"/>
  <c r="CD22" i="1"/>
  <c r="CD21" i="1"/>
  <c r="CD20" i="1"/>
  <c r="CD19" i="1"/>
  <c r="CD18" i="1"/>
  <c r="CD17" i="1"/>
  <c r="CD16" i="1"/>
  <c r="CD15" i="1"/>
  <c r="CD14" i="1"/>
  <c r="CD13" i="1"/>
  <c r="CD12" i="1"/>
  <c r="CD11" i="1"/>
  <c r="CD10" i="1"/>
  <c r="CC37" i="1"/>
  <c r="CC36" i="1"/>
  <c r="CC35" i="1"/>
  <c r="CC34" i="1"/>
  <c r="CC33" i="1"/>
  <c r="CC32" i="1"/>
  <c r="CC31" i="1"/>
  <c r="CC30" i="1"/>
  <c r="CC29" i="1"/>
  <c r="CC28" i="1"/>
  <c r="CC27" i="1"/>
  <c r="CC26" i="1"/>
  <c r="CC25" i="1"/>
  <c r="CC24" i="1"/>
  <c r="CC23" i="1"/>
  <c r="CC22" i="1"/>
  <c r="CC21" i="1"/>
  <c r="CC20" i="1"/>
  <c r="CC19" i="1"/>
  <c r="CC18" i="1"/>
  <c r="CC17" i="1"/>
  <c r="CC16" i="1"/>
  <c r="CC15" i="1"/>
  <c r="CC14" i="1"/>
  <c r="CC13" i="1"/>
  <c r="CC12" i="1"/>
  <c r="CC11" i="1"/>
  <c r="CC10" i="1"/>
  <c r="CB37" i="1"/>
  <c r="CB36" i="1"/>
  <c r="CB35" i="1"/>
  <c r="CB34" i="1"/>
  <c r="CB33" i="1"/>
  <c r="CB32" i="1"/>
  <c r="CB31" i="1"/>
  <c r="CB30" i="1"/>
  <c r="CB29" i="1"/>
  <c r="CB28" i="1"/>
  <c r="CB27" i="1"/>
  <c r="CB26" i="1"/>
  <c r="CB25" i="1"/>
  <c r="CB24" i="1"/>
  <c r="CB23" i="1"/>
  <c r="CB22" i="1"/>
  <c r="CB21" i="1"/>
  <c r="CB20" i="1"/>
  <c r="CB19" i="1"/>
  <c r="CB18" i="1"/>
  <c r="CB17" i="1"/>
  <c r="CB16" i="1"/>
  <c r="CB15" i="1"/>
  <c r="CB14" i="1"/>
  <c r="CB13" i="1"/>
  <c r="CB12" i="1"/>
  <c r="CB11" i="1"/>
  <c r="CB10" i="1"/>
  <c r="CA37" i="1"/>
  <c r="CA36" i="1"/>
  <c r="CA35" i="1"/>
  <c r="CA34" i="1"/>
  <c r="CA33" i="1"/>
  <c r="CA32" i="1"/>
  <c r="CA31" i="1"/>
  <c r="CA30" i="1"/>
  <c r="CA29" i="1"/>
  <c r="CA28" i="1"/>
  <c r="CA27" i="1"/>
  <c r="CA26" i="1"/>
  <c r="CA25" i="1"/>
  <c r="CA24" i="1"/>
  <c r="CA23" i="1"/>
  <c r="CA22" i="1"/>
  <c r="CA21" i="1"/>
  <c r="CA20" i="1"/>
  <c r="CA19" i="1"/>
  <c r="CA18" i="1"/>
  <c r="CA17" i="1"/>
  <c r="CA16" i="1"/>
  <c r="CA15" i="1"/>
  <c r="CA14" i="1"/>
  <c r="CA13" i="1"/>
  <c r="CA12" i="1"/>
  <c r="CA11" i="1"/>
  <c r="CA10" i="1"/>
  <c r="BZ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Y37" i="1"/>
  <c r="BY36" i="1"/>
  <c r="BY35" i="1"/>
  <c r="BY34" i="1"/>
  <c r="BY33" i="1"/>
  <c r="BY32" i="1"/>
  <c r="BY31" i="1"/>
  <c r="BY30" i="1"/>
  <c r="BY29" i="1"/>
  <c r="BY28" i="1"/>
  <c r="BY27" i="1"/>
  <c r="BY26" i="1"/>
  <c r="BY25" i="1"/>
  <c r="BY24" i="1"/>
  <c r="BY23" i="1"/>
  <c r="BY22" i="1"/>
  <c r="BY21" i="1"/>
  <c r="BY20" i="1"/>
  <c r="BY19" i="1"/>
  <c r="BY18" i="1"/>
  <c r="BY17" i="1"/>
  <c r="BY16" i="1"/>
  <c r="BY15" i="1"/>
  <c r="BY14" i="1"/>
  <c r="BY13" i="1"/>
  <c r="BY12" i="1"/>
  <c r="BY11" i="1"/>
  <c r="BY10" i="1"/>
  <c r="BX37" i="1"/>
  <c r="BX36" i="1"/>
  <c r="BX35" i="1"/>
  <c r="BX34" i="1"/>
  <c r="BX33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2" i="1"/>
  <c r="BX11" i="1"/>
  <c r="BX10" i="1"/>
  <c r="BW37" i="1"/>
  <c r="BW36" i="1"/>
  <c r="BW35" i="1"/>
  <c r="BW34" i="1"/>
  <c r="BW33" i="1"/>
  <c r="BW32" i="1"/>
  <c r="BW31" i="1"/>
  <c r="BW30" i="1"/>
  <c r="BW29" i="1"/>
  <c r="BW28" i="1"/>
  <c r="BW27" i="1"/>
  <c r="BW26" i="1"/>
  <c r="BW25" i="1"/>
  <c r="BW24" i="1"/>
  <c r="BW23" i="1"/>
  <c r="BW22" i="1"/>
  <c r="BW21" i="1"/>
  <c r="BW20" i="1"/>
  <c r="BW19" i="1"/>
  <c r="BW18" i="1"/>
  <c r="BW17" i="1"/>
  <c r="BW16" i="1"/>
  <c r="BW15" i="1"/>
  <c r="BW14" i="1"/>
  <c r="BW13" i="1"/>
  <c r="BW12" i="1"/>
  <c r="BW11" i="1"/>
  <c r="BW10" i="1"/>
  <c r="B4" i="10"/>
  <c r="BR114" i="1" l="1"/>
  <c r="C39" i="49"/>
  <c r="D39" i="49" s="1"/>
  <c r="E39" i="49" s="1"/>
  <c r="C16" i="49"/>
  <c r="D16" i="49" s="1"/>
  <c r="E16" i="49" s="1"/>
  <c r="C14" i="49"/>
  <c r="C40" i="49"/>
  <c r="D40" i="49" s="1"/>
  <c r="E40" i="49" s="1"/>
  <c r="C36" i="49"/>
  <c r="C13" i="49"/>
  <c r="C17" i="49"/>
  <c r="D17" i="49" s="1"/>
  <c r="E17" i="49" s="1"/>
  <c r="D10" i="49"/>
  <c r="E10" i="49" s="1"/>
  <c r="C21" i="49"/>
  <c r="K79" i="49"/>
  <c r="C37" i="49"/>
  <c r="D37" i="49" s="1"/>
  <c r="E37" i="49" s="1"/>
  <c r="D11" i="49"/>
  <c r="E11" i="49" s="1"/>
  <c r="K80" i="49"/>
  <c r="M85" i="11"/>
  <c r="K85" i="11"/>
  <c r="D63" i="11"/>
  <c r="D85" i="11" s="1"/>
  <c r="D6" i="11" s="1"/>
  <c r="L63" i="11"/>
  <c r="L85" i="11" s="1"/>
  <c r="CK32" i="1"/>
  <c r="CK8" i="1"/>
  <c r="CK24" i="1"/>
  <c r="CK16" i="1"/>
  <c r="CK9" i="1"/>
  <c r="CK17" i="1"/>
  <c r="CK25" i="1"/>
  <c r="CK33" i="1"/>
  <c r="CM27" i="1"/>
  <c r="CM3" i="1"/>
  <c r="CM11" i="1"/>
  <c r="CM19" i="1"/>
  <c r="CM35" i="1"/>
  <c r="CM4" i="1"/>
  <c r="CM36" i="1"/>
  <c r="CM8" i="1"/>
  <c r="CM16" i="1"/>
  <c r="CM32" i="1"/>
  <c r="CM9" i="1"/>
  <c r="CM17" i="1"/>
  <c r="CM25" i="1"/>
  <c r="CM33" i="1"/>
  <c r="CK6" i="1"/>
  <c r="CK14" i="1"/>
  <c r="CK22" i="1"/>
  <c r="CK30" i="1"/>
  <c r="CM10" i="1"/>
  <c r="CM18" i="1"/>
  <c r="CM26" i="1"/>
  <c r="CM34" i="1"/>
  <c r="CK7" i="1"/>
  <c r="CK15" i="1"/>
  <c r="CK23" i="1"/>
  <c r="CK31" i="1"/>
  <c r="CM20" i="1"/>
  <c r="CM5" i="1"/>
  <c r="CM21" i="1"/>
  <c r="CM13" i="1"/>
  <c r="CM37" i="1"/>
  <c r="CM14" i="1"/>
  <c r="CM30" i="1"/>
  <c r="CM12" i="1"/>
  <c r="CM29" i="1"/>
  <c r="CM6" i="1"/>
  <c r="CM22" i="1"/>
  <c r="CM7" i="1"/>
  <c r="CM15" i="1"/>
  <c r="CM23" i="1"/>
  <c r="CM31" i="1"/>
  <c r="CM28" i="1"/>
  <c r="CM24" i="1"/>
  <c r="J63" i="11"/>
  <c r="J85" i="11" s="1"/>
  <c r="J6" i="11" s="1"/>
  <c r="CK10" i="1"/>
  <c r="CK26" i="1"/>
  <c r="CK34" i="1"/>
  <c r="M4" i="11"/>
  <c r="CK18" i="1"/>
  <c r="L4" i="11"/>
  <c r="K4" i="11"/>
  <c r="CK11" i="1"/>
  <c r="CK35" i="1"/>
  <c r="CK4" i="1"/>
  <c r="CK20" i="1"/>
  <c r="CK28" i="1"/>
  <c r="CK5" i="1"/>
  <c r="CK13" i="1"/>
  <c r="CK21" i="1"/>
  <c r="CK29" i="1"/>
  <c r="CK37" i="1"/>
  <c r="CK19" i="1"/>
  <c r="CK3" i="1"/>
  <c r="CK27" i="1"/>
  <c r="CK12" i="1"/>
  <c r="CK36" i="1"/>
  <c r="G85" i="11"/>
  <c r="G6" i="11" s="1"/>
  <c r="H63" i="11"/>
  <c r="H85" i="11" s="1"/>
  <c r="H6" i="11" s="1"/>
  <c r="E63" i="11"/>
  <c r="E85" i="11" s="1"/>
  <c r="E6" i="11" s="1"/>
  <c r="F63" i="11"/>
  <c r="F85" i="11" s="1"/>
  <c r="N85" i="11"/>
  <c r="N6" i="11" s="1"/>
  <c r="I63" i="11"/>
  <c r="I85" i="11" s="1"/>
  <c r="I6" i="11" s="1"/>
  <c r="B11" i="10"/>
  <c r="O83" i="11"/>
  <c r="C85" i="11"/>
  <c r="C6" i="11" s="1"/>
  <c r="B11" i="11"/>
  <c r="B9" i="11"/>
  <c r="M4" i="10"/>
  <c r="CD110" i="1"/>
  <c r="K4" i="10"/>
  <c r="L4" i="10"/>
  <c r="K17" i="39" l="1"/>
  <c r="K13" i="39"/>
  <c r="K5" i="39"/>
  <c r="C10" i="10"/>
  <c r="K10" i="10"/>
  <c r="D10" i="10"/>
  <c r="L10" i="10"/>
  <c r="H10" i="10"/>
  <c r="E10" i="10"/>
  <c r="M10" i="10"/>
  <c r="F10" i="10"/>
  <c r="N10" i="10"/>
  <c r="G10" i="10"/>
  <c r="I10" i="10"/>
  <c r="J10" i="10"/>
  <c r="M6" i="11"/>
  <c r="D14" i="49"/>
  <c r="E14" i="49" s="1"/>
  <c r="K83" i="49"/>
  <c r="D13" i="49"/>
  <c r="E13" i="49" s="1"/>
  <c r="C22" i="49"/>
  <c r="D36" i="49"/>
  <c r="E36" i="49" s="1"/>
  <c r="C45" i="49"/>
  <c r="N10" i="6"/>
  <c r="F10" i="6"/>
  <c r="L10" i="6"/>
  <c r="D10" i="6"/>
  <c r="K10" i="6"/>
  <c r="C10" i="6"/>
  <c r="J10" i="6"/>
  <c r="I10" i="6"/>
  <c r="H10" i="6"/>
  <c r="G10" i="6"/>
  <c r="M10" i="6"/>
  <c r="E10" i="6"/>
  <c r="L6" i="11"/>
  <c r="O4" i="10"/>
  <c r="K6" i="11"/>
  <c r="O4" i="11"/>
  <c r="B5" i="10"/>
  <c r="D5" i="10" s="1"/>
  <c r="B5" i="14"/>
  <c r="O63" i="11"/>
  <c r="B5" i="6"/>
  <c r="H5" i="6" s="1"/>
  <c r="F6" i="11"/>
  <c r="O85" i="11"/>
  <c r="Q4" i="11" s="1"/>
  <c r="Q5" i="11" s="1"/>
  <c r="R4" i="11" l="1"/>
  <c r="N5" i="10"/>
  <c r="M5" i="10"/>
  <c r="J5" i="10"/>
  <c r="H5" i="10"/>
  <c r="F5" i="10"/>
  <c r="L5" i="10"/>
  <c r="I5" i="10"/>
  <c r="C5" i="10"/>
  <c r="G5" i="10"/>
  <c r="K5" i="10"/>
  <c r="E5" i="10"/>
  <c r="L5" i="14"/>
  <c r="D5" i="14"/>
  <c r="K5" i="14"/>
  <c r="C5" i="14"/>
  <c r="C6" i="14" s="1"/>
  <c r="J5" i="14"/>
  <c r="G5" i="14"/>
  <c r="M5" i="14"/>
  <c r="E5" i="14"/>
  <c r="I5" i="14"/>
  <c r="H5" i="14"/>
  <c r="N5" i="14"/>
  <c r="F5" i="14"/>
  <c r="B10" i="6"/>
  <c r="B10" i="10"/>
  <c r="M5" i="6"/>
  <c r="D5" i="6"/>
  <c r="J5" i="6"/>
  <c r="K5" i="6"/>
  <c r="N5" i="6"/>
  <c r="F5" i="6"/>
  <c r="I5" i="6"/>
  <c r="C5" i="6"/>
  <c r="E5" i="6"/>
  <c r="G5" i="6"/>
  <c r="L5" i="6"/>
  <c r="B6" i="11"/>
  <c r="BV36" i="1"/>
  <c r="BV32" i="1"/>
  <c r="BV30" i="1"/>
  <c r="BV24" i="1"/>
  <c r="BV23" i="1"/>
  <c r="BV22" i="1"/>
  <c r="BV20" i="1"/>
  <c r="BV18" i="1"/>
  <c r="BV17" i="1"/>
  <c r="BV13" i="1"/>
  <c r="BU36" i="1"/>
  <c r="BU32" i="1"/>
  <c r="BU30" i="1"/>
  <c r="BU24" i="1"/>
  <c r="BU23" i="1"/>
  <c r="BU22" i="1"/>
  <c r="BU20" i="1"/>
  <c r="BU18" i="1"/>
  <c r="BU17" i="1"/>
  <c r="BU13" i="1"/>
  <c r="BT36" i="1"/>
  <c r="BT32" i="1"/>
  <c r="BT30" i="1"/>
  <c r="BT24" i="1"/>
  <c r="BT23" i="1"/>
  <c r="BT22" i="1"/>
  <c r="BT20" i="1"/>
  <c r="BT18" i="1"/>
  <c r="BT17" i="1"/>
  <c r="BT13" i="1"/>
  <c r="BS36" i="1"/>
  <c r="BS32" i="1"/>
  <c r="BS30" i="1"/>
  <c r="BS24" i="1"/>
  <c r="BS23" i="1"/>
  <c r="BS22" i="1"/>
  <c r="BS20" i="1"/>
  <c r="BS18" i="1"/>
  <c r="BS17" i="1"/>
  <c r="BS13" i="1"/>
  <c r="BR36" i="1"/>
  <c r="BR32" i="1"/>
  <c r="BR30" i="1"/>
  <c r="BR24" i="1"/>
  <c r="BR23" i="1"/>
  <c r="BR22" i="1"/>
  <c r="BR20" i="1"/>
  <c r="BR18" i="1"/>
  <c r="BR17" i="1"/>
  <c r="BR13" i="1"/>
  <c r="BV35" i="1"/>
  <c r="BV34" i="1"/>
  <c r="BV29" i="1"/>
  <c r="BV28" i="1"/>
  <c r="BV26" i="1"/>
  <c r="BV25" i="1"/>
  <c r="BV14" i="1"/>
  <c r="BV12" i="1"/>
  <c r="BV11" i="1"/>
  <c r="BV10" i="1"/>
  <c r="BU35" i="1"/>
  <c r="BU34" i="1"/>
  <c r="BU29" i="1"/>
  <c r="BU28" i="1"/>
  <c r="BU26" i="1"/>
  <c r="BU25" i="1"/>
  <c r="BU14" i="1"/>
  <c r="BU12" i="1"/>
  <c r="BU11" i="1"/>
  <c r="BU10" i="1"/>
  <c r="BT35" i="1"/>
  <c r="BT34" i="1"/>
  <c r="BT29" i="1"/>
  <c r="BT28" i="1"/>
  <c r="BT26" i="1"/>
  <c r="BT25" i="1"/>
  <c r="BT14" i="1"/>
  <c r="BT12" i="1"/>
  <c r="BT11" i="1"/>
  <c r="BT10" i="1"/>
  <c r="BS35" i="1"/>
  <c r="BS34" i="1"/>
  <c r="BS29" i="1"/>
  <c r="BS28" i="1"/>
  <c r="BS26" i="1"/>
  <c r="BS25" i="1"/>
  <c r="BS14" i="1"/>
  <c r="BS12" i="1"/>
  <c r="BS11" i="1"/>
  <c r="BS10" i="1"/>
  <c r="BR35" i="1"/>
  <c r="BR34" i="1"/>
  <c r="BR29" i="1"/>
  <c r="BR28" i="1"/>
  <c r="BR26" i="1"/>
  <c r="BR25" i="1"/>
  <c r="BR14" i="1"/>
  <c r="BR12" i="1"/>
  <c r="BR11" i="1"/>
  <c r="BR10" i="1"/>
  <c r="BS33" i="1"/>
  <c r="BS27" i="1"/>
  <c r="BS31" i="1"/>
  <c r="BS21" i="1"/>
  <c r="BS19" i="1"/>
  <c r="BS16" i="1"/>
  <c r="BS15" i="1"/>
  <c r="BR37" i="1"/>
  <c r="BR33" i="1"/>
  <c r="BR31" i="1"/>
  <c r="BR27" i="1"/>
  <c r="BR21" i="1"/>
  <c r="BR19" i="1"/>
  <c r="BR16" i="1"/>
  <c r="BR15" i="1"/>
  <c r="BV37" i="1"/>
  <c r="BV33" i="1"/>
  <c r="BV31" i="1"/>
  <c r="BV27" i="1"/>
  <c r="BV21" i="1"/>
  <c r="BV19" i="1"/>
  <c r="BV16" i="1"/>
  <c r="BV15" i="1"/>
  <c r="BU37" i="1"/>
  <c r="BU33" i="1"/>
  <c r="BU31" i="1"/>
  <c r="BU27" i="1"/>
  <c r="BU21" i="1"/>
  <c r="BU19" i="1"/>
  <c r="BU16" i="1"/>
  <c r="BU15" i="1"/>
  <c r="BT37" i="1"/>
  <c r="BT33" i="1"/>
  <c r="BT31" i="1"/>
  <c r="BT27" i="1"/>
  <c r="BT21" i="1"/>
  <c r="BT19" i="1"/>
  <c r="BT16" i="1"/>
  <c r="BT15" i="1"/>
  <c r="BS37" i="1"/>
  <c r="CJ37" i="1" s="1"/>
  <c r="BT115" i="1" l="1"/>
  <c r="BU115" i="1"/>
  <c r="BR115" i="1"/>
  <c r="C33" i="49"/>
  <c r="D33" i="49" s="1"/>
  <c r="E33" i="49" s="1"/>
  <c r="BS115" i="1"/>
  <c r="BV115" i="1"/>
  <c r="C34" i="49"/>
  <c r="D34" i="49" s="1"/>
  <c r="E34" i="49" s="1"/>
  <c r="C35" i="49"/>
  <c r="D35" i="49" s="1"/>
  <c r="E35" i="49" s="1"/>
  <c r="CL25" i="1"/>
  <c r="CL18" i="1"/>
  <c r="CL26" i="1"/>
  <c r="CL20" i="1"/>
  <c r="CL27" i="1"/>
  <c r="CL31" i="1"/>
  <c r="CL22" i="1"/>
  <c r="CL33" i="1"/>
  <c r="CL29" i="1"/>
  <c r="CL23" i="1"/>
  <c r="CL37" i="1"/>
  <c r="CL10" i="1"/>
  <c r="CL34" i="1"/>
  <c r="CL24" i="1"/>
  <c r="CL21" i="1"/>
  <c r="CL15" i="1"/>
  <c r="CL11" i="1"/>
  <c r="CL35" i="1"/>
  <c r="CL30" i="1"/>
  <c r="CL28" i="1"/>
  <c r="CL16" i="1"/>
  <c r="CL12" i="1"/>
  <c r="CL13" i="1"/>
  <c r="CL32" i="1"/>
  <c r="CL19" i="1"/>
  <c r="CL14" i="1"/>
  <c r="CL17" i="1"/>
  <c r="CL36" i="1"/>
  <c r="P4" i="10"/>
  <c r="P4" i="6"/>
  <c r="CJ32" i="1"/>
  <c r="CJ12" i="1"/>
  <c r="CJ13" i="1"/>
  <c r="CJ26" i="1"/>
  <c r="CJ20" i="1"/>
  <c r="CJ28" i="1"/>
  <c r="CJ22" i="1"/>
  <c r="CJ29" i="1"/>
  <c r="CJ23" i="1"/>
  <c r="CJ15" i="1"/>
  <c r="CJ16" i="1"/>
  <c r="CJ34" i="1"/>
  <c r="CJ24" i="1"/>
  <c r="CJ10" i="1"/>
  <c r="CJ19" i="1"/>
  <c r="CJ11" i="1"/>
  <c r="CJ35" i="1"/>
  <c r="CJ30" i="1"/>
  <c r="CJ33" i="1"/>
  <c r="CJ21" i="1"/>
  <c r="CJ31" i="1"/>
  <c r="CJ14" i="1"/>
  <c r="CJ17" i="1"/>
  <c r="CJ36" i="1"/>
  <c r="CJ27" i="1"/>
  <c r="CJ25" i="1"/>
  <c r="CJ18" i="1"/>
  <c r="BR116" i="1" l="1"/>
  <c r="BR117" i="1" s="1"/>
  <c r="C44" i="49"/>
  <c r="M11" i="6"/>
  <c r="K11" i="6"/>
  <c r="L11" i="6"/>
  <c r="B4" i="6"/>
  <c r="M4" i="6" s="1"/>
  <c r="B11" i="6" l="1"/>
  <c r="K4" i="6"/>
  <c r="L4" i="6"/>
  <c r="N3" i="6"/>
  <c r="M3" i="6"/>
  <c r="L3" i="6"/>
  <c r="K3" i="6"/>
  <c r="J3" i="6"/>
  <c r="I3" i="6"/>
  <c r="H3" i="6"/>
  <c r="G3" i="6"/>
  <c r="F3" i="6"/>
  <c r="E3" i="6"/>
  <c r="D3" i="6"/>
  <c r="C3" i="6"/>
  <c r="O4" i="6" l="1"/>
  <c r="N81" i="10"/>
  <c r="M81" i="10"/>
  <c r="L81" i="10"/>
  <c r="K81" i="10"/>
  <c r="J81" i="10"/>
  <c r="I81" i="10"/>
  <c r="H81" i="10"/>
  <c r="G81" i="10"/>
  <c r="F81" i="10"/>
  <c r="E81" i="10"/>
  <c r="D81" i="10"/>
  <c r="C81" i="10"/>
  <c r="C80" i="10"/>
  <c r="N79" i="10" l="1"/>
  <c r="M79" i="10"/>
  <c r="L79" i="10"/>
  <c r="K79" i="10"/>
  <c r="J79" i="10"/>
  <c r="I79" i="10"/>
  <c r="H79" i="10"/>
  <c r="F79" i="10"/>
  <c r="E79" i="10"/>
  <c r="D79" i="10"/>
  <c r="C79" i="10"/>
  <c r="C78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G75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G73" i="10"/>
  <c r="F73" i="10"/>
  <c r="E73" i="10"/>
  <c r="D73" i="10"/>
  <c r="N72" i="10"/>
  <c r="M72" i="10"/>
  <c r="L72" i="10"/>
  <c r="K72" i="10"/>
  <c r="I72" i="10"/>
  <c r="H72" i="10"/>
  <c r="F72" i="10"/>
  <c r="E72" i="10"/>
  <c r="D72" i="10"/>
  <c r="N71" i="10"/>
  <c r="M71" i="10"/>
  <c r="L71" i="10"/>
  <c r="K71" i="10"/>
  <c r="J71" i="10"/>
  <c r="I71" i="10"/>
  <c r="H71" i="10"/>
  <c r="G71" i="10"/>
  <c r="F71" i="10"/>
  <c r="E71" i="10"/>
  <c r="D71" i="10"/>
  <c r="N70" i="10"/>
  <c r="M70" i="10"/>
  <c r="L70" i="10"/>
  <c r="K70" i="10"/>
  <c r="J70" i="10"/>
  <c r="I70" i="10"/>
  <c r="H70" i="10"/>
  <c r="G70" i="10"/>
  <c r="F70" i="10"/>
  <c r="N69" i="10"/>
  <c r="J69" i="10"/>
  <c r="I69" i="10"/>
  <c r="M68" i="10"/>
  <c r="F68" i="10"/>
  <c r="M67" i="10"/>
  <c r="K67" i="10"/>
  <c r="I67" i="10"/>
  <c r="G67" i="10"/>
  <c r="E67" i="10"/>
  <c r="C67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M61" i="10"/>
  <c r="K61" i="10"/>
  <c r="C61" i="10"/>
  <c r="H60" i="10"/>
  <c r="J59" i="10"/>
  <c r="I58" i="10"/>
  <c r="J57" i="10"/>
  <c r="H57" i="10"/>
  <c r="I56" i="10"/>
  <c r="F55" i="10"/>
  <c r="E55" i="10"/>
  <c r="D55" i="10"/>
  <c r="F54" i="10"/>
  <c r="E54" i="10"/>
  <c r="D54" i="10"/>
  <c r="L53" i="10"/>
  <c r="J53" i="10"/>
  <c r="I53" i="10"/>
  <c r="H53" i="10"/>
  <c r="L52" i="10"/>
  <c r="I52" i="10"/>
  <c r="H52" i="10"/>
  <c r="N51" i="10"/>
  <c r="N61" i="10" s="1"/>
  <c r="G51" i="10"/>
  <c r="G61" i="10" s="1"/>
  <c r="F50" i="10"/>
  <c r="F49" i="10"/>
  <c r="F48" i="10"/>
  <c r="M47" i="10"/>
  <c r="K47" i="10"/>
  <c r="C47" i="10"/>
  <c r="H46" i="10"/>
  <c r="J45" i="10"/>
  <c r="I44" i="10"/>
  <c r="J43" i="10"/>
  <c r="H43" i="10"/>
  <c r="I42" i="10"/>
  <c r="F41" i="10"/>
  <c r="E41" i="10"/>
  <c r="D41" i="10"/>
  <c r="F40" i="10"/>
  <c r="E40" i="10"/>
  <c r="D40" i="10"/>
  <c r="L39" i="10"/>
  <c r="J39" i="10"/>
  <c r="I39" i="10"/>
  <c r="H39" i="10"/>
  <c r="L38" i="10"/>
  <c r="I38" i="10"/>
  <c r="H38" i="10"/>
  <c r="N37" i="10"/>
  <c r="N47" i="10" s="1"/>
  <c r="G37" i="10"/>
  <c r="G47" i="10" s="1"/>
  <c r="F36" i="10"/>
  <c r="F35" i="10"/>
  <c r="F34" i="10"/>
  <c r="M33" i="10"/>
  <c r="K33" i="10"/>
  <c r="C33" i="10"/>
  <c r="H32" i="10"/>
  <c r="I30" i="10"/>
  <c r="J29" i="10"/>
  <c r="H29" i="10"/>
  <c r="I28" i="10"/>
  <c r="F27" i="10"/>
  <c r="E27" i="10"/>
  <c r="D27" i="10"/>
  <c r="F26" i="10"/>
  <c r="E26" i="10"/>
  <c r="D26" i="10"/>
  <c r="L25" i="10"/>
  <c r="J25" i="10"/>
  <c r="J9" i="10" s="1"/>
  <c r="I25" i="10"/>
  <c r="H25" i="10"/>
  <c r="L24" i="10"/>
  <c r="I24" i="10"/>
  <c r="H24" i="10"/>
  <c r="N23" i="10"/>
  <c r="G23" i="10"/>
  <c r="F22" i="10"/>
  <c r="F21" i="10"/>
  <c r="F20" i="10"/>
  <c r="BM9" i="1"/>
  <c r="BM8" i="1"/>
  <c r="BM7" i="1"/>
  <c r="BM6" i="1"/>
  <c r="BM5" i="1"/>
  <c r="BM4" i="1"/>
  <c r="BM3" i="1"/>
  <c r="BL9" i="1"/>
  <c r="BL8" i="1"/>
  <c r="BL7" i="1"/>
  <c r="BL6" i="1"/>
  <c r="BL5" i="1"/>
  <c r="BL4" i="1"/>
  <c r="BL3" i="1"/>
  <c r="BK9" i="1"/>
  <c r="BK8" i="1"/>
  <c r="BK7" i="1"/>
  <c r="BK6" i="1"/>
  <c r="BK5" i="1"/>
  <c r="BK4" i="1"/>
  <c r="BK3" i="1"/>
  <c r="BJ9" i="1"/>
  <c r="BJ8" i="1"/>
  <c r="BJ7" i="1"/>
  <c r="BJ6" i="1"/>
  <c r="BJ5" i="1"/>
  <c r="BJ4" i="1"/>
  <c r="BJ3" i="1"/>
  <c r="BH9" i="1"/>
  <c r="BH8" i="1"/>
  <c r="BH7" i="1"/>
  <c r="BH6" i="1"/>
  <c r="BH5" i="1"/>
  <c r="BH4" i="1"/>
  <c r="BH3" i="1"/>
  <c r="BG9" i="1"/>
  <c r="BG8" i="1"/>
  <c r="BG7" i="1"/>
  <c r="BG6" i="1"/>
  <c r="BG5" i="1"/>
  <c r="BG4" i="1"/>
  <c r="BG3" i="1"/>
  <c r="G9" i="10" l="1"/>
  <c r="H9" i="10"/>
  <c r="D9" i="10"/>
  <c r="D12" i="10" s="1"/>
  <c r="D13" i="10" s="1"/>
  <c r="M9" i="10"/>
  <c r="M12" i="10" s="1"/>
  <c r="M13" i="10" s="1"/>
  <c r="I9" i="10"/>
  <c r="I12" i="10" s="1"/>
  <c r="E9" i="10"/>
  <c r="E12" i="10" s="1"/>
  <c r="E13" i="10" s="1"/>
  <c r="N9" i="10"/>
  <c r="L9" i="10"/>
  <c r="F9" i="10"/>
  <c r="F12" i="10" s="1"/>
  <c r="F13" i="10" s="1"/>
  <c r="C9" i="10"/>
  <c r="C12" i="10" s="1"/>
  <c r="K9" i="10"/>
  <c r="K12" i="10" s="1"/>
  <c r="K13" i="10" s="1"/>
  <c r="C9" i="49"/>
  <c r="D9" i="49" s="1"/>
  <c r="E9" i="49" s="1"/>
  <c r="J12" i="10"/>
  <c r="J13" i="10" s="1"/>
  <c r="N33" i="10"/>
  <c r="N63" i="10" s="1"/>
  <c r="N12" i="10"/>
  <c r="H12" i="10"/>
  <c r="G33" i="10"/>
  <c r="G63" i="10" s="1"/>
  <c r="G12" i="10"/>
  <c r="L12" i="10"/>
  <c r="C63" i="10"/>
  <c r="M63" i="10"/>
  <c r="K63" i="10"/>
  <c r="E47" i="10"/>
  <c r="I47" i="10"/>
  <c r="I33" i="10"/>
  <c r="D47" i="10"/>
  <c r="J33" i="10"/>
  <c r="D33" i="10"/>
  <c r="G82" i="10"/>
  <c r="L61" i="10"/>
  <c r="I82" i="10"/>
  <c r="L33" i="10"/>
  <c r="F33" i="10"/>
  <c r="H47" i="10"/>
  <c r="F61" i="10"/>
  <c r="F82" i="10"/>
  <c r="N82" i="10"/>
  <c r="H82" i="10"/>
  <c r="M82" i="10"/>
  <c r="E82" i="10"/>
  <c r="E33" i="10"/>
  <c r="D61" i="10"/>
  <c r="J82" i="10"/>
  <c r="H33" i="10"/>
  <c r="F47" i="10"/>
  <c r="J47" i="10"/>
  <c r="H61" i="10"/>
  <c r="E61" i="10"/>
  <c r="C82" i="10"/>
  <c r="K82" i="10"/>
  <c r="L47" i="10"/>
  <c r="I61" i="10"/>
  <c r="J61" i="10"/>
  <c r="D82" i="10"/>
  <c r="L82" i="10"/>
  <c r="C14" i="10" l="1"/>
  <c r="C13" i="10"/>
  <c r="M84" i="10"/>
  <c r="M6" i="10" s="1"/>
  <c r="K78" i="49"/>
  <c r="L13" i="10"/>
  <c r="G13" i="10"/>
  <c r="H13" i="10"/>
  <c r="I13" i="10"/>
  <c r="N13" i="10"/>
  <c r="B12" i="10"/>
  <c r="G84" i="10"/>
  <c r="G6" i="10" s="1"/>
  <c r="B9" i="10"/>
  <c r="K84" i="10"/>
  <c r="K6" i="10" s="1"/>
  <c r="E63" i="10"/>
  <c r="E84" i="10" s="1"/>
  <c r="E6" i="10" s="1"/>
  <c r="D63" i="10"/>
  <c r="D84" i="10" s="1"/>
  <c r="D6" i="10" s="1"/>
  <c r="J63" i="10"/>
  <c r="J84" i="10" s="1"/>
  <c r="J6" i="10" s="1"/>
  <c r="H63" i="10"/>
  <c r="H84" i="10" s="1"/>
  <c r="H6" i="10" s="1"/>
  <c r="F63" i="10"/>
  <c r="F84" i="10" s="1"/>
  <c r="F6" i="10" s="1"/>
  <c r="I63" i="10"/>
  <c r="I84" i="10" s="1"/>
  <c r="I6" i="10" s="1"/>
  <c r="L63" i="10"/>
  <c r="L84" i="10" s="1"/>
  <c r="L6" i="10" s="1"/>
  <c r="O82" i="10"/>
  <c r="C84" i="10"/>
  <c r="C6" i="10" s="1"/>
  <c r="N84" i="10"/>
  <c r="N6" i="10" s="1"/>
  <c r="C15" i="10" l="1"/>
  <c r="C16" i="10"/>
  <c r="C17" i="10" s="1"/>
  <c r="B13" i="10"/>
  <c r="B6" i="10"/>
  <c r="O84" i="10"/>
  <c r="Q4" i="10" s="1"/>
  <c r="O63" i="10"/>
  <c r="S4" i="10" l="1"/>
  <c r="Q5" i="10"/>
  <c r="R4" i="10"/>
  <c r="BF9" i="1"/>
  <c r="BF8" i="1"/>
  <c r="BF7" i="1"/>
  <c r="BF6" i="1"/>
  <c r="BF5" i="1"/>
  <c r="BF4" i="1"/>
  <c r="BF3" i="1"/>
  <c r="BC9" i="1"/>
  <c r="BC8" i="1"/>
  <c r="BC7" i="1"/>
  <c r="BC6" i="1"/>
  <c r="BC5" i="1"/>
  <c r="BC4" i="1"/>
  <c r="BC3" i="1"/>
  <c r="BA110" i="1"/>
  <c r="AZ9" i="1"/>
  <c r="AZ8" i="1"/>
  <c r="AZ7" i="1"/>
  <c r="AZ6" i="1"/>
  <c r="AZ5" i="1"/>
  <c r="AZ4" i="1"/>
  <c r="AZ3" i="1"/>
  <c r="AY9" i="1"/>
  <c r="AY8" i="1"/>
  <c r="AY7" i="1"/>
  <c r="AY6" i="1"/>
  <c r="AY5" i="1"/>
  <c r="AY4" i="1"/>
  <c r="AY3" i="1"/>
  <c r="AX9" i="1"/>
  <c r="AX8" i="1"/>
  <c r="AX7" i="1"/>
  <c r="AX6" i="1"/>
  <c r="AX5" i="1"/>
  <c r="AX4" i="1"/>
  <c r="AX3" i="1"/>
  <c r="AS9" i="1"/>
  <c r="AS8" i="1"/>
  <c r="AS7" i="1"/>
  <c r="AS6" i="1"/>
  <c r="AS5" i="1"/>
  <c r="AS4" i="1"/>
  <c r="AS3" i="1"/>
  <c r="AQ9" i="1"/>
  <c r="AQ8" i="1"/>
  <c r="AQ7" i="1"/>
  <c r="AQ6" i="1"/>
  <c r="AQ5" i="1"/>
  <c r="AQ4" i="1"/>
  <c r="AQ3" i="1"/>
  <c r="C8" i="49" l="1"/>
  <c r="D8" i="49" s="1"/>
  <c r="E8" i="49" s="1"/>
  <c r="C6" i="49"/>
  <c r="D6" i="49" s="1"/>
  <c r="E6" i="49" s="1"/>
  <c r="BC110" i="1"/>
  <c r="AZ110" i="1"/>
  <c r="AO9" i="1"/>
  <c r="BN9" i="1" s="1"/>
  <c r="AO8" i="1"/>
  <c r="BN8" i="1" s="1"/>
  <c r="AO7" i="1"/>
  <c r="BN7" i="1" s="1"/>
  <c r="AO6" i="1"/>
  <c r="BN6" i="1" s="1"/>
  <c r="AO5" i="1"/>
  <c r="BN5" i="1" s="1"/>
  <c r="AO4" i="1"/>
  <c r="BN4" i="1" s="1"/>
  <c r="AO3" i="1"/>
  <c r="K75" i="49" l="1"/>
  <c r="K77" i="49"/>
  <c r="BN3" i="1"/>
  <c r="BQ3" i="1" s="1"/>
  <c r="C4" i="49"/>
  <c r="BP6" i="1"/>
  <c r="BQ6" i="1"/>
  <c r="CI4" i="1"/>
  <c r="CI5" i="1"/>
  <c r="CI7" i="1"/>
  <c r="BO7" i="1"/>
  <c r="CI8" i="1"/>
  <c r="BO8" i="1"/>
  <c r="CI9" i="1"/>
  <c r="CI3" i="1"/>
  <c r="BO6" i="1"/>
  <c r="CI6" i="1"/>
  <c r="C3" i="2"/>
  <c r="F39" i="23" l="1"/>
  <c r="F99" i="23"/>
  <c r="F179" i="23"/>
  <c r="F3" i="23"/>
  <c r="F63" i="23"/>
  <c r="F143" i="23"/>
  <c r="F203" i="23"/>
  <c r="F27" i="23"/>
  <c r="F87" i="23"/>
  <c r="F167" i="23"/>
  <c r="F227" i="23"/>
  <c r="F51" i="23"/>
  <c r="F111" i="23"/>
  <c r="F131" i="23"/>
  <c r="F191" i="23"/>
  <c r="F1008" i="23"/>
  <c r="F1048" i="23"/>
  <c r="F1088" i="23"/>
  <c r="F1148" i="23"/>
  <c r="F1208" i="23"/>
  <c r="F930" i="23"/>
  <c r="F1250" i="23"/>
  <c r="F251" i="23"/>
  <c r="F311" i="23"/>
  <c r="F811" i="23"/>
  <c r="F1271" i="23"/>
  <c r="F1032" i="23"/>
  <c r="F1072" i="23"/>
  <c r="F993" i="23"/>
  <c r="F1313" i="23"/>
  <c r="F1373" i="23"/>
  <c r="F954" i="23"/>
  <c r="F275" i="23"/>
  <c r="F335" i="23"/>
  <c r="F835" i="23"/>
  <c r="F1136" i="23"/>
  <c r="F1196" i="23"/>
  <c r="F215" i="23"/>
  <c r="F1257" i="23"/>
  <c r="F1277" i="23"/>
  <c r="F1337" i="23"/>
  <c r="F1397" i="23"/>
  <c r="F75" i="23"/>
  <c r="F239" i="23"/>
  <c r="F299" i="23"/>
  <c r="F799" i="23"/>
  <c r="F155" i="23"/>
  <c r="F981" i="23"/>
  <c r="F942" i="23"/>
  <c r="F1301" i="23"/>
  <c r="F1409" i="23"/>
  <c r="F1020" i="23"/>
  <c r="F1232" i="23"/>
  <c r="F323" i="23"/>
  <c r="F969" i="23"/>
  <c r="F1445" i="23"/>
  <c r="G3" i="2"/>
  <c r="D16" i="10" s="1"/>
  <c r="D17" i="10" s="1"/>
  <c r="F287" i="23"/>
  <c r="F1112" i="23"/>
  <c r="F1160" i="23"/>
  <c r="F1385" i="23"/>
  <c r="F1421" i="23"/>
  <c r="F1244" i="23"/>
  <c r="F1124" i="23"/>
  <c r="F1349" i="23"/>
  <c r="F823" i="23"/>
  <c r="F1184" i="23"/>
  <c r="F787" i="23"/>
  <c r="F15" i="23"/>
  <c r="F1361" i="23"/>
  <c r="H3" i="2"/>
  <c r="L17" i="39" s="1"/>
  <c r="D17" i="6"/>
  <c r="F1172" i="23"/>
  <c r="F1325" i="23"/>
  <c r="F1433" i="23"/>
  <c r="F1100" i="23"/>
  <c r="F1060" i="23"/>
  <c r="F263" i="23"/>
  <c r="F1220" i="23"/>
  <c r="F1289" i="23"/>
  <c r="F1263" i="23"/>
  <c r="L47" i="46"/>
  <c r="M47" i="46"/>
  <c r="K47" i="46"/>
  <c r="N47" i="46"/>
  <c r="BO3" i="1"/>
  <c r="BP3" i="1"/>
  <c r="D4" i="49"/>
  <c r="K73" i="49"/>
  <c r="C20" i="49"/>
  <c r="C18" i="49"/>
  <c r="C19" i="49" s="1"/>
  <c r="L26" i="39"/>
  <c r="C10" i="45"/>
  <c r="C9" i="45"/>
  <c r="C12" i="45"/>
  <c r="C11" i="45"/>
  <c r="C8" i="45"/>
  <c r="C9" i="47"/>
  <c r="C20" i="47"/>
  <c r="C24" i="47"/>
  <c r="C11" i="47"/>
  <c r="C21" i="47"/>
  <c r="C8" i="47"/>
  <c r="C23" i="47"/>
  <c r="C22" i="47"/>
  <c r="C12" i="47"/>
  <c r="C10" i="47"/>
  <c r="C4" i="2"/>
  <c r="BP5" i="1"/>
  <c r="BQ5" i="1"/>
  <c r="BO5" i="1"/>
  <c r="BP4" i="1"/>
  <c r="BQ4" i="1"/>
  <c r="BQ8" i="1"/>
  <c r="BP8" i="1"/>
  <c r="BQ9" i="1"/>
  <c r="BP9" i="1"/>
  <c r="BO9" i="1"/>
  <c r="BP7" i="1"/>
  <c r="BQ7" i="1"/>
  <c r="BO4" i="1"/>
  <c r="K9" i="1"/>
  <c r="K8" i="1"/>
  <c r="K7" i="1"/>
  <c r="K6" i="1"/>
  <c r="K5" i="1"/>
  <c r="K4" i="1"/>
  <c r="K3" i="1"/>
  <c r="L25" i="39" l="1"/>
  <c r="F40" i="23"/>
  <c r="F100" i="23"/>
  <c r="F180" i="23"/>
  <c r="F28" i="23"/>
  <c r="F88" i="23"/>
  <c r="F288" i="23"/>
  <c r="F788" i="23"/>
  <c r="F132" i="23"/>
  <c r="F168" i="23"/>
  <c r="F228" i="23"/>
  <c r="F204" i="23"/>
  <c r="F970" i="23"/>
  <c r="F1290" i="23"/>
  <c r="F1350" i="23"/>
  <c r="F1410" i="23"/>
  <c r="F931" i="23"/>
  <c r="F1251" i="23"/>
  <c r="F252" i="23"/>
  <c r="F312" i="23"/>
  <c r="F812" i="23"/>
  <c r="F64" i="23"/>
  <c r="F1033" i="23"/>
  <c r="F1073" i="23"/>
  <c r="F1113" i="23"/>
  <c r="F1173" i="23"/>
  <c r="F1233" i="23"/>
  <c r="F994" i="23"/>
  <c r="F1314" i="23"/>
  <c r="F1374" i="23"/>
  <c r="F1434" i="23"/>
  <c r="F955" i="23"/>
  <c r="F144" i="23"/>
  <c r="F276" i="23"/>
  <c r="F336" i="23"/>
  <c r="F836" i="23"/>
  <c r="F1137" i="23"/>
  <c r="F1197" i="23"/>
  <c r="F112" i="23"/>
  <c r="F216" i="23"/>
  <c r="F1258" i="23"/>
  <c r="F1278" i="23"/>
  <c r="F1338" i="23"/>
  <c r="F1398" i="23"/>
  <c r="F76" i="23"/>
  <c r="F4" i="23"/>
  <c r="F1021" i="23"/>
  <c r="F1061" i="23"/>
  <c r="F1101" i="23"/>
  <c r="F1161" i="23"/>
  <c r="F1221" i="23"/>
  <c r="F156" i="23"/>
  <c r="F982" i="23"/>
  <c r="F1302" i="23"/>
  <c r="F1362" i="23"/>
  <c r="F52" i="23"/>
  <c r="F800" i="23"/>
  <c r="F1009" i="23"/>
  <c r="F1149" i="23"/>
  <c r="F1264" i="23"/>
  <c r="F1209" i="23"/>
  <c r="F1049" i="23"/>
  <c r="F240" i="23"/>
  <c r="F1272" i="23"/>
  <c r="F1446" i="23"/>
  <c r="E17" i="6"/>
  <c r="F324" i="23"/>
  <c r="F300" i="23"/>
  <c r="F1386" i="23"/>
  <c r="F1422" i="23"/>
  <c r="F943" i="23"/>
  <c r="F1245" i="23"/>
  <c r="F1185" i="23"/>
  <c r="F192" i="23"/>
  <c r="F1125" i="23"/>
  <c r="H4" i="2"/>
  <c r="M17" i="39" s="1"/>
  <c r="F824" i="23"/>
  <c r="G4" i="2"/>
  <c r="E16" i="10" s="1"/>
  <c r="E17" i="10" s="1"/>
  <c r="F16" i="23"/>
  <c r="F264" i="23"/>
  <c r="F1089" i="23"/>
  <c r="F1326" i="23"/>
  <c r="K48" i="46"/>
  <c r="L48" i="46"/>
  <c r="M48" i="46"/>
  <c r="N48" i="46"/>
  <c r="C5" i="2"/>
  <c r="E4" i="49"/>
  <c r="E18" i="49" s="1"/>
  <c r="E19" i="49" s="1"/>
  <c r="D18" i="49"/>
  <c r="D19" i="49" s="1"/>
  <c r="D14" i="10"/>
  <c r="D12" i="45"/>
  <c r="D11" i="45"/>
  <c r="D9" i="45"/>
  <c r="D10" i="45"/>
  <c r="D8" i="45"/>
  <c r="D24" i="47"/>
  <c r="D12" i="47"/>
  <c r="D22" i="47"/>
  <c r="D10" i="47"/>
  <c r="D20" i="47"/>
  <c r="D11" i="47"/>
  <c r="D8" i="47"/>
  <c r="D9" i="47"/>
  <c r="D23" i="47"/>
  <c r="D21" i="47"/>
  <c r="D15" i="10"/>
  <c r="N111" i="6"/>
  <c r="M111" i="6"/>
  <c r="L111" i="6"/>
  <c r="K111" i="6"/>
  <c r="J111" i="6"/>
  <c r="I111" i="6"/>
  <c r="H111" i="6"/>
  <c r="F111" i="6"/>
  <c r="E111" i="6"/>
  <c r="D111" i="6"/>
  <c r="C111" i="6"/>
  <c r="C110" i="6"/>
  <c r="N109" i="6"/>
  <c r="M109" i="6"/>
  <c r="L109" i="6"/>
  <c r="K109" i="6"/>
  <c r="J109" i="6"/>
  <c r="I109" i="6"/>
  <c r="H109" i="6"/>
  <c r="G109" i="6"/>
  <c r="F109" i="6"/>
  <c r="E109" i="6"/>
  <c r="D109" i="6"/>
  <c r="C109" i="6"/>
  <c r="N108" i="6"/>
  <c r="M108" i="6"/>
  <c r="L108" i="6"/>
  <c r="K108" i="6"/>
  <c r="J108" i="6"/>
  <c r="I108" i="6"/>
  <c r="H108" i="6"/>
  <c r="G108" i="6"/>
  <c r="F108" i="6"/>
  <c r="E108" i="6"/>
  <c r="D108" i="6"/>
  <c r="C108" i="6"/>
  <c r="G107" i="6"/>
  <c r="N106" i="6"/>
  <c r="M106" i="6"/>
  <c r="L106" i="6"/>
  <c r="K106" i="6"/>
  <c r="J106" i="6"/>
  <c r="I106" i="6"/>
  <c r="H106" i="6"/>
  <c r="G106" i="6"/>
  <c r="F106" i="6"/>
  <c r="E106" i="6"/>
  <c r="D106" i="6"/>
  <c r="C106" i="6"/>
  <c r="G105" i="6"/>
  <c r="F105" i="6"/>
  <c r="E105" i="6"/>
  <c r="D105" i="6"/>
  <c r="N104" i="6"/>
  <c r="M104" i="6"/>
  <c r="L104" i="6"/>
  <c r="K104" i="6"/>
  <c r="F104" i="6"/>
  <c r="E104" i="6"/>
  <c r="D104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N102" i="6"/>
  <c r="M102" i="6"/>
  <c r="L102" i="6"/>
  <c r="K102" i="6"/>
  <c r="J102" i="6"/>
  <c r="I102" i="6"/>
  <c r="H102" i="6"/>
  <c r="G102" i="6"/>
  <c r="F102" i="6"/>
  <c r="E102" i="6"/>
  <c r="D102" i="6"/>
  <c r="N101" i="6"/>
  <c r="M101" i="6"/>
  <c r="L101" i="6"/>
  <c r="K101" i="6"/>
  <c r="J101" i="6"/>
  <c r="I101" i="6"/>
  <c r="H101" i="6"/>
  <c r="F101" i="6"/>
  <c r="N100" i="6"/>
  <c r="M100" i="6"/>
  <c r="L100" i="6"/>
  <c r="K100" i="6"/>
  <c r="J100" i="6"/>
  <c r="I100" i="6"/>
  <c r="H100" i="6"/>
  <c r="G100" i="6"/>
  <c r="N99" i="6"/>
  <c r="J99" i="6"/>
  <c r="M97" i="6"/>
  <c r="K97" i="6"/>
  <c r="I97" i="6"/>
  <c r="G97" i="6"/>
  <c r="E97" i="6"/>
  <c r="C97" i="6"/>
  <c r="N96" i="6"/>
  <c r="G95" i="6"/>
  <c r="N94" i="6"/>
  <c r="M94" i="6"/>
  <c r="L94" i="6"/>
  <c r="K94" i="6"/>
  <c r="J94" i="6"/>
  <c r="I94" i="6"/>
  <c r="F94" i="6"/>
  <c r="E94" i="6"/>
  <c r="D94" i="6"/>
  <c r="C94" i="6"/>
  <c r="M89" i="6"/>
  <c r="K89" i="6"/>
  <c r="C89" i="6"/>
  <c r="H88" i="6"/>
  <c r="J87" i="6"/>
  <c r="I86" i="6"/>
  <c r="J85" i="6"/>
  <c r="H85" i="6"/>
  <c r="I84" i="6"/>
  <c r="F83" i="6"/>
  <c r="E83" i="6"/>
  <c r="D83" i="6"/>
  <c r="F82" i="6"/>
  <c r="E82" i="6"/>
  <c r="D82" i="6"/>
  <c r="L81" i="6"/>
  <c r="J81" i="6"/>
  <c r="I81" i="6"/>
  <c r="H81" i="6"/>
  <c r="L80" i="6"/>
  <c r="I80" i="6"/>
  <c r="N79" i="6"/>
  <c r="N89" i="6" s="1"/>
  <c r="G79" i="6"/>
  <c r="G89" i="6" s="1"/>
  <c r="F78" i="6"/>
  <c r="F77" i="6"/>
  <c r="F76" i="6"/>
  <c r="M75" i="6"/>
  <c r="K75" i="6"/>
  <c r="C75" i="6"/>
  <c r="H74" i="6"/>
  <c r="J73" i="6"/>
  <c r="I72" i="6"/>
  <c r="J71" i="6"/>
  <c r="H71" i="6"/>
  <c r="I70" i="6"/>
  <c r="F69" i="6"/>
  <c r="E69" i="6"/>
  <c r="D69" i="6"/>
  <c r="F68" i="6"/>
  <c r="E68" i="6"/>
  <c r="D68" i="6"/>
  <c r="L67" i="6"/>
  <c r="J67" i="6"/>
  <c r="I67" i="6"/>
  <c r="H67" i="6"/>
  <c r="L66" i="6"/>
  <c r="I66" i="6"/>
  <c r="N65" i="6"/>
  <c r="N75" i="6" s="1"/>
  <c r="G65" i="6"/>
  <c r="G75" i="6" s="1"/>
  <c r="F64" i="6"/>
  <c r="F63" i="6"/>
  <c r="F62" i="6"/>
  <c r="M61" i="6"/>
  <c r="K61" i="6"/>
  <c r="C61" i="6"/>
  <c r="H60" i="6"/>
  <c r="J59" i="6"/>
  <c r="I58" i="6"/>
  <c r="J57" i="6"/>
  <c r="H57" i="6"/>
  <c r="I56" i="6"/>
  <c r="F55" i="6"/>
  <c r="E55" i="6"/>
  <c r="D55" i="6"/>
  <c r="F54" i="6"/>
  <c r="E54" i="6"/>
  <c r="D54" i="6"/>
  <c r="L53" i="6"/>
  <c r="J53" i="6"/>
  <c r="I53" i="6"/>
  <c r="H53" i="6"/>
  <c r="L52" i="6"/>
  <c r="I52" i="6"/>
  <c r="H52" i="6"/>
  <c r="N51" i="6"/>
  <c r="N61" i="6" s="1"/>
  <c r="G51" i="6"/>
  <c r="G61" i="6" s="1"/>
  <c r="F50" i="6"/>
  <c r="F49" i="6"/>
  <c r="F48" i="6"/>
  <c r="M47" i="6"/>
  <c r="K47" i="6"/>
  <c r="C47" i="6"/>
  <c r="J45" i="6"/>
  <c r="H46" i="6"/>
  <c r="I44" i="6"/>
  <c r="J43" i="6"/>
  <c r="H43" i="6"/>
  <c r="I42" i="6"/>
  <c r="F41" i="6"/>
  <c r="E41" i="6"/>
  <c r="D41" i="6"/>
  <c r="F40" i="6"/>
  <c r="E40" i="6"/>
  <c r="D40" i="6"/>
  <c r="L39" i="6"/>
  <c r="J39" i="6"/>
  <c r="I39" i="6"/>
  <c r="H39" i="6"/>
  <c r="L38" i="6"/>
  <c r="I38" i="6"/>
  <c r="N37" i="6"/>
  <c r="N47" i="6" s="1"/>
  <c r="G37" i="6"/>
  <c r="G47" i="6" s="1"/>
  <c r="F36" i="6"/>
  <c r="F35" i="6"/>
  <c r="F34" i="6"/>
  <c r="M33" i="6"/>
  <c r="K33" i="6"/>
  <c r="C33" i="6"/>
  <c r="H32" i="6"/>
  <c r="I30" i="6"/>
  <c r="J29" i="6"/>
  <c r="H29" i="6"/>
  <c r="I28" i="6"/>
  <c r="F27" i="6"/>
  <c r="E27" i="6"/>
  <c r="D27" i="6"/>
  <c r="F26" i="6"/>
  <c r="E26" i="6"/>
  <c r="D26" i="6"/>
  <c r="L24" i="6"/>
  <c r="I24" i="6"/>
  <c r="L25" i="6"/>
  <c r="J25" i="6"/>
  <c r="I25" i="6"/>
  <c r="H25" i="6"/>
  <c r="N23" i="6"/>
  <c r="G23" i="6"/>
  <c r="F22" i="6"/>
  <c r="F21" i="6"/>
  <c r="F20" i="6"/>
  <c r="M25" i="39" l="1"/>
  <c r="M26" i="39"/>
  <c r="E10" i="45"/>
  <c r="F41" i="23"/>
  <c r="F101" i="23"/>
  <c r="F181" i="23"/>
  <c r="F53" i="23"/>
  <c r="F113" i="23"/>
  <c r="F133" i="23"/>
  <c r="F193" i="23"/>
  <c r="F17" i="23"/>
  <c r="F289" i="23"/>
  <c r="F789" i="23"/>
  <c r="F169" i="23"/>
  <c r="F229" i="23"/>
  <c r="F1010" i="23"/>
  <c r="F1050" i="23"/>
  <c r="F1090" i="23"/>
  <c r="F1150" i="23"/>
  <c r="F1210" i="23"/>
  <c r="F205" i="23"/>
  <c r="F971" i="23"/>
  <c r="F1291" i="23"/>
  <c r="F1351" i="23"/>
  <c r="F1411" i="23"/>
  <c r="F932" i="23"/>
  <c r="F253" i="23"/>
  <c r="F313" i="23"/>
  <c r="F813" i="23"/>
  <c r="F1273" i="23"/>
  <c r="F29" i="23"/>
  <c r="F65" i="23"/>
  <c r="F1034" i="23"/>
  <c r="F1074" i="23"/>
  <c r="F1114" i="23"/>
  <c r="F1174" i="23"/>
  <c r="F1234" i="23"/>
  <c r="F995" i="23"/>
  <c r="F1315" i="23"/>
  <c r="F1375" i="23"/>
  <c r="F1435" i="23"/>
  <c r="F956" i="23"/>
  <c r="F145" i="23"/>
  <c r="F277" i="23"/>
  <c r="F337" i="23"/>
  <c r="F837" i="23"/>
  <c r="F1138" i="23"/>
  <c r="F1198" i="23"/>
  <c r="F217" i="23"/>
  <c r="F241" i="23"/>
  <c r="F301" i="23"/>
  <c r="F801" i="23"/>
  <c r="F5" i="23"/>
  <c r="F1022" i="23"/>
  <c r="F1062" i="23"/>
  <c r="F1102" i="23"/>
  <c r="F1162" i="23"/>
  <c r="F1222" i="23"/>
  <c r="F157" i="23"/>
  <c r="F1265" i="23"/>
  <c r="F1303" i="23"/>
  <c r="F1327" i="23"/>
  <c r="F77" i="23"/>
  <c r="F17" i="6"/>
  <c r="F825" i="23"/>
  <c r="F1339" i="23"/>
  <c r="F1447" i="23"/>
  <c r="F325" i="23"/>
  <c r="F983" i="23"/>
  <c r="F1399" i="23"/>
  <c r="F89" i="23"/>
  <c r="F1279" i="23"/>
  <c r="F1387" i="23"/>
  <c r="F1423" i="23"/>
  <c r="G5" i="2"/>
  <c r="F16" i="10" s="1"/>
  <c r="F17" i="10" s="1"/>
  <c r="F944" i="23"/>
  <c r="F1246" i="23"/>
  <c r="F1126" i="23"/>
  <c r="F1252" i="23"/>
  <c r="F1363" i="23"/>
  <c r="F1259" i="23"/>
  <c r="H5" i="2"/>
  <c r="N17" i="39" s="1"/>
  <c r="F265" i="23"/>
  <c r="F1186" i="23"/>
  <c r="I9" i="6"/>
  <c r="L9" i="39"/>
  <c r="L13" i="39"/>
  <c r="L5" i="39"/>
  <c r="E9" i="47"/>
  <c r="L9" i="6"/>
  <c r="G9" i="6"/>
  <c r="G12" i="6" s="1"/>
  <c r="G13" i="6" s="1"/>
  <c r="E12" i="47"/>
  <c r="N9" i="6"/>
  <c r="N12" i="6" s="1"/>
  <c r="H9" i="6"/>
  <c r="H12" i="6" s="1"/>
  <c r="D9" i="6"/>
  <c r="D12" i="6" s="1"/>
  <c r="E9" i="6"/>
  <c r="E12" i="6" s="1"/>
  <c r="M9" i="6"/>
  <c r="M12" i="6" s="1"/>
  <c r="M13" i="6" s="1"/>
  <c r="C9" i="6"/>
  <c r="C12" i="6" s="1"/>
  <c r="K9" i="6"/>
  <c r="K12" i="6" s="1"/>
  <c r="K13" i="6" s="1"/>
  <c r="J9" i="6"/>
  <c r="J12" i="6" s="1"/>
  <c r="F9" i="6"/>
  <c r="F12" i="6" s="1"/>
  <c r="E11" i="45"/>
  <c r="E20" i="47"/>
  <c r="E9" i="45"/>
  <c r="E8" i="45"/>
  <c r="E8" i="47"/>
  <c r="E10" i="47"/>
  <c r="C6" i="2"/>
  <c r="F22" i="47" s="1"/>
  <c r="E24" i="47"/>
  <c r="L50" i="46"/>
  <c r="M50" i="46"/>
  <c r="E21" i="47"/>
  <c r="K49" i="46"/>
  <c r="L49" i="46"/>
  <c r="M49" i="46"/>
  <c r="N49" i="46"/>
  <c r="E11" i="47"/>
  <c r="E23" i="47"/>
  <c r="E12" i="45"/>
  <c r="E22" i="47"/>
  <c r="E14" i="10"/>
  <c r="E15" i="10"/>
  <c r="I12" i="6"/>
  <c r="I13" i="6" s="1"/>
  <c r="L12" i="6"/>
  <c r="L13" i="6" s="1"/>
  <c r="G33" i="6"/>
  <c r="G91" i="6" s="1"/>
  <c r="N33" i="6"/>
  <c r="N91" i="6" s="1"/>
  <c r="L47" i="6"/>
  <c r="K112" i="6"/>
  <c r="G112" i="6"/>
  <c r="D61" i="6"/>
  <c r="M91" i="6"/>
  <c r="J33" i="6"/>
  <c r="L61" i="6"/>
  <c r="I112" i="6"/>
  <c r="E112" i="6"/>
  <c r="H112" i="6"/>
  <c r="M112" i="6"/>
  <c r="D33" i="6"/>
  <c r="C91" i="6"/>
  <c r="J112" i="6"/>
  <c r="F33" i="6"/>
  <c r="K91" i="6"/>
  <c r="L75" i="6"/>
  <c r="C112" i="6"/>
  <c r="J47" i="6"/>
  <c r="D89" i="6"/>
  <c r="D112" i="6"/>
  <c r="L112" i="6"/>
  <c r="H33" i="6"/>
  <c r="I33" i="6"/>
  <c r="E89" i="6"/>
  <c r="E61" i="6"/>
  <c r="I89" i="6"/>
  <c r="F112" i="6"/>
  <c r="N112" i="6"/>
  <c r="F47" i="6"/>
  <c r="I61" i="6"/>
  <c r="L89" i="6"/>
  <c r="D75" i="6"/>
  <c r="H75" i="6"/>
  <c r="E75" i="6"/>
  <c r="H47" i="6"/>
  <c r="E47" i="6"/>
  <c r="J89" i="6"/>
  <c r="F89" i="6"/>
  <c r="H61" i="6"/>
  <c r="I75" i="6"/>
  <c r="J75" i="6"/>
  <c r="F75" i="6"/>
  <c r="D47" i="6"/>
  <c r="H89" i="6"/>
  <c r="F61" i="6"/>
  <c r="I47" i="6"/>
  <c r="J61" i="6"/>
  <c r="L33" i="6"/>
  <c r="E33" i="6"/>
  <c r="F21" i="47" l="1"/>
  <c r="F8" i="47"/>
  <c r="F20" i="47"/>
  <c r="F6" i="23"/>
  <c r="F66" i="23"/>
  <c r="F146" i="23"/>
  <c r="F30" i="23"/>
  <c r="F90" i="23"/>
  <c r="F170" i="23"/>
  <c r="F1328" i="23"/>
  <c r="F1388" i="23"/>
  <c r="F1448" i="23"/>
  <c r="F18" i="23"/>
  <c r="F134" i="23"/>
  <c r="F290" i="23"/>
  <c r="F790" i="23"/>
  <c r="F230" i="23"/>
  <c r="F1011" i="23"/>
  <c r="F1051" i="23"/>
  <c r="F1091" i="23"/>
  <c r="F1151" i="23"/>
  <c r="F1211" i="23"/>
  <c r="F206" i="23"/>
  <c r="F972" i="23"/>
  <c r="F102" i="23"/>
  <c r="F933" i="23"/>
  <c r="F1253" i="23"/>
  <c r="F254" i="23"/>
  <c r="F314" i="23"/>
  <c r="F814" i="23"/>
  <c r="F1274" i="23"/>
  <c r="F1035" i="23"/>
  <c r="F1075" i="23"/>
  <c r="F1115" i="23"/>
  <c r="F1175" i="23"/>
  <c r="F1235" i="23"/>
  <c r="F996" i="23"/>
  <c r="F1316" i="23"/>
  <c r="F1376" i="23"/>
  <c r="F1436" i="23"/>
  <c r="F182" i="23"/>
  <c r="F957" i="23"/>
  <c r="F278" i="23"/>
  <c r="F338" i="23"/>
  <c r="F838" i="23"/>
  <c r="F114" i="23"/>
  <c r="F42" i="23"/>
  <c r="F78" i="23"/>
  <c r="F242" i="23"/>
  <c r="F302" i="23"/>
  <c r="F802" i="23"/>
  <c r="F54" i="23"/>
  <c r="F1063" i="23"/>
  <c r="F1187" i="23"/>
  <c r="F1340" i="23"/>
  <c r="F158" i="23"/>
  <c r="F1266" i="23"/>
  <c r="F1304" i="23"/>
  <c r="F1412" i="23"/>
  <c r="F1260" i="23"/>
  <c r="F266" i="23"/>
  <c r="F1023" i="23"/>
  <c r="F1424" i="23"/>
  <c r="F218" i="23"/>
  <c r="F1199" i="23"/>
  <c r="G17" i="6"/>
  <c r="F1139" i="23"/>
  <c r="F326" i="23"/>
  <c r="F1163" i="23"/>
  <c r="F1223" i="23"/>
  <c r="F984" i="23"/>
  <c r="F1280" i="23"/>
  <c r="H6" i="2"/>
  <c r="F1103" i="23"/>
  <c r="F1352" i="23"/>
  <c r="F194" i="23"/>
  <c r="F945" i="23"/>
  <c r="F1247" i="23"/>
  <c r="F1127" i="23"/>
  <c r="G6" i="2"/>
  <c r="F826" i="23"/>
  <c r="F1400" i="23"/>
  <c r="F1292" i="23"/>
  <c r="F1364" i="23"/>
  <c r="M9" i="39"/>
  <c r="M13" i="39"/>
  <c r="M5" i="39"/>
  <c r="F15" i="10"/>
  <c r="N26" i="39"/>
  <c r="F14" i="10"/>
  <c r="N25" i="39"/>
  <c r="C14" i="6"/>
  <c r="C13" i="6"/>
  <c r="E14" i="6"/>
  <c r="E13" i="6"/>
  <c r="D14" i="6"/>
  <c r="D13" i="6"/>
  <c r="F10" i="45"/>
  <c r="F12" i="45"/>
  <c r="F10" i="47"/>
  <c r="C7" i="2"/>
  <c r="F12" i="47"/>
  <c r="F8" i="45"/>
  <c r="F23" i="47"/>
  <c r="F9" i="45"/>
  <c r="N50" i="46"/>
  <c r="F24" i="47"/>
  <c r="F9" i="47"/>
  <c r="F11" i="45"/>
  <c r="F11" i="47"/>
  <c r="O25" i="39"/>
  <c r="K50" i="46"/>
  <c r="K51" i="46"/>
  <c r="L51" i="46"/>
  <c r="F14" i="6"/>
  <c r="B12" i="6"/>
  <c r="N13" i="6"/>
  <c r="F13" i="6"/>
  <c r="J13" i="6"/>
  <c r="H13" i="6"/>
  <c r="B9" i="6"/>
  <c r="G114" i="6"/>
  <c r="G6" i="6" s="1"/>
  <c r="M114" i="6"/>
  <c r="M6" i="6" s="1"/>
  <c r="J91" i="6"/>
  <c r="J114" i="6" s="1"/>
  <c r="J6" i="6" s="1"/>
  <c r="L91" i="6"/>
  <c r="L114" i="6" s="1"/>
  <c r="L6" i="6" s="1"/>
  <c r="D91" i="6"/>
  <c r="D114" i="6" s="1"/>
  <c r="D6" i="6" s="1"/>
  <c r="C114" i="6"/>
  <c r="C6" i="6" s="1"/>
  <c r="N114" i="6"/>
  <c r="N6" i="6" s="1"/>
  <c r="O112" i="6"/>
  <c r="K114" i="6"/>
  <c r="K6" i="6" s="1"/>
  <c r="H91" i="6"/>
  <c r="H114" i="6" s="1"/>
  <c r="H6" i="6" s="1"/>
  <c r="I91" i="6"/>
  <c r="E91" i="6"/>
  <c r="E114" i="6" s="1"/>
  <c r="E6" i="6" s="1"/>
  <c r="F91" i="6"/>
  <c r="O17" i="39" l="1"/>
  <c r="O26" i="39"/>
  <c r="O9" i="39" s="1"/>
  <c r="N51" i="46"/>
  <c r="F19" i="23"/>
  <c r="F79" i="23"/>
  <c r="F159" i="23"/>
  <c r="F43" i="23"/>
  <c r="F103" i="23"/>
  <c r="F183" i="23"/>
  <c r="F7" i="23"/>
  <c r="F67" i="23"/>
  <c r="F147" i="23"/>
  <c r="F207" i="23"/>
  <c r="F31" i="23"/>
  <c r="F91" i="23"/>
  <c r="F171" i="23"/>
  <c r="F231" i="23"/>
  <c r="F55" i="23"/>
  <c r="F1128" i="23"/>
  <c r="F1188" i="23"/>
  <c r="F350" i="23"/>
  <c r="F370" i="23"/>
  <c r="F390" i="23"/>
  <c r="F410" i="23"/>
  <c r="F430" i="23"/>
  <c r="F450" i="23"/>
  <c r="F470" i="23"/>
  <c r="F490" i="23"/>
  <c r="F510" i="23"/>
  <c r="F530" i="23"/>
  <c r="F550" i="23"/>
  <c r="F570" i="23"/>
  <c r="F590" i="23"/>
  <c r="F610" i="23"/>
  <c r="F630" i="23"/>
  <c r="F650" i="23"/>
  <c r="F670" i="23"/>
  <c r="F690" i="23"/>
  <c r="F710" i="23"/>
  <c r="F730" i="23"/>
  <c r="F750" i="23"/>
  <c r="F770" i="23"/>
  <c r="F135" i="23"/>
  <c r="F291" i="23"/>
  <c r="F791" i="23"/>
  <c r="F1012" i="23"/>
  <c r="F1052" i="23"/>
  <c r="F1092" i="23"/>
  <c r="F973" i="23"/>
  <c r="F1293" i="23"/>
  <c r="F1353" i="23"/>
  <c r="F1413" i="23"/>
  <c r="F354" i="23"/>
  <c r="F374" i="23"/>
  <c r="F394" i="23"/>
  <c r="F414" i="23"/>
  <c r="F434" i="23"/>
  <c r="F454" i="23"/>
  <c r="F474" i="23"/>
  <c r="F494" i="23"/>
  <c r="F514" i="23"/>
  <c r="F534" i="23"/>
  <c r="F554" i="23"/>
  <c r="F574" i="23"/>
  <c r="F594" i="23"/>
  <c r="F614" i="23"/>
  <c r="F634" i="23"/>
  <c r="F654" i="23"/>
  <c r="F674" i="23"/>
  <c r="F694" i="23"/>
  <c r="F714" i="23"/>
  <c r="F734" i="23"/>
  <c r="F754" i="23"/>
  <c r="F774" i="23"/>
  <c r="F934" i="23"/>
  <c r="F255" i="23"/>
  <c r="F315" i="23"/>
  <c r="F815" i="23"/>
  <c r="F1036" i="23"/>
  <c r="F1076" i="23"/>
  <c r="F1116" i="23"/>
  <c r="F1176" i="23"/>
  <c r="F1236" i="23"/>
  <c r="F997" i="23"/>
  <c r="F1317" i="23"/>
  <c r="F1377" i="23"/>
  <c r="F358" i="23"/>
  <c r="F378" i="23"/>
  <c r="F398" i="23"/>
  <c r="F418" i="23"/>
  <c r="F438" i="23"/>
  <c r="F458" i="23"/>
  <c r="F478" i="23"/>
  <c r="F498" i="23"/>
  <c r="F518" i="23"/>
  <c r="F538" i="23"/>
  <c r="F558" i="23"/>
  <c r="F578" i="23"/>
  <c r="F598" i="23"/>
  <c r="F618" i="23"/>
  <c r="F638" i="23"/>
  <c r="F658" i="23"/>
  <c r="F678" i="23"/>
  <c r="F698" i="23"/>
  <c r="F718" i="23"/>
  <c r="F738" i="23"/>
  <c r="F758" i="23"/>
  <c r="F778" i="23"/>
  <c r="F958" i="23"/>
  <c r="F279" i="23"/>
  <c r="F339" i="23"/>
  <c r="F839" i="23"/>
  <c r="F219" i="23"/>
  <c r="F362" i="23"/>
  <c r="F382" i="23"/>
  <c r="F402" i="23"/>
  <c r="F422" i="23"/>
  <c r="F442" i="23"/>
  <c r="F462" i="23"/>
  <c r="F482" i="23"/>
  <c r="F502" i="23"/>
  <c r="F522" i="23"/>
  <c r="F542" i="23"/>
  <c r="F562" i="23"/>
  <c r="F582" i="23"/>
  <c r="F602" i="23"/>
  <c r="F622" i="23"/>
  <c r="F642" i="23"/>
  <c r="F662" i="23"/>
  <c r="F682" i="23"/>
  <c r="F702" i="23"/>
  <c r="F722" i="23"/>
  <c r="F742" i="23"/>
  <c r="F762" i="23"/>
  <c r="F782" i="23"/>
  <c r="F327" i="23"/>
  <c r="F526" i="23"/>
  <c r="F726" i="23"/>
  <c r="F466" i="23"/>
  <c r="F666" i="23"/>
  <c r="F803" i="23"/>
  <c r="F1064" i="23"/>
  <c r="F1341" i="23"/>
  <c r="F1267" i="23"/>
  <c r="F1437" i="23"/>
  <c r="F1224" i="23"/>
  <c r="F406" i="23"/>
  <c r="F606" i="23"/>
  <c r="F1152" i="23"/>
  <c r="F1305" i="23"/>
  <c r="F1104" i="23"/>
  <c r="F1024" i="23"/>
  <c r="F366" i="23"/>
  <c r="F646" i="23"/>
  <c r="H7" i="2"/>
  <c r="P17" i="39" s="1"/>
  <c r="F243" i="23"/>
  <c r="F346" i="23"/>
  <c r="F546" i="23"/>
  <c r="F746" i="23"/>
  <c r="F1200" i="23"/>
  <c r="F586" i="23"/>
  <c r="F1425" i="23"/>
  <c r="F1329" i="23"/>
  <c r="F303" i="23"/>
  <c r="F486" i="23"/>
  <c r="F686" i="23"/>
  <c r="F1164" i="23"/>
  <c r="F1449" i="23"/>
  <c r="H17" i="6"/>
  <c r="F566" i="23"/>
  <c r="G7" i="2"/>
  <c r="F985" i="23"/>
  <c r="F1389" i="23"/>
  <c r="F115" i="23"/>
  <c r="F446" i="23"/>
  <c r="F386" i="23"/>
  <c r="F426" i="23"/>
  <c r="F626" i="23"/>
  <c r="F1281" i="23"/>
  <c r="F1140" i="23"/>
  <c r="F267" i="23"/>
  <c r="F195" i="23"/>
  <c r="F766" i="23"/>
  <c r="F946" i="23"/>
  <c r="F1365" i="23"/>
  <c r="F1212" i="23"/>
  <c r="F1401" i="23"/>
  <c r="F506" i="23"/>
  <c r="F706" i="23"/>
  <c r="F827" i="23"/>
  <c r="G16" i="10"/>
  <c r="G17" i="10" s="1"/>
  <c r="G11" i="47"/>
  <c r="G24" i="47"/>
  <c r="G16" i="6"/>
  <c r="N9" i="39"/>
  <c r="N5" i="39"/>
  <c r="N13" i="39"/>
  <c r="G15" i="10"/>
  <c r="G15" i="6"/>
  <c r="G10" i="45"/>
  <c r="C15" i="6"/>
  <c r="C16" i="6"/>
  <c r="E15" i="6"/>
  <c r="E16" i="6"/>
  <c r="F15" i="6"/>
  <c r="F16" i="6"/>
  <c r="D15" i="6"/>
  <c r="D16" i="6"/>
  <c r="G10" i="47"/>
  <c r="G8" i="47"/>
  <c r="G12" i="45"/>
  <c r="C8" i="2"/>
  <c r="G21" i="47"/>
  <c r="G9" i="47"/>
  <c r="G20" i="47"/>
  <c r="G11" i="45"/>
  <c r="M51" i="46"/>
  <c r="G12" i="47"/>
  <c r="G8" i="45"/>
  <c r="G23" i="47"/>
  <c r="G22" i="47"/>
  <c r="G9" i="45"/>
  <c r="G14" i="10"/>
  <c r="G14" i="6"/>
  <c r="H14" i="6"/>
  <c r="H14" i="10"/>
  <c r="H15" i="10"/>
  <c r="H9" i="45"/>
  <c r="H8" i="45"/>
  <c r="H10" i="45"/>
  <c r="TG28" i="17"/>
  <c r="TG29" i="17" s="1"/>
  <c r="TC28" i="17"/>
  <c r="TC29" i="17" s="1"/>
  <c r="TK28" i="17"/>
  <c r="TK29" i="17" s="1"/>
  <c r="SY28" i="17"/>
  <c r="TO28" i="17"/>
  <c r="TO29" i="17" s="1"/>
  <c r="B13" i="6"/>
  <c r="I114" i="6"/>
  <c r="I6" i="6" s="1"/>
  <c r="F114" i="6"/>
  <c r="F6" i="6" s="1"/>
  <c r="O91" i="6"/>
  <c r="AR36" i="1"/>
  <c r="AR32" i="1"/>
  <c r="AR30" i="1"/>
  <c r="AR24" i="1"/>
  <c r="AR22" i="1"/>
  <c r="AR23" i="1"/>
  <c r="AR20" i="1"/>
  <c r="AR18" i="1"/>
  <c r="AR17" i="1"/>
  <c r="AR13" i="1"/>
  <c r="AR29" i="1"/>
  <c r="AR14" i="1"/>
  <c r="AR37" i="1"/>
  <c r="AR33" i="1"/>
  <c r="AR31" i="1"/>
  <c r="AR27" i="1"/>
  <c r="AR21" i="1"/>
  <c r="AR16" i="1"/>
  <c r="AR15" i="1"/>
  <c r="AR35" i="1"/>
  <c r="AR34" i="1"/>
  <c r="AR28" i="1"/>
  <c r="AR26" i="1"/>
  <c r="AR25" i="1"/>
  <c r="AR12" i="1"/>
  <c r="AR11" i="1"/>
  <c r="AR10" i="1"/>
  <c r="F20" i="23" l="1"/>
  <c r="F80" i="23"/>
  <c r="F160" i="23"/>
  <c r="F8" i="23"/>
  <c r="F68" i="23"/>
  <c r="F148" i="23"/>
  <c r="F268" i="23"/>
  <c r="F328" i="23"/>
  <c r="F828" i="23"/>
  <c r="F1248" i="23"/>
  <c r="F1268" i="23"/>
  <c r="F56" i="23"/>
  <c r="F1330" i="23"/>
  <c r="F1390" i="23"/>
  <c r="F172" i="23"/>
  <c r="F351" i="23"/>
  <c r="F371" i="23"/>
  <c r="F391" i="23"/>
  <c r="F411" i="23"/>
  <c r="F431" i="23"/>
  <c r="F451" i="23"/>
  <c r="F471" i="23"/>
  <c r="F491" i="23"/>
  <c r="F511" i="23"/>
  <c r="F531" i="23"/>
  <c r="F551" i="23"/>
  <c r="F571" i="23"/>
  <c r="F591" i="23"/>
  <c r="F611" i="23"/>
  <c r="F631" i="23"/>
  <c r="F651" i="23"/>
  <c r="F671" i="23"/>
  <c r="F691" i="23"/>
  <c r="F711" i="23"/>
  <c r="F731" i="23"/>
  <c r="F751" i="23"/>
  <c r="F771" i="23"/>
  <c r="F136" i="23"/>
  <c r="F232" i="23"/>
  <c r="F292" i="23"/>
  <c r="F792" i="23"/>
  <c r="F208" i="23"/>
  <c r="F1013" i="23"/>
  <c r="F1053" i="23"/>
  <c r="F1093" i="23"/>
  <c r="F1153" i="23"/>
  <c r="F1213" i="23"/>
  <c r="F104" i="23"/>
  <c r="F974" i="23"/>
  <c r="F1254" i="23"/>
  <c r="F1294" i="23"/>
  <c r="F1354" i="23"/>
  <c r="F1414" i="23"/>
  <c r="F32" i="23"/>
  <c r="F355" i="23"/>
  <c r="F375" i="23"/>
  <c r="F395" i="23"/>
  <c r="F415" i="23"/>
  <c r="F435" i="23"/>
  <c r="F455" i="23"/>
  <c r="F475" i="23"/>
  <c r="F495" i="23"/>
  <c r="F515" i="23"/>
  <c r="F535" i="23"/>
  <c r="F555" i="23"/>
  <c r="F575" i="23"/>
  <c r="F595" i="23"/>
  <c r="F615" i="23"/>
  <c r="F635" i="23"/>
  <c r="F655" i="23"/>
  <c r="F675" i="23"/>
  <c r="F695" i="23"/>
  <c r="F715" i="23"/>
  <c r="F735" i="23"/>
  <c r="F755" i="23"/>
  <c r="F775" i="23"/>
  <c r="F935" i="23"/>
  <c r="F1275" i="23"/>
  <c r="F256" i="23"/>
  <c r="F316" i="23"/>
  <c r="F816" i="23"/>
  <c r="F1037" i="23"/>
  <c r="F1077" i="23"/>
  <c r="F1117" i="23"/>
  <c r="F1177" i="23"/>
  <c r="F1237" i="23"/>
  <c r="F184" i="23"/>
  <c r="F998" i="23"/>
  <c r="F1318" i="23"/>
  <c r="F1378" i="23"/>
  <c r="F359" i="23"/>
  <c r="F379" i="23"/>
  <c r="F399" i="23"/>
  <c r="F419" i="23"/>
  <c r="F439" i="23"/>
  <c r="F459" i="23"/>
  <c r="F479" i="23"/>
  <c r="F499" i="23"/>
  <c r="F519" i="23"/>
  <c r="F539" i="23"/>
  <c r="F559" i="23"/>
  <c r="F579" i="23"/>
  <c r="F599" i="23"/>
  <c r="F619" i="23"/>
  <c r="F639" i="23"/>
  <c r="F659" i="23"/>
  <c r="F679" i="23"/>
  <c r="F699" i="23"/>
  <c r="F719" i="23"/>
  <c r="F739" i="23"/>
  <c r="F759" i="23"/>
  <c r="F779" i="23"/>
  <c r="F116" i="23"/>
  <c r="F1141" i="23"/>
  <c r="F1201" i="23"/>
  <c r="F44" i="23"/>
  <c r="F220" i="23"/>
  <c r="F1282" i="23"/>
  <c r="F1342" i="23"/>
  <c r="F280" i="23"/>
  <c r="F403" i="23"/>
  <c r="F527" i="23"/>
  <c r="F603" i="23"/>
  <c r="F727" i="23"/>
  <c r="G8" i="2"/>
  <c r="F447" i="23"/>
  <c r="F1261" i="23"/>
  <c r="F340" i="23"/>
  <c r="F1189" i="23"/>
  <c r="I17" i="6"/>
  <c r="F1438" i="23"/>
  <c r="F387" i="23"/>
  <c r="F467" i="23"/>
  <c r="F543" i="23"/>
  <c r="F667" i="23"/>
  <c r="F743" i="23"/>
  <c r="F804" i="23"/>
  <c r="F1065" i="23"/>
  <c r="F1306" i="23"/>
  <c r="F647" i="23"/>
  <c r="F463" i="23"/>
  <c r="F1366" i="23"/>
  <c r="H8" i="2"/>
  <c r="Q17" i="39" s="1"/>
  <c r="F407" i="23"/>
  <c r="F483" i="23"/>
  <c r="F607" i="23"/>
  <c r="F683" i="23"/>
  <c r="F1025" i="23"/>
  <c r="F523" i="23"/>
  <c r="F244" i="23"/>
  <c r="F347" i="23"/>
  <c r="F423" i="23"/>
  <c r="F547" i="23"/>
  <c r="F623" i="23"/>
  <c r="F747" i="23"/>
  <c r="F723" i="23"/>
  <c r="F587" i="23"/>
  <c r="F1105" i="23"/>
  <c r="F1426" i="23"/>
  <c r="F92" i="23"/>
  <c r="F304" i="23"/>
  <c r="F363" i="23"/>
  <c r="F487" i="23"/>
  <c r="F563" i="23"/>
  <c r="F687" i="23"/>
  <c r="F763" i="23"/>
  <c r="F1165" i="23"/>
  <c r="F1450" i="23"/>
  <c r="F986" i="23"/>
  <c r="F427" i="23"/>
  <c r="F503" i="23"/>
  <c r="F627" i="23"/>
  <c r="F703" i="23"/>
  <c r="F959" i="23"/>
  <c r="F1225" i="23"/>
  <c r="F663" i="23"/>
  <c r="F196" i="23"/>
  <c r="F367" i="23"/>
  <c r="F443" i="23"/>
  <c r="F567" i="23"/>
  <c r="F643" i="23"/>
  <c r="F767" i="23"/>
  <c r="F947" i="23"/>
  <c r="F1129" i="23"/>
  <c r="F840" i="23"/>
  <c r="F383" i="23"/>
  <c r="F507" i="23"/>
  <c r="F583" i="23"/>
  <c r="F707" i="23"/>
  <c r="F783" i="23"/>
  <c r="F1402" i="23"/>
  <c r="L52" i="46"/>
  <c r="K52" i="46"/>
  <c r="H15" i="6"/>
  <c r="H11" i="45"/>
  <c r="H11" i="47"/>
  <c r="H12" i="45"/>
  <c r="H23" i="47"/>
  <c r="H20" i="47"/>
  <c r="H16" i="10"/>
  <c r="H17" i="10" s="1"/>
  <c r="P25" i="39"/>
  <c r="M52" i="46"/>
  <c r="H21" i="47"/>
  <c r="H24" i="47"/>
  <c r="H8" i="47"/>
  <c r="P26" i="39"/>
  <c r="H9" i="47"/>
  <c r="H10" i="47"/>
  <c r="H16" i="6"/>
  <c r="H12" i="47"/>
  <c r="O13" i="39"/>
  <c r="O5" i="39"/>
  <c r="C9" i="2"/>
  <c r="I10" i="45" s="1"/>
  <c r="H22" i="47"/>
  <c r="Q26" i="39"/>
  <c r="N52" i="46"/>
  <c r="M53" i="46"/>
  <c r="C30" i="49"/>
  <c r="D30" i="49" s="1"/>
  <c r="E30" i="49" s="1"/>
  <c r="I15" i="6"/>
  <c r="I14" i="6"/>
  <c r="I14" i="10"/>
  <c r="Q11" i="39"/>
  <c r="O11" i="39"/>
  <c r="N11" i="39"/>
  <c r="S11" i="39"/>
  <c r="R11" i="39"/>
  <c r="P11" i="39"/>
  <c r="V11" i="39"/>
  <c r="U11" i="39"/>
  <c r="M11" i="39"/>
  <c r="T11" i="39"/>
  <c r="L11" i="39"/>
  <c r="K11" i="39"/>
  <c r="SZ28" i="17"/>
  <c r="SZ29" i="17" s="1"/>
  <c r="TL28" i="17"/>
  <c r="TL29" i="17" s="1"/>
  <c r="TP28" i="17"/>
  <c r="TP29" i="17" s="1"/>
  <c r="SY29" i="17"/>
  <c r="TH28" i="17"/>
  <c r="TH29" i="17" s="1"/>
  <c r="TD28" i="17"/>
  <c r="TD29" i="17" s="1"/>
  <c r="H1" i="14"/>
  <c r="H1" i="11"/>
  <c r="H7" i="11" s="1"/>
  <c r="H8" i="11" s="1"/>
  <c r="E1" i="14"/>
  <c r="E1" i="11"/>
  <c r="E7" i="11" s="1"/>
  <c r="E8" i="11" s="1"/>
  <c r="L1" i="14"/>
  <c r="L1" i="11"/>
  <c r="L7" i="11" s="1"/>
  <c r="D1" i="14"/>
  <c r="D1" i="11"/>
  <c r="D7" i="11" s="1"/>
  <c r="D8" i="11" s="1"/>
  <c r="G1" i="14"/>
  <c r="G1" i="11"/>
  <c r="G7" i="11" s="1"/>
  <c r="G8" i="11" s="1"/>
  <c r="F1" i="14"/>
  <c r="F1" i="11"/>
  <c r="F7" i="11" s="1"/>
  <c r="F8" i="11" s="1"/>
  <c r="K1" i="14"/>
  <c r="K1" i="11"/>
  <c r="K7" i="11" s="1"/>
  <c r="J1" i="14"/>
  <c r="J1" i="11"/>
  <c r="J7" i="11" s="1"/>
  <c r="N1" i="14"/>
  <c r="N1" i="11"/>
  <c r="N7" i="11" s="1"/>
  <c r="M1" i="14"/>
  <c r="M1" i="11"/>
  <c r="M7" i="11" s="1"/>
  <c r="C1" i="14"/>
  <c r="C7" i="14" s="1"/>
  <c r="C1" i="11"/>
  <c r="C7" i="11" s="1"/>
  <c r="I1" i="14"/>
  <c r="I1" i="11"/>
  <c r="I7" i="11" s="1"/>
  <c r="I8" i="11" s="1"/>
  <c r="AR110" i="1"/>
  <c r="O114" i="6"/>
  <c r="Q4" i="6" s="1"/>
  <c r="B6" i="6"/>
  <c r="M1" i="6"/>
  <c r="M7" i="6" s="1"/>
  <c r="M1" i="10"/>
  <c r="M7" i="10" s="1"/>
  <c r="D1" i="6"/>
  <c r="D7" i="6" s="1"/>
  <c r="D8" i="6" s="1"/>
  <c r="D1" i="10"/>
  <c r="D7" i="10" s="1"/>
  <c r="D8" i="10" s="1"/>
  <c r="E1" i="6"/>
  <c r="E7" i="6" s="1"/>
  <c r="E8" i="6" s="1"/>
  <c r="E1" i="10"/>
  <c r="E7" i="10" s="1"/>
  <c r="E8" i="10" s="1"/>
  <c r="C1" i="6"/>
  <c r="C7" i="6" s="1"/>
  <c r="C8" i="6" s="1"/>
  <c r="C1" i="10"/>
  <c r="C7" i="10" s="1"/>
  <c r="I1" i="10"/>
  <c r="I7" i="10" s="1"/>
  <c r="I8" i="10" s="1"/>
  <c r="I1" i="6"/>
  <c r="I7" i="6" s="1"/>
  <c r="I8" i="6" s="1"/>
  <c r="K1" i="6"/>
  <c r="K7" i="6" s="1"/>
  <c r="K1" i="10"/>
  <c r="K7" i="10" s="1"/>
  <c r="J1" i="10"/>
  <c r="J7" i="10" s="1"/>
  <c r="J1" i="6"/>
  <c r="J7" i="6" s="1"/>
  <c r="H1" i="10"/>
  <c r="H7" i="10" s="1"/>
  <c r="H8" i="10" s="1"/>
  <c r="H1" i="6"/>
  <c r="H7" i="6" s="1"/>
  <c r="H8" i="6" s="1"/>
  <c r="G1" i="10"/>
  <c r="G7" i="10" s="1"/>
  <c r="G8" i="10" s="1"/>
  <c r="G1" i="6"/>
  <c r="G7" i="6" s="1"/>
  <c r="G8" i="6" s="1"/>
  <c r="L1" i="6"/>
  <c r="L7" i="6" s="1"/>
  <c r="L1" i="10"/>
  <c r="L7" i="10" s="1"/>
  <c r="N1" i="6"/>
  <c r="N7" i="6" s="1"/>
  <c r="N1" i="10"/>
  <c r="N7" i="10" s="1"/>
  <c r="F1" i="6"/>
  <c r="F7" i="6" s="1"/>
  <c r="F8" i="6" s="1"/>
  <c r="F1" i="10"/>
  <c r="F7" i="10" s="1"/>
  <c r="F8" i="10" s="1"/>
  <c r="BM36" i="1"/>
  <c r="BM35" i="1"/>
  <c r="BM34" i="1"/>
  <c r="BM33" i="1"/>
  <c r="BM32" i="1"/>
  <c r="BM31" i="1"/>
  <c r="BM30" i="1"/>
  <c r="BM29" i="1"/>
  <c r="BM28" i="1"/>
  <c r="BM27" i="1"/>
  <c r="BM26" i="1"/>
  <c r="BM25" i="1"/>
  <c r="BM24" i="1"/>
  <c r="BM23" i="1"/>
  <c r="BM22" i="1"/>
  <c r="BM21" i="1"/>
  <c r="BM20" i="1"/>
  <c r="BM19" i="1"/>
  <c r="BM18" i="1"/>
  <c r="BM17" i="1"/>
  <c r="BM16" i="1"/>
  <c r="BM15" i="1"/>
  <c r="BM14" i="1"/>
  <c r="BM13" i="1"/>
  <c r="BM12" i="1"/>
  <c r="BM11" i="1"/>
  <c r="BM10" i="1"/>
  <c r="BM37" i="1"/>
  <c r="BL36" i="1"/>
  <c r="BL35" i="1"/>
  <c r="BL34" i="1"/>
  <c r="BL33" i="1"/>
  <c r="BL32" i="1"/>
  <c r="BL31" i="1"/>
  <c r="BL30" i="1"/>
  <c r="BL29" i="1"/>
  <c r="BL28" i="1"/>
  <c r="BL27" i="1"/>
  <c r="BL26" i="1"/>
  <c r="BL25" i="1"/>
  <c r="BL24" i="1"/>
  <c r="BL23" i="1"/>
  <c r="BL22" i="1"/>
  <c r="BL21" i="1"/>
  <c r="BL20" i="1"/>
  <c r="BL19" i="1"/>
  <c r="BL18" i="1"/>
  <c r="BL17" i="1"/>
  <c r="BL16" i="1"/>
  <c r="BL15" i="1"/>
  <c r="BL14" i="1"/>
  <c r="BL13" i="1"/>
  <c r="BL12" i="1"/>
  <c r="BL11" i="1"/>
  <c r="BL10" i="1"/>
  <c r="BL37" i="1"/>
  <c r="BK36" i="1"/>
  <c r="BK35" i="1"/>
  <c r="BK34" i="1"/>
  <c r="BK33" i="1"/>
  <c r="BK32" i="1"/>
  <c r="BK31" i="1"/>
  <c r="BK30" i="1"/>
  <c r="BK29" i="1"/>
  <c r="BK28" i="1"/>
  <c r="BK27" i="1"/>
  <c r="BK26" i="1"/>
  <c r="BK25" i="1"/>
  <c r="BK24" i="1"/>
  <c r="BK23" i="1"/>
  <c r="BK22" i="1"/>
  <c r="BK21" i="1"/>
  <c r="BK20" i="1"/>
  <c r="BK19" i="1"/>
  <c r="BK18" i="1"/>
  <c r="BK17" i="1"/>
  <c r="BK16" i="1"/>
  <c r="BK15" i="1"/>
  <c r="BK14" i="1"/>
  <c r="BK13" i="1"/>
  <c r="BK12" i="1"/>
  <c r="BK11" i="1"/>
  <c r="BK10" i="1"/>
  <c r="BK37" i="1"/>
  <c r="BJ36" i="1"/>
  <c r="BJ35" i="1"/>
  <c r="BJ34" i="1"/>
  <c r="BJ33" i="1"/>
  <c r="BJ32" i="1"/>
  <c r="BJ31" i="1"/>
  <c r="BJ30" i="1"/>
  <c r="BJ29" i="1"/>
  <c r="BJ28" i="1"/>
  <c r="BJ27" i="1"/>
  <c r="BJ26" i="1"/>
  <c r="BJ25" i="1"/>
  <c r="BJ24" i="1"/>
  <c r="BJ23" i="1"/>
  <c r="BJ22" i="1"/>
  <c r="BJ21" i="1"/>
  <c r="BJ20" i="1"/>
  <c r="BJ19" i="1"/>
  <c r="BJ18" i="1"/>
  <c r="BJ17" i="1"/>
  <c r="BJ16" i="1"/>
  <c r="BJ15" i="1"/>
  <c r="BJ14" i="1"/>
  <c r="BJ13" i="1"/>
  <c r="BJ12" i="1"/>
  <c r="BJ11" i="1"/>
  <c r="BJ10" i="1"/>
  <c r="BJ37" i="1"/>
  <c r="BI36" i="1"/>
  <c r="BI35" i="1"/>
  <c r="BI34" i="1"/>
  <c r="BI33" i="1"/>
  <c r="BI32" i="1"/>
  <c r="BI31" i="1"/>
  <c r="BI30" i="1"/>
  <c r="BI29" i="1"/>
  <c r="BI28" i="1"/>
  <c r="BI27" i="1"/>
  <c r="BI26" i="1"/>
  <c r="BI25" i="1"/>
  <c r="BI24" i="1"/>
  <c r="BI23" i="1"/>
  <c r="BI22" i="1"/>
  <c r="BI21" i="1"/>
  <c r="BI20" i="1"/>
  <c r="BI19" i="1"/>
  <c r="BI18" i="1"/>
  <c r="BI17" i="1"/>
  <c r="BI16" i="1"/>
  <c r="BI15" i="1"/>
  <c r="BI14" i="1"/>
  <c r="BI13" i="1"/>
  <c r="BI12" i="1"/>
  <c r="BI11" i="1"/>
  <c r="BI10" i="1"/>
  <c r="BI37" i="1"/>
  <c r="BH37" i="1"/>
  <c r="BH36" i="1"/>
  <c r="BH35" i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N19" i="1" s="1"/>
  <c r="BH18" i="1"/>
  <c r="BH17" i="1"/>
  <c r="BH16" i="1"/>
  <c r="BH15" i="1"/>
  <c r="BH14" i="1"/>
  <c r="BH13" i="1"/>
  <c r="BH12" i="1"/>
  <c r="BH11" i="1"/>
  <c r="BH10" i="1"/>
  <c r="BG37" i="1"/>
  <c r="BG36" i="1"/>
  <c r="BG35" i="1"/>
  <c r="BG34" i="1"/>
  <c r="BG33" i="1"/>
  <c r="BG32" i="1"/>
  <c r="BG31" i="1"/>
  <c r="BG30" i="1"/>
  <c r="BG29" i="1"/>
  <c r="BG28" i="1"/>
  <c r="BG27" i="1"/>
  <c r="BG26" i="1"/>
  <c r="BG25" i="1"/>
  <c r="BG24" i="1"/>
  <c r="BG23" i="1"/>
  <c r="BG22" i="1"/>
  <c r="BG21" i="1"/>
  <c r="BG20" i="1"/>
  <c r="BG19" i="1"/>
  <c r="BG18" i="1"/>
  <c r="BG17" i="1"/>
  <c r="BG16" i="1"/>
  <c r="BG15" i="1"/>
  <c r="BG14" i="1"/>
  <c r="BG13" i="1"/>
  <c r="BG12" i="1"/>
  <c r="BG11" i="1"/>
  <c r="BG10" i="1"/>
  <c r="BF37" i="1"/>
  <c r="BF36" i="1"/>
  <c r="BF35" i="1"/>
  <c r="BF34" i="1"/>
  <c r="BF33" i="1"/>
  <c r="BF32" i="1"/>
  <c r="BF31" i="1"/>
  <c r="BF30" i="1"/>
  <c r="BF29" i="1"/>
  <c r="BF28" i="1"/>
  <c r="BF27" i="1"/>
  <c r="BF26" i="1"/>
  <c r="BF25" i="1"/>
  <c r="BF24" i="1"/>
  <c r="BF23" i="1"/>
  <c r="BF22" i="1"/>
  <c r="BF21" i="1"/>
  <c r="BF20" i="1"/>
  <c r="BF19" i="1"/>
  <c r="BF18" i="1"/>
  <c r="BF17" i="1"/>
  <c r="BF16" i="1"/>
  <c r="BF15" i="1"/>
  <c r="BF14" i="1"/>
  <c r="BF13" i="1"/>
  <c r="BF12" i="1"/>
  <c r="BF11" i="1"/>
  <c r="BF10" i="1"/>
  <c r="BD37" i="1"/>
  <c r="BD36" i="1"/>
  <c r="BD35" i="1"/>
  <c r="BD34" i="1"/>
  <c r="BD33" i="1"/>
  <c r="BD32" i="1"/>
  <c r="BD31" i="1"/>
  <c r="BD30" i="1"/>
  <c r="BD29" i="1"/>
  <c r="BD28" i="1"/>
  <c r="BD27" i="1"/>
  <c r="BD26" i="1"/>
  <c r="BD25" i="1"/>
  <c r="BD24" i="1"/>
  <c r="BD23" i="1"/>
  <c r="BD22" i="1"/>
  <c r="BD21" i="1"/>
  <c r="BD20" i="1"/>
  <c r="BD19" i="1"/>
  <c r="BD18" i="1"/>
  <c r="BD17" i="1"/>
  <c r="BD16" i="1"/>
  <c r="BD15" i="1"/>
  <c r="BD14" i="1"/>
  <c r="BD13" i="1"/>
  <c r="BD12" i="1"/>
  <c r="BD11" i="1"/>
  <c r="BD10" i="1"/>
  <c r="AX37" i="1"/>
  <c r="AX36" i="1"/>
  <c r="AX35" i="1"/>
  <c r="AX34" i="1"/>
  <c r="AX33" i="1"/>
  <c r="AX30" i="1"/>
  <c r="AX32" i="1"/>
  <c r="AX31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W37" i="1"/>
  <c r="AW36" i="1"/>
  <c r="AW35" i="1"/>
  <c r="AW34" i="1"/>
  <c r="AW33" i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V37" i="1"/>
  <c r="AV36" i="1"/>
  <c r="AV35" i="1"/>
  <c r="AV34" i="1"/>
  <c r="AV33" i="1"/>
  <c r="AV32" i="1"/>
  <c r="AV31" i="1"/>
  <c r="AV30" i="1"/>
  <c r="AV29" i="1"/>
  <c r="AV28" i="1"/>
  <c r="AV27" i="1"/>
  <c r="AV26" i="1"/>
  <c r="AV25" i="1"/>
  <c r="AV24" i="1"/>
  <c r="AV23" i="1"/>
  <c r="AV22" i="1"/>
  <c r="AV21" i="1"/>
  <c r="AV20" i="1"/>
  <c r="AV19" i="1"/>
  <c r="AV18" i="1"/>
  <c r="AV17" i="1"/>
  <c r="AV16" i="1"/>
  <c r="AV15" i="1"/>
  <c r="AV14" i="1"/>
  <c r="AV13" i="1"/>
  <c r="AV12" i="1"/>
  <c r="AV11" i="1"/>
  <c r="AV10" i="1"/>
  <c r="AS35" i="1"/>
  <c r="AS34" i="1"/>
  <c r="AS28" i="1"/>
  <c r="AS26" i="1"/>
  <c r="AS25" i="1"/>
  <c r="AS12" i="1"/>
  <c r="AS11" i="1"/>
  <c r="AS10" i="1"/>
  <c r="AS36" i="1"/>
  <c r="AS32" i="1"/>
  <c r="AS30" i="1"/>
  <c r="AS24" i="1"/>
  <c r="AS23" i="1"/>
  <c r="AS22" i="1"/>
  <c r="AS20" i="1"/>
  <c r="AS18" i="1"/>
  <c r="AS17" i="1"/>
  <c r="AS13" i="1"/>
  <c r="AS29" i="1"/>
  <c r="AS14" i="1"/>
  <c r="AS37" i="1"/>
  <c r="AS33" i="1"/>
  <c r="AS31" i="1"/>
  <c r="AS27" i="1"/>
  <c r="AS21" i="1"/>
  <c r="AS16" i="1"/>
  <c r="AS15" i="1"/>
  <c r="AQ36" i="1"/>
  <c r="AQ32" i="1"/>
  <c r="AQ30" i="1"/>
  <c r="AQ24" i="1"/>
  <c r="AQ23" i="1"/>
  <c r="AQ22" i="1"/>
  <c r="AQ20" i="1"/>
  <c r="AQ18" i="1"/>
  <c r="AQ17" i="1"/>
  <c r="AQ13" i="1"/>
  <c r="AQ29" i="1"/>
  <c r="AQ14" i="1"/>
  <c r="AQ37" i="1"/>
  <c r="AQ33" i="1"/>
  <c r="AQ31" i="1"/>
  <c r="AQ27" i="1"/>
  <c r="AQ21" i="1"/>
  <c r="AQ16" i="1"/>
  <c r="AQ15" i="1"/>
  <c r="AQ35" i="1"/>
  <c r="AQ34" i="1"/>
  <c r="AQ28" i="1"/>
  <c r="AQ26" i="1"/>
  <c r="AQ25" i="1"/>
  <c r="AQ12" i="1"/>
  <c r="AQ11" i="1"/>
  <c r="AQ10" i="1"/>
  <c r="I12" i="45" l="1"/>
  <c r="J8" i="6"/>
  <c r="I9" i="47"/>
  <c r="I16" i="10"/>
  <c r="I17" i="10" s="1"/>
  <c r="I16" i="6"/>
  <c r="Q25" i="39"/>
  <c r="I11" i="47"/>
  <c r="K53" i="46"/>
  <c r="F21" i="23"/>
  <c r="F81" i="23"/>
  <c r="F161" i="23"/>
  <c r="F33" i="23"/>
  <c r="F93" i="23"/>
  <c r="F173" i="23"/>
  <c r="F348" i="23"/>
  <c r="F368" i="23"/>
  <c r="F388" i="23"/>
  <c r="F408" i="23"/>
  <c r="F428" i="23"/>
  <c r="F448" i="23"/>
  <c r="F468" i="23"/>
  <c r="F488" i="23"/>
  <c r="F508" i="23"/>
  <c r="F528" i="23"/>
  <c r="F548" i="23"/>
  <c r="F568" i="23"/>
  <c r="F588" i="23"/>
  <c r="F608" i="23"/>
  <c r="F628" i="23"/>
  <c r="F648" i="23"/>
  <c r="F668" i="23"/>
  <c r="F688" i="23"/>
  <c r="F708" i="23"/>
  <c r="F728" i="23"/>
  <c r="F748" i="23"/>
  <c r="F768" i="23"/>
  <c r="F948" i="23"/>
  <c r="F269" i="23"/>
  <c r="F329" i="23"/>
  <c r="F829" i="23"/>
  <c r="F57" i="23"/>
  <c r="F1130" i="23"/>
  <c r="F1190" i="23"/>
  <c r="F1331" i="23"/>
  <c r="F1391" i="23"/>
  <c r="F1451" i="23"/>
  <c r="F352" i="23"/>
  <c r="F372" i="23"/>
  <c r="F392" i="23"/>
  <c r="F412" i="23"/>
  <c r="F432" i="23"/>
  <c r="F452" i="23"/>
  <c r="F472" i="23"/>
  <c r="F492" i="23"/>
  <c r="F512" i="23"/>
  <c r="F532" i="23"/>
  <c r="F552" i="23"/>
  <c r="F572" i="23"/>
  <c r="F592" i="23"/>
  <c r="F612" i="23"/>
  <c r="F632" i="23"/>
  <c r="F652" i="23"/>
  <c r="F672" i="23"/>
  <c r="F692" i="23"/>
  <c r="F712" i="23"/>
  <c r="F732" i="23"/>
  <c r="F752" i="23"/>
  <c r="F772" i="23"/>
  <c r="F137" i="23"/>
  <c r="F233" i="23"/>
  <c r="F293" i="23"/>
  <c r="F793" i="23"/>
  <c r="F209" i="23"/>
  <c r="F1014" i="23"/>
  <c r="F1054" i="23"/>
  <c r="F1094" i="23"/>
  <c r="F1154" i="23"/>
  <c r="F1214" i="23"/>
  <c r="F69" i="23"/>
  <c r="F105" i="23"/>
  <c r="F975" i="23"/>
  <c r="F1255" i="23"/>
  <c r="F1295" i="23"/>
  <c r="F1355" i="23"/>
  <c r="F1415" i="23"/>
  <c r="F356" i="23"/>
  <c r="F376" i="23"/>
  <c r="F396" i="23"/>
  <c r="F416" i="23"/>
  <c r="F436" i="23"/>
  <c r="F456" i="23"/>
  <c r="F476" i="23"/>
  <c r="F496" i="23"/>
  <c r="F516" i="23"/>
  <c r="F536" i="23"/>
  <c r="F556" i="23"/>
  <c r="F576" i="23"/>
  <c r="F596" i="23"/>
  <c r="F616" i="23"/>
  <c r="F636" i="23"/>
  <c r="F656" i="23"/>
  <c r="F676" i="23"/>
  <c r="F696" i="23"/>
  <c r="F716" i="23"/>
  <c r="F736" i="23"/>
  <c r="F756" i="23"/>
  <c r="F776" i="23"/>
  <c r="F936" i="23"/>
  <c r="F257" i="23"/>
  <c r="F317" i="23"/>
  <c r="F817" i="23"/>
  <c r="F149" i="23"/>
  <c r="F1038" i="23"/>
  <c r="F1078" i="23"/>
  <c r="F1118" i="23"/>
  <c r="F1178" i="23"/>
  <c r="F1238" i="23"/>
  <c r="F185" i="23"/>
  <c r="F281" i="23"/>
  <c r="F341" i="23"/>
  <c r="F841" i="23"/>
  <c r="F117" i="23"/>
  <c r="F1142" i="23"/>
  <c r="F1202" i="23"/>
  <c r="F400" i="23"/>
  <c r="F464" i="23"/>
  <c r="F600" i="23"/>
  <c r="F664" i="23"/>
  <c r="F1106" i="23"/>
  <c r="F1379" i="23"/>
  <c r="F720" i="23"/>
  <c r="F460" i="23"/>
  <c r="F404" i="23"/>
  <c r="F540" i="23"/>
  <c r="F604" i="23"/>
  <c r="F740" i="23"/>
  <c r="G9" i="2"/>
  <c r="F1427" i="23"/>
  <c r="F221" i="23"/>
  <c r="H9" i="2"/>
  <c r="R17" i="39" s="1"/>
  <c r="F1343" i="23"/>
  <c r="F480" i="23"/>
  <c r="F544" i="23"/>
  <c r="F680" i="23"/>
  <c r="F744" i="23"/>
  <c r="F805" i="23"/>
  <c r="F1066" i="23"/>
  <c r="F1269" i="23"/>
  <c r="F440" i="23"/>
  <c r="F784" i="23"/>
  <c r="F704" i="23"/>
  <c r="F1403" i="23"/>
  <c r="F45" i="23"/>
  <c r="F1367" i="23"/>
  <c r="F420" i="23"/>
  <c r="F484" i="23"/>
  <c r="F620" i="23"/>
  <c r="F684" i="23"/>
  <c r="F1307" i="23"/>
  <c r="F960" i="23"/>
  <c r="F1226" i="23"/>
  <c r="F1026" i="23"/>
  <c r="J17" i="6"/>
  <c r="F524" i="23"/>
  <c r="F245" i="23"/>
  <c r="F360" i="23"/>
  <c r="F424" i="23"/>
  <c r="F560" i="23"/>
  <c r="F624" i="23"/>
  <c r="F760" i="23"/>
  <c r="F1319" i="23"/>
  <c r="F640" i="23"/>
  <c r="F660" i="23"/>
  <c r="F9" i="23"/>
  <c r="F305" i="23"/>
  <c r="F364" i="23"/>
  <c r="F500" i="23"/>
  <c r="F564" i="23"/>
  <c r="F700" i="23"/>
  <c r="F764" i="23"/>
  <c r="F1083" i="23"/>
  <c r="F1166" i="23"/>
  <c r="F384" i="23"/>
  <c r="F724" i="23"/>
  <c r="F1439" i="23"/>
  <c r="F987" i="23"/>
  <c r="F1283" i="23"/>
  <c r="F504" i="23"/>
  <c r="F1043" i="23"/>
  <c r="F520" i="23"/>
  <c r="F197" i="23"/>
  <c r="F380" i="23"/>
  <c r="F444" i="23"/>
  <c r="F580" i="23"/>
  <c r="F644" i="23"/>
  <c r="F780" i="23"/>
  <c r="F999" i="23"/>
  <c r="F584" i="23"/>
  <c r="J8" i="11"/>
  <c r="I15" i="10"/>
  <c r="P9" i="39"/>
  <c r="P5" i="39"/>
  <c r="P13" i="39"/>
  <c r="J8" i="10"/>
  <c r="C10" i="2"/>
  <c r="I23" i="47"/>
  <c r="I11" i="45"/>
  <c r="I10" i="47"/>
  <c r="I20" i="47"/>
  <c r="I24" i="47"/>
  <c r="I22" i="47"/>
  <c r="I8" i="47"/>
  <c r="I8" i="45"/>
  <c r="N53" i="46"/>
  <c r="I12" i="47"/>
  <c r="I9" i="45"/>
  <c r="I21" i="47"/>
  <c r="L53" i="46"/>
  <c r="J11" i="45"/>
  <c r="J12" i="45"/>
  <c r="M54" i="46"/>
  <c r="K54" i="46"/>
  <c r="N54" i="46"/>
  <c r="L54" i="46"/>
  <c r="C29" i="49"/>
  <c r="D29" i="49" s="1"/>
  <c r="E29" i="49" s="1"/>
  <c r="C31" i="49"/>
  <c r="D31" i="49" s="1"/>
  <c r="E31" i="49" s="1"/>
  <c r="C32" i="49"/>
  <c r="D32" i="49" s="1"/>
  <c r="E32" i="49" s="1"/>
  <c r="K8" i="10"/>
  <c r="J14" i="6"/>
  <c r="J10" i="45"/>
  <c r="J9" i="45"/>
  <c r="J8" i="45"/>
  <c r="J12" i="47"/>
  <c r="J24" i="47"/>
  <c r="J22" i="47"/>
  <c r="J9" i="47"/>
  <c r="J8" i="47"/>
  <c r="J23" i="47"/>
  <c r="J20" i="47"/>
  <c r="J10" i="47"/>
  <c r="J21" i="47"/>
  <c r="J11" i="47"/>
  <c r="Y15" i="37"/>
  <c r="W3" i="37"/>
  <c r="Y3" i="37"/>
  <c r="X7" i="37"/>
  <c r="X15" i="37"/>
  <c r="X3" i="37"/>
  <c r="Y11" i="37"/>
  <c r="X11" i="37"/>
  <c r="W7" i="37"/>
  <c r="Y7" i="37"/>
  <c r="W19" i="37"/>
  <c r="W11" i="37"/>
  <c r="X19" i="37"/>
  <c r="K8" i="6"/>
  <c r="TI28" i="17"/>
  <c r="TI29" i="17" s="1"/>
  <c r="TM28" i="17"/>
  <c r="TM29" i="17" s="1"/>
  <c r="TE28" i="17"/>
  <c r="TE29" i="17" s="1"/>
  <c r="TQ28" i="17"/>
  <c r="TQ29" i="17" s="1"/>
  <c r="TA28" i="17"/>
  <c r="Q5" i="6"/>
  <c r="R4" i="6"/>
  <c r="BQ19" i="1"/>
  <c r="BP19" i="1"/>
  <c r="C11" i="2"/>
  <c r="K8" i="11"/>
  <c r="C8" i="11"/>
  <c r="B7" i="11"/>
  <c r="C9" i="14"/>
  <c r="C10" i="14" s="1"/>
  <c r="C11" i="14"/>
  <c r="C12" i="14" s="1"/>
  <c r="C8" i="14"/>
  <c r="AW110" i="1"/>
  <c r="BO19" i="1"/>
  <c r="CI19" i="1"/>
  <c r="C8" i="10"/>
  <c r="B7" i="10"/>
  <c r="B7" i="6"/>
  <c r="AQ110" i="1"/>
  <c r="BK110" i="1"/>
  <c r="BM110" i="1"/>
  <c r="BL110" i="1"/>
  <c r="BJ110" i="1"/>
  <c r="BI110" i="1"/>
  <c r="BH110" i="1"/>
  <c r="BG110" i="1"/>
  <c r="BF110" i="1"/>
  <c r="BE110" i="1"/>
  <c r="BD110" i="1"/>
  <c r="BB110" i="1"/>
  <c r="AY110" i="1"/>
  <c r="AX110" i="1"/>
  <c r="AU110" i="1"/>
  <c r="AV110" i="1"/>
  <c r="AS110" i="1"/>
  <c r="AT110" i="1"/>
  <c r="AP36" i="1"/>
  <c r="AP32" i="1"/>
  <c r="AP30" i="1"/>
  <c r="AP24" i="1"/>
  <c r="AP23" i="1"/>
  <c r="AP22" i="1"/>
  <c r="AP20" i="1"/>
  <c r="AP18" i="1"/>
  <c r="AP17" i="1"/>
  <c r="AP13" i="1"/>
  <c r="AP29" i="1"/>
  <c r="AP14" i="1"/>
  <c r="AP37" i="1"/>
  <c r="AP33" i="1"/>
  <c r="AP31" i="1"/>
  <c r="AP27" i="1"/>
  <c r="AP21" i="1"/>
  <c r="AP16" i="1"/>
  <c r="AP15" i="1"/>
  <c r="AP35" i="1"/>
  <c r="AP34" i="1"/>
  <c r="AP28" i="1"/>
  <c r="AP26" i="1"/>
  <c r="AP25" i="1"/>
  <c r="AP12" i="1"/>
  <c r="AP11" i="1"/>
  <c r="AP10" i="1"/>
  <c r="AO18" i="1"/>
  <c r="AO17" i="1"/>
  <c r="AO13" i="1"/>
  <c r="AO36" i="1"/>
  <c r="AO32" i="1"/>
  <c r="AO30" i="1"/>
  <c r="AO24" i="1"/>
  <c r="AO23" i="1"/>
  <c r="AO22" i="1"/>
  <c r="AO20" i="1"/>
  <c r="J16" i="10" l="1"/>
  <c r="J17" i="10" s="1"/>
  <c r="J16" i="6"/>
  <c r="R25" i="39"/>
  <c r="R26" i="39"/>
  <c r="J15" i="10"/>
  <c r="J14" i="10"/>
  <c r="F59" i="23"/>
  <c r="F119" i="23"/>
  <c r="F139" i="23"/>
  <c r="F199" i="23"/>
  <c r="F23" i="23"/>
  <c r="F83" i="23"/>
  <c r="F163" i="23"/>
  <c r="F47" i="23"/>
  <c r="F107" i="23"/>
  <c r="F187" i="23"/>
  <c r="F11" i="23"/>
  <c r="F71" i="23"/>
  <c r="F151" i="23"/>
  <c r="F211" i="23"/>
  <c r="F1028" i="23"/>
  <c r="F1068" i="23"/>
  <c r="F1108" i="23"/>
  <c r="F1168" i="23"/>
  <c r="F1228" i="23"/>
  <c r="F95" i="23"/>
  <c r="F349" i="23"/>
  <c r="F369" i="23"/>
  <c r="F389" i="23"/>
  <c r="F409" i="23"/>
  <c r="F429" i="23"/>
  <c r="F449" i="23"/>
  <c r="F469" i="23"/>
  <c r="F489" i="23"/>
  <c r="F509" i="23"/>
  <c r="F529" i="23"/>
  <c r="F549" i="23"/>
  <c r="F569" i="23"/>
  <c r="F589" i="23"/>
  <c r="F609" i="23"/>
  <c r="F629" i="23"/>
  <c r="F649" i="23"/>
  <c r="F669" i="23"/>
  <c r="F689" i="23"/>
  <c r="F709" i="23"/>
  <c r="F729" i="23"/>
  <c r="F749" i="23"/>
  <c r="F769" i="23"/>
  <c r="F950" i="23"/>
  <c r="F271" i="23"/>
  <c r="F331" i="23"/>
  <c r="F831" i="23"/>
  <c r="F851" i="23"/>
  <c r="F871" i="23"/>
  <c r="F891" i="23"/>
  <c r="F911" i="23"/>
  <c r="F175" i="23"/>
  <c r="F353" i="23"/>
  <c r="F373" i="23"/>
  <c r="F393" i="23"/>
  <c r="F413" i="23"/>
  <c r="F433" i="23"/>
  <c r="F453" i="23"/>
  <c r="F473" i="23"/>
  <c r="F493" i="23"/>
  <c r="F513" i="23"/>
  <c r="F533" i="23"/>
  <c r="F553" i="23"/>
  <c r="F573" i="23"/>
  <c r="F593" i="23"/>
  <c r="F613" i="23"/>
  <c r="F633" i="23"/>
  <c r="F653" i="23"/>
  <c r="F673" i="23"/>
  <c r="F693" i="23"/>
  <c r="F713" i="23"/>
  <c r="F733" i="23"/>
  <c r="F753" i="23"/>
  <c r="F773" i="23"/>
  <c r="F1333" i="23"/>
  <c r="F1393" i="23"/>
  <c r="F235" i="23"/>
  <c r="F295" i="23"/>
  <c r="F795" i="23"/>
  <c r="F855" i="23"/>
  <c r="F875" i="23"/>
  <c r="F895" i="23"/>
  <c r="F915" i="23"/>
  <c r="F1016" i="23"/>
  <c r="F1056" i="23"/>
  <c r="F1096" i="23"/>
  <c r="F1156" i="23"/>
  <c r="F1216" i="23"/>
  <c r="F35" i="23"/>
  <c r="F357" i="23"/>
  <c r="F377" i="23"/>
  <c r="F397" i="23"/>
  <c r="F417" i="23"/>
  <c r="F437" i="23"/>
  <c r="F457" i="23"/>
  <c r="F477" i="23"/>
  <c r="F497" i="23"/>
  <c r="F517" i="23"/>
  <c r="F537" i="23"/>
  <c r="F557" i="23"/>
  <c r="F577" i="23"/>
  <c r="F597" i="23"/>
  <c r="F617" i="23"/>
  <c r="F637" i="23"/>
  <c r="F657" i="23"/>
  <c r="F677" i="23"/>
  <c r="F697" i="23"/>
  <c r="F717" i="23"/>
  <c r="F737" i="23"/>
  <c r="F757" i="23"/>
  <c r="F777" i="23"/>
  <c r="F977" i="23"/>
  <c r="F1297" i="23"/>
  <c r="F1357" i="23"/>
  <c r="F1417" i="23"/>
  <c r="F938" i="23"/>
  <c r="F259" i="23"/>
  <c r="F319" i="23"/>
  <c r="F819" i="23"/>
  <c r="F859" i="23"/>
  <c r="F879" i="23"/>
  <c r="F899" i="23"/>
  <c r="F919" i="23"/>
  <c r="F361" i="23"/>
  <c r="F381" i="23"/>
  <c r="F401" i="23"/>
  <c r="F421" i="23"/>
  <c r="F441" i="23"/>
  <c r="F461" i="23"/>
  <c r="F481" i="23"/>
  <c r="F501" i="23"/>
  <c r="F521" i="23"/>
  <c r="F541" i="23"/>
  <c r="F561" i="23"/>
  <c r="F581" i="23"/>
  <c r="F601" i="23"/>
  <c r="F621" i="23"/>
  <c r="F641" i="23"/>
  <c r="F661" i="23"/>
  <c r="F681" i="23"/>
  <c r="F701" i="23"/>
  <c r="F721" i="23"/>
  <c r="F741" i="23"/>
  <c r="F761" i="23"/>
  <c r="F781" i="23"/>
  <c r="F1001" i="23"/>
  <c r="F962" i="23"/>
  <c r="F223" i="23"/>
  <c r="F283" i="23"/>
  <c r="F465" i="23"/>
  <c r="F665" i="23"/>
  <c r="F847" i="23"/>
  <c r="F923" i="23"/>
  <c r="F966" i="23"/>
  <c r="F1441" i="23"/>
  <c r="H11" i="2"/>
  <c r="T17" i="39" s="1"/>
  <c r="F525" i="23"/>
  <c r="F1369" i="23"/>
  <c r="F1381" i="23"/>
  <c r="F385" i="23"/>
  <c r="F1005" i="23"/>
  <c r="F343" i="23"/>
  <c r="F405" i="23"/>
  <c r="F605" i="23"/>
  <c r="F863" i="23"/>
  <c r="F1192" i="23"/>
  <c r="G11" i="2"/>
  <c r="F1240" i="23"/>
  <c r="F1040" i="23"/>
  <c r="F785" i="23"/>
  <c r="F545" i="23"/>
  <c r="F745" i="23"/>
  <c r="F927" i="23"/>
  <c r="F1345" i="23"/>
  <c r="F1085" i="23"/>
  <c r="F843" i="23"/>
  <c r="F907" i="23"/>
  <c r="F807" i="23"/>
  <c r="L17" i="6"/>
  <c r="F485" i="23"/>
  <c r="F685" i="23"/>
  <c r="F867" i="23"/>
  <c r="F1120" i="23"/>
  <c r="F1309" i="23"/>
  <c r="F1405" i="23"/>
  <c r="F1204" i="23"/>
  <c r="F425" i="23"/>
  <c r="F625" i="23"/>
  <c r="F883" i="23"/>
  <c r="F1080" i="23"/>
  <c r="F1453" i="23"/>
  <c r="F307" i="23"/>
  <c r="F989" i="23"/>
  <c r="F247" i="23"/>
  <c r="F1180" i="23"/>
  <c r="F365" i="23"/>
  <c r="F565" i="23"/>
  <c r="F765" i="23"/>
  <c r="F1321" i="23"/>
  <c r="F1144" i="23"/>
  <c r="F505" i="23"/>
  <c r="F705" i="23"/>
  <c r="F887" i="23"/>
  <c r="F1285" i="23"/>
  <c r="F1429" i="23"/>
  <c r="F1132" i="23"/>
  <c r="F725" i="23"/>
  <c r="F445" i="23"/>
  <c r="F645" i="23"/>
  <c r="F903" i="23"/>
  <c r="F1045" i="23"/>
  <c r="F585" i="23"/>
  <c r="Q9" i="39"/>
  <c r="Q13" i="39"/>
  <c r="Q5" i="39"/>
  <c r="F46" i="23"/>
  <c r="F106" i="23"/>
  <c r="F186" i="23"/>
  <c r="F10" i="23"/>
  <c r="F70" i="23"/>
  <c r="F150" i="23"/>
  <c r="F210" i="23"/>
  <c r="F94" i="23"/>
  <c r="F198" i="23"/>
  <c r="F988" i="23"/>
  <c r="F1308" i="23"/>
  <c r="F1368" i="23"/>
  <c r="F1428" i="23"/>
  <c r="F22" i="23"/>
  <c r="F270" i="23"/>
  <c r="F330" i="23"/>
  <c r="F830" i="23"/>
  <c r="F850" i="23"/>
  <c r="F870" i="23"/>
  <c r="F890" i="23"/>
  <c r="F910" i="23"/>
  <c r="F58" i="23"/>
  <c r="F1131" i="23"/>
  <c r="F1191" i="23"/>
  <c r="K17" i="6"/>
  <c r="F174" i="23"/>
  <c r="F138" i="23"/>
  <c r="F234" i="23"/>
  <c r="F294" i="23"/>
  <c r="F794" i="23"/>
  <c r="F854" i="23"/>
  <c r="F874" i="23"/>
  <c r="F894" i="23"/>
  <c r="F914" i="23"/>
  <c r="F1015" i="23"/>
  <c r="F1055" i="23"/>
  <c r="F1095" i="23"/>
  <c r="F1155" i="23"/>
  <c r="F1215" i="23"/>
  <c r="F34" i="23"/>
  <c r="F976" i="23"/>
  <c r="F1296" i="23"/>
  <c r="F1356" i="23"/>
  <c r="F1416" i="23"/>
  <c r="F937" i="23"/>
  <c r="F258" i="23"/>
  <c r="F318" i="23"/>
  <c r="F818" i="23"/>
  <c r="F858" i="23"/>
  <c r="F878" i="23"/>
  <c r="F898" i="23"/>
  <c r="F918" i="23"/>
  <c r="F961" i="23"/>
  <c r="F82" i="23"/>
  <c r="F282" i="23"/>
  <c r="F342" i="23"/>
  <c r="F842" i="23"/>
  <c r="F862" i="23"/>
  <c r="F882" i="23"/>
  <c r="F902" i="23"/>
  <c r="F922" i="23"/>
  <c r="F1332" i="23"/>
  <c r="F1107" i="23"/>
  <c r="F1380" i="23"/>
  <c r="H10" i="2"/>
  <c r="F162" i="23"/>
  <c r="G10" i="2"/>
  <c r="F926" i="23"/>
  <c r="F1239" i="23"/>
  <c r="F1344" i="23"/>
  <c r="F1452" i="23"/>
  <c r="F806" i="23"/>
  <c r="F1067" i="23"/>
  <c r="F1284" i="23"/>
  <c r="F866" i="23"/>
  <c r="F1119" i="23"/>
  <c r="F1404" i="23"/>
  <c r="F1227" i="23"/>
  <c r="F1203" i="23"/>
  <c r="F1440" i="23"/>
  <c r="F1027" i="23"/>
  <c r="F1079" i="23"/>
  <c r="F886" i="23"/>
  <c r="F1143" i="23"/>
  <c r="F222" i="23"/>
  <c r="F846" i="23"/>
  <c r="F246" i="23"/>
  <c r="F1320" i="23"/>
  <c r="F1392" i="23"/>
  <c r="F306" i="23"/>
  <c r="F1039" i="23"/>
  <c r="F1084" i="23"/>
  <c r="F1167" i="23"/>
  <c r="F1004" i="23"/>
  <c r="F965" i="23"/>
  <c r="F118" i="23"/>
  <c r="F949" i="23"/>
  <c r="F1044" i="23"/>
  <c r="F1000" i="23"/>
  <c r="F1179" i="23"/>
  <c r="F906" i="23"/>
  <c r="J15" i="6"/>
  <c r="K11" i="45"/>
  <c r="K12" i="45"/>
  <c r="L55" i="46"/>
  <c r="K55" i="46"/>
  <c r="N55" i="46"/>
  <c r="M55" i="46"/>
  <c r="AC2" i="37"/>
  <c r="C28" i="49"/>
  <c r="D28" i="49" s="1"/>
  <c r="E28" i="49" s="1"/>
  <c r="AB11" i="37"/>
  <c r="AB15" i="37"/>
  <c r="AC4" i="37" s="1"/>
  <c r="AB19" i="37"/>
  <c r="AC3" i="37"/>
  <c r="AB3" i="37"/>
  <c r="AB7" i="37"/>
  <c r="T26" i="39"/>
  <c r="T25" i="39"/>
  <c r="K10" i="45"/>
  <c r="K9" i="45"/>
  <c r="K8" i="45"/>
  <c r="K23" i="47"/>
  <c r="K20" i="47"/>
  <c r="K21" i="47"/>
  <c r="K11" i="47"/>
  <c r="K12" i="47"/>
  <c r="K9" i="47"/>
  <c r="K10" i="47"/>
  <c r="K8" i="47"/>
  <c r="K22" i="47"/>
  <c r="K24" i="47"/>
  <c r="K14" i="10"/>
  <c r="K14" i="6"/>
  <c r="K15" i="10"/>
  <c r="K15" i="6"/>
  <c r="L8" i="11"/>
  <c r="TA29" i="17"/>
  <c r="C12" i="2"/>
  <c r="L8" i="6"/>
  <c r="L8" i="10"/>
  <c r="AP110" i="1"/>
  <c r="F60" i="23" l="1"/>
  <c r="F120" i="23"/>
  <c r="F140" i="23"/>
  <c r="F200" i="23"/>
  <c r="F48" i="23"/>
  <c r="F108" i="23"/>
  <c r="F248" i="23"/>
  <c r="F308" i="23"/>
  <c r="F808" i="23"/>
  <c r="F848" i="23"/>
  <c r="F868" i="23"/>
  <c r="F888" i="23"/>
  <c r="F908" i="23"/>
  <c r="F928" i="23"/>
  <c r="F96" i="23"/>
  <c r="F990" i="23"/>
  <c r="F1310" i="23"/>
  <c r="F1370" i="23"/>
  <c r="F24" i="23"/>
  <c r="F951" i="23"/>
  <c r="F272" i="23"/>
  <c r="F332" i="23"/>
  <c r="F832" i="23"/>
  <c r="F852" i="23"/>
  <c r="F872" i="23"/>
  <c r="F892" i="23"/>
  <c r="F912" i="23"/>
  <c r="F1133" i="23"/>
  <c r="F1193" i="23"/>
  <c r="F176" i="23"/>
  <c r="F1334" i="23"/>
  <c r="F1394" i="23"/>
  <c r="F1454" i="23"/>
  <c r="F212" i="23"/>
  <c r="F72" i="23"/>
  <c r="F236" i="23"/>
  <c r="F296" i="23"/>
  <c r="F796" i="23"/>
  <c r="F856" i="23"/>
  <c r="F876" i="23"/>
  <c r="F896" i="23"/>
  <c r="F916" i="23"/>
  <c r="F1017" i="23"/>
  <c r="F1057" i="23"/>
  <c r="F1097" i="23"/>
  <c r="F1157" i="23"/>
  <c r="F1217" i="23"/>
  <c r="F36" i="23"/>
  <c r="F978" i="23"/>
  <c r="F1298" i="23"/>
  <c r="F1358" i="23"/>
  <c r="F1418" i="23"/>
  <c r="F152" i="23"/>
  <c r="F939" i="23"/>
  <c r="F1041" i="23"/>
  <c r="F1081" i="23"/>
  <c r="F1121" i="23"/>
  <c r="F1181" i="23"/>
  <c r="F1002" i="23"/>
  <c r="F1322" i="23"/>
  <c r="F1382" i="23"/>
  <c r="F224" i="23"/>
  <c r="F1229" i="23"/>
  <c r="F284" i="23"/>
  <c r="F860" i="23"/>
  <c r="F924" i="23"/>
  <c r="F967" i="23"/>
  <c r="F1442" i="23"/>
  <c r="H12" i="2"/>
  <c r="U17" i="39" s="1"/>
  <c r="G12" i="2"/>
  <c r="F1006" i="23"/>
  <c r="F1109" i="23"/>
  <c r="F1430" i="23"/>
  <c r="F164" i="23"/>
  <c r="F344" i="23"/>
  <c r="F864" i="23"/>
  <c r="F1145" i="23"/>
  <c r="F84" i="23"/>
  <c r="M17" i="6"/>
  <c r="F1406" i="23"/>
  <c r="F1069" i="23"/>
  <c r="F1241" i="23"/>
  <c r="F1346" i="23"/>
  <c r="F1046" i="23"/>
  <c r="F963" i="23"/>
  <c r="F844" i="23"/>
  <c r="F188" i="23"/>
  <c r="F820" i="23"/>
  <c r="F880" i="23"/>
  <c r="F260" i="23"/>
  <c r="F1169" i="23"/>
  <c r="F904" i="23"/>
  <c r="F1029" i="23"/>
  <c r="F1205" i="23"/>
  <c r="F920" i="23"/>
  <c r="F884" i="23"/>
  <c r="F12" i="23"/>
  <c r="F1086" i="23"/>
  <c r="F1286" i="23"/>
  <c r="F320" i="23"/>
  <c r="F900" i="23"/>
  <c r="X16" i="37"/>
  <c r="X8" i="37"/>
  <c r="X12" i="37"/>
  <c r="X4" i="37"/>
  <c r="L16" i="10"/>
  <c r="L17" i="10" s="1"/>
  <c r="L16" i="6"/>
  <c r="T9" i="39"/>
  <c r="T5" i="39"/>
  <c r="T13" i="39"/>
  <c r="W16" i="37"/>
  <c r="W8" i="37"/>
  <c r="W12" i="37"/>
  <c r="W4" i="37"/>
  <c r="K16" i="10"/>
  <c r="K17" i="10" s="1"/>
  <c r="K16" i="6"/>
  <c r="S25" i="39"/>
  <c r="S17" i="39"/>
  <c r="S26" i="39"/>
  <c r="R9" i="39"/>
  <c r="R13" i="39"/>
  <c r="R5" i="39"/>
  <c r="L12" i="45"/>
  <c r="L11" i="45"/>
  <c r="L56" i="46"/>
  <c r="N56" i="46"/>
  <c r="K56" i="46"/>
  <c r="M56" i="46"/>
  <c r="L14" i="10"/>
  <c r="L14" i="6"/>
  <c r="U26" i="39"/>
  <c r="U25" i="39"/>
  <c r="L8" i="45"/>
  <c r="L9" i="45"/>
  <c r="L10" i="45"/>
  <c r="L21" i="47"/>
  <c r="L12" i="47"/>
  <c r="L24" i="47"/>
  <c r="L10" i="47"/>
  <c r="L22" i="47"/>
  <c r="L8" i="47"/>
  <c r="L20" i="47"/>
  <c r="L11" i="47"/>
  <c r="L9" i="47"/>
  <c r="L23" i="47"/>
  <c r="L15" i="10"/>
  <c r="L15" i="6"/>
  <c r="TB28" i="17"/>
  <c r="TN28" i="17"/>
  <c r="TN29" i="17" s="1"/>
  <c r="TJ28" i="17"/>
  <c r="TJ29" i="17" s="1"/>
  <c r="TR28" i="17"/>
  <c r="TR29" i="17" s="1"/>
  <c r="TF28" i="17"/>
  <c r="TF29" i="17" s="1"/>
  <c r="C13" i="2"/>
  <c r="M8" i="11"/>
  <c r="M8" i="6"/>
  <c r="M8" i="10"/>
  <c r="AO29" i="1"/>
  <c r="AO14" i="1"/>
  <c r="AO37" i="1"/>
  <c r="AO33" i="1"/>
  <c r="AO31" i="1"/>
  <c r="AO27" i="1"/>
  <c r="AO21" i="1"/>
  <c r="AO16" i="1"/>
  <c r="AO15" i="1"/>
  <c r="AO35" i="1"/>
  <c r="AO34" i="1"/>
  <c r="AO28" i="1"/>
  <c r="AO26" i="1"/>
  <c r="AO25" i="1"/>
  <c r="AO12" i="1"/>
  <c r="AO11" i="1"/>
  <c r="AO10" i="1"/>
  <c r="AN36" i="1"/>
  <c r="BN36" i="1" s="1"/>
  <c r="AN32" i="1"/>
  <c r="BN32" i="1" s="1"/>
  <c r="AN30" i="1"/>
  <c r="BN30" i="1" s="1"/>
  <c r="AN24" i="1"/>
  <c r="BN24" i="1" s="1"/>
  <c r="AN23" i="1"/>
  <c r="BN23" i="1" s="1"/>
  <c r="AN22" i="1"/>
  <c r="BN22" i="1" s="1"/>
  <c r="AN20" i="1"/>
  <c r="BN20" i="1" s="1"/>
  <c r="AN18" i="1"/>
  <c r="BN18" i="1" s="1"/>
  <c r="AN17" i="1"/>
  <c r="BN17" i="1" s="1"/>
  <c r="AN13" i="1"/>
  <c r="BN13" i="1" s="1"/>
  <c r="AN29" i="1"/>
  <c r="AN14" i="1"/>
  <c r="AN37" i="1"/>
  <c r="AN33" i="1"/>
  <c r="AN31" i="1"/>
  <c r="AN27" i="1"/>
  <c r="AN21" i="1"/>
  <c r="AN16" i="1"/>
  <c r="AN15" i="1"/>
  <c r="AN35" i="1"/>
  <c r="AN34" i="1"/>
  <c r="AN28" i="1"/>
  <c r="AN26" i="1"/>
  <c r="AN25" i="1"/>
  <c r="AN12" i="1"/>
  <c r="AN11" i="1"/>
  <c r="AN10" i="1"/>
  <c r="H110" i="1"/>
  <c r="CN113" i="1" s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O3" i="1"/>
  <c r="Q3" i="1" s="1"/>
  <c r="T3" i="1" s="1"/>
  <c r="V3" i="1" s="1"/>
  <c r="W3" i="1" s="1"/>
  <c r="X3" i="1" s="1"/>
  <c r="O4" i="1"/>
  <c r="Q4" i="1" s="1"/>
  <c r="T4" i="1" s="1"/>
  <c r="V4" i="1" s="1"/>
  <c r="W4" i="1" s="1"/>
  <c r="X4" i="1" s="1"/>
  <c r="O5" i="1"/>
  <c r="Q5" i="1" s="1"/>
  <c r="T5" i="1" s="1"/>
  <c r="V5" i="1" s="1"/>
  <c r="W5" i="1" s="1"/>
  <c r="X5" i="1" s="1"/>
  <c r="O6" i="1"/>
  <c r="Q6" i="1" s="1"/>
  <c r="T6" i="1" s="1"/>
  <c r="V6" i="1" s="1"/>
  <c r="W6" i="1" s="1"/>
  <c r="X6" i="1" s="1"/>
  <c r="O7" i="1"/>
  <c r="Q7" i="1" s="1"/>
  <c r="T7" i="1" s="1"/>
  <c r="V7" i="1" s="1"/>
  <c r="W7" i="1" s="1"/>
  <c r="X7" i="1" s="1"/>
  <c r="O8" i="1"/>
  <c r="Q8" i="1" s="1"/>
  <c r="T8" i="1" s="1"/>
  <c r="V8" i="1" s="1"/>
  <c r="W8" i="1" s="1"/>
  <c r="X8" i="1" s="1"/>
  <c r="O9" i="1"/>
  <c r="Q9" i="1" s="1"/>
  <c r="T9" i="1" s="1"/>
  <c r="V9" i="1" s="1"/>
  <c r="W9" i="1" s="1"/>
  <c r="X9" i="1" s="1"/>
  <c r="O10" i="1"/>
  <c r="Q10" i="1" s="1"/>
  <c r="T10" i="1" s="1"/>
  <c r="V10" i="1" s="1"/>
  <c r="W10" i="1" s="1"/>
  <c r="X10" i="1" s="1"/>
  <c r="O11" i="1"/>
  <c r="Q11" i="1" s="1"/>
  <c r="T11" i="1" s="1"/>
  <c r="V11" i="1" s="1"/>
  <c r="W11" i="1" s="1"/>
  <c r="X11" i="1" s="1"/>
  <c r="O12" i="1"/>
  <c r="Q12" i="1" s="1"/>
  <c r="T12" i="1" s="1"/>
  <c r="V12" i="1" s="1"/>
  <c r="W12" i="1" s="1"/>
  <c r="X12" i="1" s="1"/>
  <c r="O13" i="1"/>
  <c r="Q13" i="1" s="1"/>
  <c r="T13" i="1" s="1"/>
  <c r="V13" i="1" s="1"/>
  <c r="W13" i="1" s="1"/>
  <c r="X13" i="1" s="1"/>
  <c r="O14" i="1"/>
  <c r="Q14" i="1" s="1"/>
  <c r="T14" i="1" s="1"/>
  <c r="V14" i="1" s="1"/>
  <c r="W14" i="1" s="1"/>
  <c r="X14" i="1" s="1"/>
  <c r="O15" i="1"/>
  <c r="Q15" i="1" s="1"/>
  <c r="T15" i="1" s="1"/>
  <c r="V15" i="1" s="1"/>
  <c r="W15" i="1" s="1"/>
  <c r="X15" i="1" s="1"/>
  <c r="O16" i="1"/>
  <c r="Q16" i="1" s="1"/>
  <c r="T16" i="1" s="1"/>
  <c r="V16" i="1" s="1"/>
  <c r="W16" i="1" s="1"/>
  <c r="X16" i="1" s="1"/>
  <c r="O17" i="1"/>
  <c r="Q17" i="1" s="1"/>
  <c r="T17" i="1" s="1"/>
  <c r="V17" i="1" s="1"/>
  <c r="W17" i="1" s="1"/>
  <c r="X17" i="1" s="1"/>
  <c r="O18" i="1"/>
  <c r="Q18" i="1" s="1"/>
  <c r="T18" i="1" s="1"/>
  <c r="V18" i="1" s="1"/>
  <c r="W18" i="1" s="1"/>
  <c r="X18" i="1" s="1"/>
  <c r="O19" i="1"/>
  <c r="Q19" i="1" s="1"/>
  <c r="T19" i="1" s="1"/>
  <c r="V19" i="1" s="1"/>
  <c r="W19" i="1" s="1"/>
  <c r="X19" i="1" s="1"/>
  <c r="O20" i="1"/>
  <c r="Q20" i="1" s="1"/>
  <c r="T20" i="1" s="1"/>
  <c r="V20" i="1" s="1"/>
  <c r="W20" i="1" s="1"/>
  <c r="X20" i="1" s="1"/>
  <c r="O21" i="1"/>
  <c r="Q21" i="1" s="1"/>
  <c r="T21" i="1" s="1"/>
  <c r="V21" i="1" s="1"/>
  <c r="W21" i="1" s="1"/>
  <c r="X21" i="1" s="1"/>
  <c r="O22" i="1"/>
  <c r="Q22" i="1" s="1"/>
  <c r="T22" i="1" s="1"/>
  <c r="V22" i="1" s="1"/>
  <c r="W22" i="1" s="1"/>
  <c r="X22" i="1" s="1"/>
  <c r="O23" i="1"/>
  <c r="Q23" i="1" s="1"/>
  <c r="T23" i="1" s="1"/>
  <c r="V23" i="1" s="1"/>
  <c r="W23" i="1" s="1"/>
  <c r="X23" i="1" s="1"/>
  <c r="O24" i="1"/>
  <c r="Q24" i="1" s="1"/>
  <c r="T24" i="1" s="1"/>
  <c r="V24" i="1" s="1"/>
  <c r="W24" i="1" s="1"/>
  <c r="X24" i="1" s="1"/>
  <c r="O25" i="1"/>
  <c r="Q25" i="1" s="1"/>
  <c r="T25" i="1" s="1"/>
  <c r="V25" i="1" s="1"/>
  <c r="W25" i="1" s="1"/>
  <c r="X25" i="1" s="1"/>
  <c r="O26" i="1"/>
  <c r="Q26" i="1" s="1"/>
  <c r="T26" i="1" s="1"/>
  <c r="V26" i="1" s="1"/>
  <c r="W26" i="1" s="1"/>
  <c r="X26" i="1" s="1"/>
  <c r="O27" i="1"/>
  <c r="Q27" i="1" s="1"/>
  <c r="T27" i="1" s="1"/>
  <c r="V27" i="1" s="1"/>
  <c r="W27" i="1" s="1"/>
  <c r="X27" i="1" s="1"/>
  <c r="O28" i="1"/>
  <c r="Q28" i="1" s="1"/>
  <c r="T28" i="1" s="1"/>
  <c r="V28" i="1" s="1"/>
  <c r="W28" i="1" s="1"/>
  <c r="X28" i="1" s="1"/>
  <c r="O29" i="1"/>
  <c r="Q29" i="1" s="1"/>
  <c r="T29" i="1" s="1"/>
  <c r="V29" i="1" s="1"/>
  <c r="W29" i="1" s="1"/>
  <c r="X29" i="1" s="1"/>
  <c r="O30" i="1"/>
  <c r="Q30" i="1" s="1"/>
  <c r="T30" i="1" s="1"/>
  <c r="V30" i="1" s="1"/>
  <c r="W30" i="1" s="1"/>
  <c r="X30" i="1" s="1"/>
  <c r="O31" i="1"/>
  <c r="Q31" i="1" s="1"/>
  <c r="T31" i="1" s="1"/>
  <c r="V31" i="1" s="1"/>
  <c r="W31" i="1" s="1"/>
  <c r="X31" i="1" s="1"/>
  <c r="O32" i="1"/>
  <c r="Q32" i="1" s="1"/>
  <c r="T32" i="1" s="1"/>
  <c r="V32" i="1" s="1"/>
  <c r="W32" i="1" s="1"/>
  <c r="X32" i="1" s="1"/>
  <c r="O33" i="1"/>
  <c r="Q33" i="1" s="1"/>
  <c r="T33" i="1" s="1"/>
  <c r="V33" i="1" s="1"/>
  <c r="W33" i="1" s="1"/>
  <c r="X33" i="1" s="1"/>
  <c r="O34" i="1"/>
  <c r="Q34" i="1" s="1"/>
  <c r="T34" i="1" s="1"/>
  <c r="V34" i="1" s="1"/>
  <c r="W34" i="1" s="1"/>
  <c r="X34" i="1" s="1"/>
  <c r="O35" i="1"/>
  <c r="Q35" i="1" s="1"/>
  <c r="T35" i="1" s="1"/>
  <c r="V35" i="1" s="1"/>
  <c r="W35" i="1" s="1"/>
  <c r="X35" i="1" s="1"/>
  <c r="O36" i="1"/>
  <c r="Q36" i="1" s="1"/>
  <c r="T36" i="1" s="1"/>
  <c r="V36" i="1" s="1"/>
  <c r="W36" i="1" s="1"/>
  <c r="X36" i="1" s="1"/>
  <c r="O37" i="1"/>
  <c r="Q37" i="1" s="1"/>
  <c r="T37" i="1" s="1"/>
  <c r="V37" i="1" s="1"/>
  <c r="W37" i="1" s="1"/>
  <c r="X37" i="1" s="1"/>
  <c r="O38" i="1"/>
  <c r="O39" i="1"/>
  <c r="Q39" i="1" s="1"/>
  <c r="T39" i="1" s="1"/>
  <c r="V39" i="1" s="1"/>
  <c r="W39" i="1" s="1"/>
  <c r="X39" i="1" s="1"/>
  <c r="O40" i="1"/>
  <c r="Q40" i="1" s="1"/>
  <c r="T40" i="1" s="1"/>
  <c r="V40" i="1" s="1"/>
  <c r="W40" i="1" s="1"/>
  <c r="X40" i="1" s="1"/>
  <c r="O41" i="1"/>
  <c r="Q41" i="1" s="1"/>
  <c r="T41" i="1" s="1"/>
  <c r="V41" i="1" s="1"/>
  <c r="W41" i="1" s="1"/>
  <c r="X41" i="1" s="1"/>
  <c r="O42" i="1"/>
  <c r="Q42" i="1" s="1"/>
  <c r="T42" i="1" s="1"/>
  <c r="V42" i="1" s="1"/>
  <c r="W42" i="1" s="1"/>
  <c r="X42" i="1" s="1"/>
  <c r="O43" i="1"/>
  <c r="Q43" i="1" s="1"/>
  <c r="T43" i="1" s="1"/>
  <c r="V43" i="1" s="1"/>
  <c r="W43" i="1" s="1"/>
  <c r="X43" i="1" s="1"/>
  <c r="O44" i="1"/>
  <c r="Q44" i="1" s="1"/>
  <c r="T44" i="1" s="1"/>
  <c r="V44" i="1" s="1"/>
  <c r="W44" i="1" s="1"/>
  <c r="X44" i="1" s="1"/>
  <c r="O45" i="1"/>
  <c r="Q45" i="1" s="1"/>
  <c r="T45" i="1" s="1"/>
  <c r="V45" i="1" s="1"/>
  <c r="W45" i="1" s="1"/>
  <c r="X45" i="1" s="1"/>
  <c r="O46" i="1"/>
  <c r="Q46" i="1" s="1"/>
  <c r="T46" i="1" s="1"/>
  <c r="V46" i="1" s="1"/>
  <c r="W46" i="1" s="1"/>
  <c r="X46" i="1" s="1"/>
  <c r="O47" i="1"/>
  <c r="Q47" i="1" s="1"/>
  <c r="T47" i="1" s="1"/>
  <c r="V47" i="1" s="1"/>
  <c r="W47" i="1" s="1"/>
  <c r="X47" i="1" s="1"/>
  <c r="O48" i="1"/>
  <c r="Q48" i="1" s="1"/>
  <c r="T48" i="1" s="1"/>
  <c r="V48" i="1" s="1"/>
  <c r="W48" i="1" s="1"/>
  <c r="X48" i="1" s="1"/>
  <c r="O49" i="1"/>
  <c r="Q49" i="1" s="1"/>
  <c r="T49" i="1" s="1"/>
  <c r="V49" i="1" s="1"/>
  <c r="W49" i="1" s="1"/>
  <c r="X49" i="1" s="1"/>
  <c r="O50" i="1"/>
  <c r="Q50" i="1" s="1"/>
  <c r="T50" i="1" s="1"/>
  <c r="V50" i="1" s="1"/>
  <c r="W50" i="1" s="1"/>
  <c r="X50" i="1" s="1"/>
  <c r="O51" i="1"/>
  <c r="Q51" i="1" s="1"/>
  <c r="T51" i="1" s="1"/>
  <c r="O52" i="1"/>
  <c r="Q52" i="1" s="1"/>
  <c r="T52" i="1" s="1"/>
  <c r="V52" i="1" s="1"/>
  <c r="W52" i="1" s="1"/>
  <c r="X52" i="1" s="1"/>
  <c r="O53" i="1"/>
  <c r="Q53" i="1" s="1"/>
  <c r="T53" i="1" s="1"/>
  <c r="V53" i="1" s="1"/>
  <c r="W53" i="1" s="1"/>
  <c r="X53" i="1" s="1"/>
  <c r="O54" i="1"/>
  <c r="Q54" i="1" s="1"/>
  <c r="T54" i="1" s="1"/>
  <c r="V54" i="1" s="1"/>
  <c r="W54" i="1" s="1"/>
  <c r="X54" i="1" s="1"/>
  <c r="O55" i="1"/>
  <c r="Q55" i="1" s="1"/>
  <c r="T55" i="1" s="1"/>
  <c r="V55" i="1" s="1"/>
  <c r="W55" i="1" s="1"/>
  <c r="X55" i="1" s="1"/>
  <c r="O56" i="1"/>
  <c r="Q56" i="1" s="1"/>
  <c r="T56" i="1" s="1"/>
  <c r="V56" i="1" s="1"/>
  <c r="W56" i="1" s="1"/>
  <c r="X56" i="1" s="1"/>
  <c r="O57" i="1"/>
  <c r="Q57" i="1" s="1"/>
  <c r="T57" i="1" s="1"/>
  <c r="V57" i="1" s="1"/>
  <c r="W57" i="1" s="1"/>
  <c r="X57" i="1" s="1"/>
  <c r="O58" i="1"/>
  <c r="Q58" i="1" s="1"/>
  <c r="T58" i="1" s="1"/>
  <c r="V58" i="1" s="1"/>
  <c r="W58" i="1" s="1"/>
  <c r="X58" i="1" s="1"/>
  <c r="O59" i="1"/>
  <c r="Q59" i="1" s="1"/>
  <c r="T59" i="1" s="1"/>
  <c r="V59" i="1" s="1"/>
  <c r="W59" i="1" s="1"/>
  <c r="X59" i="1" s="1"/>
  <c r="O60" i="1"/>
  <c r="Q60" i="1" s="1"/>
  <c r="T60" i="1" s="1"/>
  <c r="V60" i="1" s="1"/>
  <c r="W60" i="1" s="1"/>
  <c r="X60" i="1" s="1"/>
  <c r="O61" i="1"/>
  <c r="Q61" i="1" s="1"/>
  <c r="T61" i="1" s="1"/>
  <c r="V61" i="1" s="1"/>
  <c r="W61" i="1" s="1"/>
  <c r="X61" i="1" s="1"/>
  <c r="O62" i="1"/>
  <c r="Q62" i="1" s="1"/>
  <c r="T62" i="1" s="1"/>
  <c r="V62" i="1" s="1"/>
  <c r="W62" i="1" s="1"/>
  <c r="X62" i="1" s="1"/>
  <c r="O63" i="1"/>
  <c r="Q63" i="1" s="1"/>
  <c r="T63" i="1" s="1"/>
  <c r="V63" i="1" s="1"/>
  <c r="W63" i="1" s="1"/>
  <c r="X63" i="1" s="1"/>
  <c r="O64" i="1"/>
  <c r="Q64" i="1" s="1"/>
  <c r="T64" i="1" s="1"/>
  <c r="V64" i="1" s="1"/>
  <c r="W64" i="1" s="1"/>
  <c r="X64" i="1" s="1"/>
  <c r="O65" i="1"/>
  <c r="Q65" i="1" s="1"/>
  <c r="T65" i="1" s="1"/>
  <c r="V65" i="1" s="1"/>
  <c r="W65" i="1" s="1"/>
  <c r="X65" i="1" s="1"/>
  <c r="O66" i="1"/>
  <c r="Q66" i="1" s="1"/>
  <c r="T66" i="1" s="1"/>
  <c r="V66" i="1" s="1"/>
  <c r="W66" i="1" s="1"/>
  <c r="X66" i="1" s="1"/>
  <c r="O67" i="1"/>
  <c r="Q67" i="1" s="1"/>
  <c r="T67" i="1" s="1"/>
  <c r="V67" i="1" s="1"/>
  <c r="W67" i="1" s="1"/>
  <c r="X67" i="1" s="1"/>
  <c r="O68" i="1"/>
  <c r="Q68" i="1" s="1"/>
  <c r="T68" i="1" s="1"/>
  <c r="V68" i="1" s="1"/>
  <c r="W68" i="1" s="1"/>
  <c r="X68" i="1" s="1"/>
  <c r="O69" i="1"/>
  <c r="Q69" i="1" s="1"/>
  <c r="T69" i="1" s="1"/>
  <c r="V69" i="1" s="1"/>
  <c r="W69" i="1" s="1"/>
  <c r="X69" i="1" s="1"/>
  <c r="O70" i="1"/>
  <c r="Q70" i="1" s="1"/>
  <c r="T70" i="1" s="1"/>
  <c r="V70" i="1" s="1"/>
  <c r="W70" i="1" s="1"/>
  <c r="X70" i="1" s="1"/>
  <c r="O71" i="1"/>
  <c r="Q71" i="1" s="1"/>
  <c r="T71" i="1" s="1"/>
  <c r="V71" i="1" s="1"/>
  <c r="W71" i="1" s="1"/>
  <c r="X71" i="1" s="1"/>
  <c r="O72" i="1"/>
  <c r="Q72" i="1" s="1"/>
  <c r="T72" i="1" s="1"/>
  <c r="V72" i="1" s="1"/>
  <c r="W72" i="1" s="1"/>
  <c r="X72" i="1" s="1"/>
  <c r="O73" i="1"/>
  <c r="Q73" i="1" s="1"/>
  <c r="T73" i="1" s="1"/>
  <c r="V73" i="1" s="1"/>
  <c r="W73" i="1" s="1"/>
  <c r="X73" i="1" s="1"/>
  <c r="O74" i="1"/>
  <c r="Q74" i="1" s="1"/>
  <c r="T74" i="1" s="1"/>
  <c r="V74" i="1" s="1"/>
  <c r="W74" i="1" s="1"/>
  <c r="X74" i="1" s="1"/>
  <c r="O75" i="1"/>
  <c r="Q75" i="1" s="1"/>
  <c r="T75" i="1" s="1"/>
  <c r="V75" i="1" s="1"/>
  <c r="W75" i="1" s="1"/>
  <c r="X75" i="1" s="1"/>
  <c r="O76" i="1"/>
  <c r="Q76" i="1" s="1"/>
  <c r="T76" i="1" s="1"/>
  <c r="V76" i="1" s="1"/>
  <c r="W76" i="1" s="1"/>
  <c r="X76" i="1" s="1"/>
  <c r="O77" i="1"/>
  <c r="Q77" i="1" s="1"/>
  <c r="T77" i="1" s="1"/>
  <c r="V77" i="1" s="1"/>
  <c r="W77" i="1" s="1"/>
  <c r="X77" i="1" s="1"/>
  <c r="O78" i="1"/>
  <c r="Q78" i="1" s="1"/>
  <c r="T78" i="1" s="1"/>
  <c r="V78" i="1" s="1"/>
  <c r="W78" i="1" s="1"/>
  <c r="X78" i="1" s="1"/>
  <c r="O79" i="1"/>
  <c r="Q79" i="1" s="1"/>
  <c r="T79" i="1" s="1"/>
  <c r="V79" i="1" s="1"/>
  <c r="W79" i="1" s="1"/>
  <c r="X79" i="1" s="1"/>
  <c r="O80" i="1"/>
  <c r="Q80" i="1" s="1"/>
  <c r="T80" i="1" s="1"/>
  <c r="V80" i="1" s="1"/>
  <c r="W80" i="1" s="1"/>
  <c r="X80" i="1" s="1"/>
  <c r="O81" i="1"/>
  <c r="Q81" i="1" s="1"/>
  <c r="T81" i="1" s="1"/>
  <c r="V81" i="1" s="1"/>
  <c r="W81" i="1" s="1"/>
  <c r="X81" i="1" s="1"/>
  <c r="O82" i="1"/>
  <c r="Q82" i="1" s="1"/>
  <c r="T82" i="1" s="1"/>
  <c r="V82" i="1" s="1"/>
  <c r="W82" i="1" s="1"/>
  <c r="X82" i="1" s="1"/>
  <c r="O83" i="1"/>
  <c r="Q83" i="1" s="1"/>
  <c r="T83" i="1" s="1"/>
  <c r="V83" i="1" s="1"/>
  <c r="W83" i="1" s="1"/>
  <c r="X83" i="1" s="1"/>
  <c r="O84" i="1"/>
  <c r="Q84" i="1" s="1"/>
  <c r="T84" i="1" s="1"/>
  <c r="V84" i="1" s="1"/>
  <c r="W84" i="1" s="1"/>
  <c r="X84" i="1" s="1"/>
  <c r="O85" i="1"/>
  <c r="Q85" i="1" s="1"/>
  <c r="T85" i="1" s="1"/>
  <c r="V85" i="1" s="1"/>
  <c r="W85" i="1" s="1"/>
  <c r="X85" i="1" s="1"/>
  <c r="O86" i="1"/>
  <c r="Q86" i="1" s="1"/>
  <c r="T86" i="1" s="1"/>
  <c r="V86" i="1" s="1"/>
  <c r="W86" i="1" s="1"/>
  <c r="X86" i="1" s="1"/>
  <c r="O87" i="1"/>
  <c r="Q87" i="1" s="1"/>
  <c r="T87" i="1" s="1"/>
  <c r="V87" i="1" s="1"/>
  <c r="W87" i="1" s="1"/>
  <c r="X87" i="1" s="1"/>
  <c r="O88" i="1"/>
  <c r="Q88" i="1" s="1"/>
  <c r="T88" i="1" s="1"/>
  <c r="V88" i="1" s="1"/>
  <c r="W88" i="1" s="1"/>
  <c r="X88" i="1" s="1"/>
  <c r="O89" i="1"/>
  <c r="Q89" i="1" s="1"/>
  <c r="T89" i="1" s="1"/>
  <c r="V89" i="1" s="1"/>
  <c r="W89" i="1" s="1"/>
  <c r="X89" i="1" s="1"/>
  <c r="O90" i="1"/>
  <c r="Q90" i="1" s="1"/>
  <c r="T90" i="1" s="1"/>
  <c r="V90" i="1" s="1"/>
  <c r="W90" i="1" s="1"/>
  <c r="X90" i="1" s="1"/>
  <c r="O91" i="1"/>
  <c r="Q91" i="1" s="1"/>
  <c r="T91" i="1" s="1"/>
  <c r="V91" i="1" s="1"/>
  <c r="W91" i="1" s="1"/>
  <c r="X91" i="1" s="1"/>
  <c r="O92" i="1"/>
  <c r="Q92" i="1" s="1"/>
  <c r="T92" i="1" s="1"/>
  <c r="V92" i="1" s="1"/>
  <c r="W92" i="1" s="1"/>
  <c r="X92" i="1" s="1"/>
  <c r="O93" i="1"/>
  <c r="Q93" i="1" s="1"/>
  <c r="T93" i="1" s="1"/>
  <c r="V93" i="1" s="1"/>
  <c r="W93" i="1" s="1"/>
  <c r="X93" i="1" s="1"/>
  <c r="O94" i="1"/>
  <c r="Q94" i="1" s="1"/>
  <c r="T94" i="1" s="1"/>
  <c r="V94" i="1" s="1"/>
  <c r="W94" i="1" s="1"/>
  <c r="X94" i="1" s="1"/>
  <c r="O95" i="1"/>
  <c r="Q95" i="1" s="1"/>
  <c r="T95" i="1" s="1"/>
  <c r="V95" i="1" s="1"/>
  <c r="W95" i="1" s="1"/>
  <c r="X95" i="1" s="1"/>
  <c r="O96" i="1"/>
  <c r="Q96" i="1" s="1"/>
  <c r="T96" i="1" s="1"/>
  <c r="V96" i="1" s="1"/>
  <c r="W96" i="1" s="1"/>
  <c r="X96" i="1" s="1"/>
  <c r="O97" i="1"/>
  <c r="Q97" i="1" s="1"/>
  <c r="T97" i="1" s="1"/>
  <c r="V97" i="1" s="1"/>
  <c r="W97" i="1" s="1"/>
  <c r="X97" i="1" s="1"/>
  <c r="O98" i="1"/>
  <c r="Q98" i="1" s="1"/>
  <c r="T98" i="1" s="1"/>
  <c r="V98" i="1" s="1"/>
  <c r="W98" i="1" s="1"/>
  <c r="X98" i="1" s="1"/>
  <c r="O99" i="1"/>
  <c r="Q99" i="1" s="1"/>
  <c r="T99" i="1" s="1"/>
  <c r="V99" i="1" s="1"/>
  <c r="W99" i="1" s="1"/>
  <c r="X99" i="1" s="1"/>
  <c r="O100" i="1"/>
  <c r="Q100" i="1" s="1"/>
  <c r="T100" i="1" s="1"/>
  <c r="V100" i="1" s="1"/>
  <c r="W100" i="1" s="1"/>
  <c r="X100" i="1" s="1"/>
  <c r="O101" i="1"/>
  <c r="Q101" i="1" s="1"/>
  <c r="T101" i="1" s="1"/>
  <c r="V101" i="1" s="1"/>
  <c r="W101" i="1" s="1"/>
  <c r="X101" i="1" s="1"/>
  <c r="O102" i="1"/>
  <c r="Q102" i="1" s="1"/>
  <c r="T102" i="1" s="1"/>
  <c r="V102" i="1" s="1"/>
  <c r="W102" i="1" s="1"/>
  <c r="X102" i="1" s="1"/>
  <c r="O103" i="1"/>
  <c r="Q103" i="1" s="1"/>
  <c r="T103" i="1" s="1"/>
  <c r="V103" i="1" s="1"/>
  <c r="W103" i="1" s="1"/>
  <c r="X103" i="1" s="1"/>
  <c r="O104" i="1"/>
  <c r="Q104" i="1" s="1"/>
  <c r="T104" i="1" s="1"/>
  <c r="V104" i="1" s="1"/>
  <c r="W104" i="1" s="1"/>
  <c r="X104" i="1" s="1"/>
  <c r="O105" i="1"/>
  <c r="Q105" i="1" s="1"/>
  <c r="T105" i="1" s="1"/>
  <c r="V105" i="1" s="1"/>
  <c r="W105" i="1" s="1"/>
  <c r="X105" i="1" s="1"/>
  <c r="O106" i="1"/>
  <c r="Q106" i="1" s="1"/>
  <c r="T106" i="1" s="1"/>
  <c r="V106" i="1" s="1"/>
  <c r="W106" i="1" s="1"/>
  <c r="X106" i="1" s="1"/>
  <c r="O107" i="1"/>
  <c r="Q107" i="1" s="1"/>
  <c r="T107" i="1" s="1"/>
  <c r="V107" i="1" s="1"/>
  <c r="W107" i="1" s="1"/>
  <c r="X107" i="1" s="1"/>
  <c r="O108" i="1"/>
  <c r="Q108" i="1" s="1"/>
  <c r="T108" i="1" s="1"/>
  <c r="V108" i="1" s="1"/>
  <c r="W108" i="1" s="1"/>
  <c r="X108" i="1" s="1"/>
  <c r="O109" i="1"/>
  <c r="Q109" i="1" s="1"/>
  <c r="T109" i="1" s="1"/>
  <c r="V109" i="1" s="1"/>
  <c r="W109" i="1" s="1"/>
  <c r="X109" i="1" s="1"/>
  <c r="M3" i="1"/>
  <c r="M4" i="1"/>
  <c r="M5" i="1"/>
  <c r="M6" i="1"/>
  <c r="M7" i="1"/>
  <c r="M8" i="1"/>
  <c r="M9" i="1"/>
  <c r="K10" i="1"/>
  <c r="M10" i="1" s="1"/>
  <c r="K11" i="1"/>
  <c r="M11" i="1" s="1"/>
  <c r="K12" i="1"/>
  <c r="M12" i="1" s="1"/>
  <c r="K13" i="1"/>
  <c r="M13" i="1" s="1"/>
  <c r="K14" i="1"/>
  <c r="M14" i="1" s="1"/>
  <c r="K15" i="1"/>
  <c r="M15" i="1" s="1"/>
  <c r="K16" i="1"/>
  <c r="M16" i="1" s="1"/>
  <c r="K17" i="1"/>
  <c r="M17" i="1" s="1"/>
  <c r="K18" i="1"/>
  <c r="M18" i="1" s="1"/>
  <c r="K19" i="1"/>
  <c r="M19" i="1" s="1"/>
  <c r="K20" i="1"/>
  <c r="M20" i="1" s="1"/>
  <c r="K21" i="1"/>
  <c r="M21" i="1" s="1"/>
  <c r="K22" i="1"/>
  <c r="M22" i="1" s="1"/>
  <c r="K23" i="1"/>
  <c r="M23" i="1" s="1"/>
  <c r="K24" i="1"/>
  <c r="M24" i="1" s="1"/>
  <c r="K25" i="1"/>
  <c r="M25" i="1" s="1"/>
  <c r="K26" i="1"/>
  <c r="M26" i="1" s="1"/>
  <c r="K27" i="1"/>
  <c r="M27" i="1" s="1"/>
  <c r="K28" i="1"/>
  <c r="M28" i="1" s="1"/>
  <c r="K29" i="1"/>
  <c r="M29" i="1" s="1"/>
  <c r="K30" i="1"/>
  <c r="M30" i="1" s="1"/>
  <c r="K31" i="1"/>
  <c r="M31" i="1" s="1"/>
  <c r="K32" i="1"/>
  <c r="M32" i="1" s="1"/>
  <c r="K33" i="1"/>
  <c r="M33" i="1" s="1"/>
  <c r="K34" i="1"/>
  <c r="M34" i="1" s="1"/>
  <c r="K35" i="1"/>
  <c r="M35" i="1" s="1"/>
  <c r="K36" i="1"/>
  <c r="M36" i="1" s="1"/>
  <c r="K37" i="1"/>
  <c r="M37" i="1" s="1"/>
  <c r="K38" i="1"/>
  <c r="M38" i="1" s="1"/>
  <c r="K39" i="1"/>
  <c r="M39" i="1" s="1"/>
  <c r="K40" i="1"/>
  <c r="M40" i="1" s="1"/>
  <c r="K41" i="1"/>
  <c r="M41" i="1" s="1"/>
  <c r="K42" i="1"/>
  <c r="M42" i="1" s="1"/>
  <c r="K43" i="1"/>
  <c r="M43" i="1" s="1"/>
  <c r="K44" i="1"/>
  <c r="M44" i="1" s="1"/>
  <c r="K45" i="1"/>
  <c r="M45" i="1" s="1"/>
  <c r="K46" i="1"/>
  <c r="M46" i="1" s="1"/>
  <c r="K47" i="1"/>
  <c r="M47" i="1" s="1"/>
  <c r="K48" i="1"/>
  <c r="M48" i="1" s="1"/>
  <c r="K49" i="1"/>
  <c r="M49" i="1" s="1"/>
  <c r="K50" i="1"/>
  <c r="M50" i="1" s="1"/>
  <c r="K51" i="1"/>
  <c r="M51" i="1" s="1"/>
  <c r="K52" i="1"/>
  <c r="M52" i="1" s="1"/>
  <c r="K53" i="1"/>
  <c r="M53" i="1" s="1"/>
  <c r="K54" i="1"/>
  <c r="M54" i="1" s="1"/>
  <c r="K55" i="1"/>
  <c r="M55" i="1" s="1"/>
  <c r="K56" i="1"/>
  <c r="M56" i="1" s="1"/>
  <c r="K57" i="1"/>
  <c r="M57" i="1" s="1"/>
  <c r="K58" i="1"/>
  <c r="M58" i="1" s="1"/>
  <c r="K59" i="1"/>
  <c r="M59" i="1" s="1"/>
  <c r="K60" i="1"/>
  <c r="M60" i="1" s="1"/>
  <c r="K61" i="1"/>
  <c r="M61" i="1" s="1"/>
  <c r="K62" i="1"/>
  <c r="M62" i="1" s="1"/>
  <c r="K63" i="1"/>
  <c r="M63" i="1" s="1"/>
  <c r="K64" i="1"/>
  <c r="M64" i="1" s="1"/>
  <c r="K65" i="1"/>
  <c r="M65" i="1" s="1"/>
  <c r="K66" i="1"/>
  <c r="M66" i="1" s="1"/>
  <c r="K67" i="1"/>
  <c r="M67" i="1" s="1"/>
  <c r="K68" i="1"/>
  <c r="M68" i="1" s="1"/>
  <c r="K69" i="1"/>
  <c r="M69" i="1" s="1"/>
  <c r="K70" i="1"/>
  <c r="M70" i="1" s="1"/>
  <c r="K71" i="1"/>
  <c r="M71" i="1" s="1"/>
  <c r="K72" i="1"/>
  <c r="M72" i="1" s="1"/>
  <c r="K73" i="1"/>
  <c r="M73" i="1" s="1"/>
  <c r="K74" i="1"/>
  <c r="M74" i="1" s="1"/>
  <c r="K75" i="1"/>
  <c r="M75" i="1" s="1"/>
  <c r="K76" i="1"/>
  <c r="M76" i="1" s="1"/>
  <c r="K77" i="1"/>
  <c r="M77" i="1" s="1"/>
  <c r="K78" i="1"/>
  <c r="M78" i="1" s="1"/>
  <c r="K79" i="1"/>
  <c r="M79" i="1" s="1"/>
  <c r="K80" i="1"/>
  <c r="M80" i="1" s="1"/>
  <c r="K81" i="1"/>
  <c r="M81" i="1" s="1"/>
  <c r="K82" i="1"/>
  <c r="M82" i="1" s="1"/>
  <c r="K83" i="1"/>
  <c r="M83" i="1" s="1"/>
  <c r="K84" i="1"/>
  <c r="M84" i="1" s="1"/>
  <c r="K85" i="1"/>
  <c r="M85" i="1" s="1"/>
  <c r="K86" i="1"/>
  <c r="M86" i="1" s="1"/>
  <c r="K87" i="1"/>
  <c r="M87" i="1" s="1"/>
  <c r="K88" i="1"/>
  <c r="M88" i="1" s="1"/>
  <c r="K89" i="1"/>
  <c r="M89" i="1" s="1"/>
  <c r="K90" i="1"/>
  <c r="M90" i="1" s="1"/>
  <c r="K91" i="1"/>
  <c r="M91" i="1" s="1"/>
  <c r="K92" i="1"/>
  <c r="M92" i="1" s="1"/>
  <c r="K93" i="1"/>
  <c r="M93" i="1" s="1"/>
  <c r="K94" i="1"/>
  <c r="M94" i="1" s="1"/>
  <c r="K95" i="1"/>
  <c r="M95" i="1" s="1"/>
  <c r="K96" i="1"/>
  <c r="M96" i="1" s="1"/>
  <c r="K97" i="1"/>
  <c r="M97" i="1" s="1"/>
  <c r="K98" i="1"/>
  <c r="M98" i="1" s="1"/>
  <c r="K99" i="1"/>
  <c r="M99" i="1" s="1"/>
  <c r="K100" i="1"/>
  <c r="M100" i="1" s="1"/>
  <c r="K101" i="1"/>
  <c r="M101" i="1" s="1"/>
  <c r="K102" i="1"/>
  <c r="M102" i="1" s="1"/>
  <c r="K103" i="1"/>
  <c r="M103" i="1" s="1"/>
  <c r="K104" i="1"/>
  <c r="M104" i="1" s="1"/>
  <c r="K105" i="1"/>
  <c r="M105" i="1" s="1"/>
  <c r="K106" i="1"/>
  <c r="M106" i="1" s="1"/>
  <c r="K107" i="1"/>
  <c r="M107" i="1" s="1"/>
  <c r="K108" i="1"/>
  <c r="M108" i="1" s="1"/>
  <c r="K109" i="1"/>
  <c r="M109" i="1" s="1"/>
  <c r="F3" i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S9" i="39" l="1"/>
  <c r="S13" i="39"/>
  <c r="S5" i="39"/>
  <c r="F61" i="23"/>
  <c r="F121" i="23"/>
  <c r="F141" i="23"/>
  <c r="F201" i="23"/>
  <c r="F123" i="23"/>
  <c r="F126" i="23"/>
  <c r="F127" i="23"/>
  <c r="F128" i="23"/>
  <c r="F13" i="23"/>
  <c r="F73" i="23"/>
  <c r="F153" i="23"/>
  <c r="F213" i="23"/>
  <c r="F249" i="23"/>
  <c r="F309" i="23"/>
  <c r="F809" i="23"/>
  <c r="F849" i="23"/>
  <c r="F869" i="23"/>
  <c r="F889" i="23"/>
  <c r="F909" i="23"/>
  <c r="F1030" i="23"/>
  <c r="F1070" i="23"/>
  <c r="F1110" i="23"/>
  <c r="F1170" i="23"/>
  <c r="F1230" i="23"/>
  <c r="F97" i="23"/>
  <c r="F991" i="23"/>
  <c r="F1311" i="23"/>
  <c r="F1371" i="23"/>
  <c r="F1431" i="23"/>
  <c r="F25" i="23"/>
  <c r="F952" i="23"/>
  <c r="F273" i="23"/>
  <c r="F333" i="23"/>
  <c r="F833" i="23"/>
  <c r="F853" i="23"/>
  <c r="F873" i="23"/>
  <c r="F893" i="23"/>
  <c r="F913" i="23"/>
  <c r="F1134" i="23"/>
  <c r="F1194" i="23"/>
  <c r="F177" i="23"/>
  <c r="F1335" i="23"/>
  <c r="F1395" i="23"/>
  <c r="F1455" i="23"/>
  <c r="F109" i="23"/>
  <c r="F237" i="23"/>
  <c r="F297" i="23"/>
  <c r="F797" i="23"/>
  <c r="F857" i="23"/>
  <c r="F877" i="23"/>
  <c r="F897" i="23"/>
  <c r="F917" i="23"/>
  <c r="F1018" i="23"/>
  <c r="F1058" i="23"/>
  <c r="F1098" i="23"/>
  <c r="F1158" i="23"/>
  <c r="F1218" i="23"/>
  <c r="F37" i="23"/>
  <c r="F189" i="23"/>
  <c r="F261" i="23"/>
  <c r="F321" i="23"/>
  <c r="F821" i="23"/>
  <c r="F861" i="23"/>
  <c r="F881" i="23"/>
  <c r="F901" i="23"/>
  <c r="F921" i="23"/>
  <c r="F1042" i="23"/>
  <c r="F1082" i="23"/>
  <c r="F1122" i="23"/>
  <c r="F1182" i="23"/>
  <c r="F1242" i="23"/>
  <c r="F1146" i="23"/>
  <c r="F225" i="23"/>
  <c r="F1443" i="23"/>
  <c r="F905" i="23"/>
  <c r="F285" i="23"/>
  <c r="F925" i="23"/>
  <c r="H13" i="2"/>
  <c r="V17" i="39" s="1"/>
  <c r="F845" i="23"/>
  <c r="F1383" i="23"/>
  <c r="F1419" i="23"/>
  <c r="N17" i="6"/>
  <c r="F49" i="23"/>
  <c r="F165" i="23"/>
  <c r="F345" i="23"/>
  <c r="F865" i="23"/>
  <c r="F979" i="23"/>
  <c r="F85" i="23"/>
  <c r="G13" i="2"/>
  <c r="F940" i="23"/>
  <c r="F1347" i="23"/>
  <c r="F129" i="23"/>
  <c r="F1299" i="23"/>
  <c r="F964" i="23"/>
  <c r="F1206" i="23"/>
  <c r="F885" i="23"/>
  <c r="F1359" i="23"/>
  <c r="F1323" i="23"/>
  <c r="F125" i="23"/>
  <c r="F122" i="23"/>
  <c r="F124" i="23"/>
  <c r="F1287" i="23"/>
  <c r="F1003" i="23"/>
  <c r="F1407" i="23"/>
  <c r="U9" i="39"/>
  <c r="U13" i="39"/>
  <c r="U5" i="39"/>
  <c r="Y16" i="37"/>
  <c r="AB16" i="37" s="1"/>
  <c r="Y8" i="37"/>
  <c r="AB8" i="37" s="1"/>
  <c r="Y12" i="37"/>
  <c r="AB12" i="37" s="1"/>
  <c r="Y4" i="37"/>
  <c r="AB4" i="37" s="1"/>
  <c r="M16" i="10"/>
  <c r="M17" i="10" s="1"/>
  <c r="M16" i="6"/>
  <c r="G84" i="1"/>
  <c r="G51" i="1"/>
  <c r="G10" i="1"/>
  <c r="G38" i="1"/>
  <c r="M11" i="45"/>
  <c r="N11" i="45" s="1"/>
  <c r="M12" i="45"/>
  <c r="N12" i="45" s="1"/>
  <c r="N57" i="46"/>
  <c r="L57" i="46"/>
  <c r="K57" i="46"/>
  <c r="M57" i="46"/>
  <c r="M60" i="46" s="1"/>
  <c r="G3" i="1"/>
  <c r="C26" i="49"/>
  <c r="C27" i="49"/>
  <c r="D27" i="49" s="1"/>
  <c r="E27" i="49" s="1"/>
  <c r="M15" i="10"/>
  <c r="M15" i="6"/>
  <c r="V26" i="39"/>
  <c r="V25" i="39"/>
  <c r="M8" i="45"/>
  <c r="N8" i="45" s="1"/>
  <c r="M9" i="45"/>
  <c r="N9" i="45" s="1"/>
  <c r="M10" i="45"/>
  <c r="N10" i="45" s="1"/>
  <c r="M24" i="47"/>
  <c r="N24" i="47" s="1"/>
  <c r="M10" i="47"/>
  <c r="M22" i="47"/>
  <c r="N22" i="47" s="1"/>
  <c r="M8" i="47"/>
  <c r="M20" i="47"/>
  <c r="N20" i="47" s="1"/>
  <c r="M23" i="47"/>
  <c r="N23" i="47" s="1"/>
  <c r="M11" i="47"/>
  <c r="N11" i="47" s="1"/>
  <c r="M9" i="47"/>
  <c r="M21" i="47"/>
  <c r="N21" i="47" s="1"/>
  <c r="M12" i="47"/>
  <c r="N12" i="47" s="1"/>
  <c r="M14" i="10"/>
  <c r="M14" i="6"/>
  <c r="C15" i="2"/>
  <c r="F18" i="2" s="1"/>
  <c r="BT88" i="1"/>
  <c r="BV88" i="1"/>
  <c r="BS88" i="1"/>
  <c r="BR88" i="1"/>
  <c r="BU88" i="1"/>
  <c r="BT98" i="1"/>
  <c r="BV98" i="1"/>
  <c r="BS98" i="1"/>
  <c r="BR98" i="1"/>
  <c r="BU98" i="1"/>
  <c r="BR99" i="1"/>
  <c r="BU99" i="1"/>
  <c r="BT99" i="1"/>
  <c r="BV99" i="1"/>
  <c r="BS99" i="1"/>
  <c r="BV91" i="1"/>
  <c r="BS91" i="1"/>
  <c r="BR91" i="1"/>
  <c r="BU91" i="1"/>
  <c r="BT91" i="1"/>
  <c r="BV106" i="1"/>
  <c r="BS106" i="1"/>
  <c r="BR106" i="1"/>
  <c r="BU106" i="1"/>
  <c r="BT106" i="1"/>
  <c r="BS90" i="1"/>
  <c r="BV90" i="1"/>
  <c r="BR90" i="1"/>
  <c r="BU90" i="1"/>
  <c r="BT90" i="1"/>
  <c r="BT105" i="1"/>
  <c r="BV105" i="1"/>
  <c r="BS105" i="1"/>
  <c r="BR105" i="1"/>
  <c r="BU105" i="1"/>
  <c r="BV97" i="1"/>
  <c r="BS97" i="1"/>
  <c r="BR97" i="1"/>
  <c r="BU97" i="1"/>
  <c r="BT97" i="1"/>
  <c r="BT89" i="1"/>
  <c r="BV89" i="1"/>
  <c r="BS89" i="1"/>
  <c r="BR89" i="1"/>
  <c r="BU89" i="1"/>
  <c r="BU95" i="1"/>
  <c r="BT95" i="1"/>
  <c r="BV95" i="1"/>
  <c r="BS95" i="1"/>
  <c r="BR95" i="1"/>
  <c r="BU86" i="1"/>
  <c r="BT86" i="1"/>
  <c r="BV86" i="1"/>
  <c r="BS86" i="1"/>
  <c r="BR86" i="1"/>
  <c r="BT104" i="1"/>
  <c r="BV104" i="1"/>
  <c r="BS104" i="1"/>
  <c r="BR104" i="1"/>
  <c r="BU104" i="1"/>
  <c r="BU103" i="1"/>
  <c r="BT103" i="1"/>
  <c r="BV103" i="1"/>
  <c r="BS103" i="1"/>
  <c r="BR103" i="1"/>
  <c r="BR94" i="1"/>
  <c r="BT94" i="1"/>
  <c r="BV94" i="1"/>
  <c r="BS94" i="1"/>
  <c r="BU94" i="1"/>
  <c r="BV109" i="1"/>
  <c r="BS109" i="1"/>
  <c r="BR109" i="1"/>
  <c r="BU109" i="1"/>
  <c r="BT109" i="1"/>
  <c r="BV101" i="1"/>
  <c r="BU101" i="1"/>
  <c r="BT101" i="1"/>
  <c r="BS101" i="1"/>
  <c r="BR101" i="1"/>
  <c r="BR93" i="1"/>
  <c r="BU93" i="1"/>
  <c r="BT93" i="1"/>
  <c r="BV93" i="1"/>
  <c r="BS93" i="1"/>
  <c r="BU85" i="1"/>
  <c r="BT85" i="1"/>
  <c r="BV85" i="1"/>
  <c r="BS85" i="1"/>
  <c r="BR85" i="1"/>
  <c r="BU87" i="1"/>
  <c r="BT87" i="1"/>
  <c r="BV87" i="1"/>
  <c r="BS87" i="1"/>
  <c r="BR87" i="1"/>
  <c r="BU102" i="1"/>
  <c r="BT102" i="1"/>
  <c r="BV102" i="1"/>
  <c r="BS102" i="1"/>
  <c r="BR102" i="1"/>
  <c r="BV108" i="1"/>
  <c r="BS108" i="1"/>
  <c r="BR108" i="1"/>
  <c r="BU108" i="1"/>
  <c r="BT108" i="1"/>
  <c r="BV100" i="1"/>
  <c r="BR100" i="1"/>
  <c r="BU100" i="1"/>
  <c r="BT100" i="1"/>
  <c r="BS100" i="1"/>
  <c r="BV92" i="1"/>
  <c r="BR92" i="1"/>
  <c r="BU92" i="1"/>
  <c r="BT92" i="1"/>
  <c r="BS92" i="1"/>
  <c r="BV84" i="1"/>
  <c r="BS84" i="1"/>
  <c r="BU84" i="1"/>
  <c r="BR84" i="1"/>
  <c r="BT84" i="1"/>
  <c r="BT96" i="1"/>
  <c r="BV96" i="1"/>
  <c r="BS96" i="1"/>
  <c r="BR96" i="1"/>
  <c r="BU96" i="1"/>
  <c r="BV107" i="1"/>
  <c r="BS107" i="1"/>
  <c r="BR107" i="1"/>
  <c r="BU107" i="1"/>
  <c r="BT107" i="1"/>
  <c r="BN35" i="1"/>
  <c r="BO35" i="1" s="1"/>
  <c r="BN14" i="1"/>
  <c r="BO14" i="1" s="1"/>
  <c r="BN11" i="1"/>
  <c r="BO11" i="1" s="1"/>
  <c r="BN16" i="1"/>
  <c r="BQ16" i="1" s="1"/>
  <c r="BN10" i="1"/>
  <c r="BP10" i="1" s="1"/>
  <c r="BN15" i="1"/>
  <c r="BP15" i="1" s="1"/>
  <c r="BN29" i="1"/>
  <c r="BQ29" i="1" s="1"/>
  <c r="BN25" i="1"/>
  <c r="BQ25" i="1" s="1"/>
  <c r="BN27" i="1"/>
  <c r="BQ27" i="1" s="1"/>
  <c r="TB29" i="17"/>
  <c r="TS29" i="17" s="1"/>
  <c r="TS28" i="17"/>
  <c r="BN12" i="1"/>
  <c r="BP12" i="1" s="1"/>
  <c r="BN21" i="1"/>
  <c r="BP21" i="1" s="1"/>
  <c r="CH107" i="1"/>
  <c r="BY107" i="1"/>
  <c r="BX107" i="1"/>
  <c r="CC107" i="1"/>
  <c r="CG107" i="1"/>
  <c r="BW107" i="1"/>
  <c r="CF107" i="1"/>
  <c r="CA107" i="1"/>
  <c r="CB107" i="1"/>
  <c r="BZ107" i="1"/>
  <c r="CC104" i="1"/>
  <c r="CB104" i="1"/>
  <c r="CA104" i="1"/>
  <c r="BZ104" i="1"/>
  <c r="CH104" i="1"/>
  <c r="BY104" i="1"/>
  <c r="BX104" i="1"/>
  <c r="CG104" i="1"/>
  <c r="BW104" i="1"/>
  <c r="CF104" i="1"/>
  <c r="CF95" i="1"/>
  <c r="CB95" i="1"/>
  <c r="CA95" i="1"/>
  <c r="BZ95" i="1"/>
  <c r="CH95" i="1"/>
  <c r="BY95" i="1"/>
  <c r="BW95" i="1"/>
  <c r="BX95" i="1"/>
  <c r="CG95" i="1"/>
  <c r="CC95" i="1"/>
  <c r="CC94" i="1"/>
  <c r="CF94" i="1"/>
  <c r="CB94" i="1"/>
  <c r="CA94" i="1"/>
  <c r="BZ94" i="1"/>
  <c r="BX94" i="1"/>
  <c r="CH94" i="1"/>
  <c r="BY94" i="1"/>
  <c r="BW94" i="1"/>
  <c r="CG94" i="1"/>
  <c r="CH101" i="1"/>
  <c r="CG101" i="1"/>
  <c r="BW101" i="1"/>
  <c r="CC101" i="1"/>
  <c r="CB101" i="1"/>
  <c r="CF101" i="1"/>
  <c r="CA101" i="1"/>
  <c r="BZ101" i="1"/>
  <c r="BY101" i="1"/>
  <c r="BX101" i="1"/>
  <c r="CH85" i="1"/>
  <c r="BY85" i="1"/>
  <c r="CG85" i="1"/>
  <c r="CC85" i="1"/>
  <c r="CF85" i="1"/>
  <c r="CB85" i="1"/>
  <c r="CA85" i="1"/>
  <c r="BZ85" i="1"/>
  <c r="BW85" i="1"/>
  <c r="BX85" i="1"/>
  <c r="BW61" i="1"/>
  <c r="CA61" i="1"/>
  <c r="BY61" i="1"/>
  <c r="BZ61" i="1"/>
  <c r="BX61" i="1"/>
  <c r="CH61" i="1"/>
  <c r="CG61" i="1"/>
  <c r="CC61" i="1"/>
  <c r="CF61" i="1"/>
  <c r="CB61" i="1"/>
  <c r="CH53" i="1"/>
  <c r="CG53" i="1"/>
  <c r="CC53" i="1"/>
  <c r="CF53" i="1"/>
  <c r="BZ53" i="1"/>
  <c r="BW53" i="1"/>
  <c r="CB53" i="1"/>
  <c r="CA53" i="1"/>
  <c r="BY53" i="1"/>
  <c r="BX53" i="1"/>
  <c r="CB96" i="1"/>
  <c r="CA96" i="1"/>
  <c r="BZ96" i="1"/>
  <c r="CH96" i="1"/>
  <c r="BY96" i="1"/>
  <c r="BX96" i="1"/>
  <c r="CG96" i="1"/>
  <c r="BW96" i="1"/>
  <c r="CC96" i="1"/>
  <c r="CF96" i="1"/>
  <c r="CG103" i="1"/>
  <c r="CF103" i="1"/>
  <c r="CB103" i="1"/>
  <c r="BZ103" i="1"/>
  <c r="CA103" i="1"/>
  <c r="CH103" i="1"/>
  <c r="BY103" i="1"/>
  <c r="BX103" i="1"/>
  <c r="BW103" i="1"/>
  <c r="CC103" i="1"/>
  <c r="CF87" i="1"/>
  <c r="CB87" i="1"/>
  <c r="CA87" i="1"/>
  <c r="BZ87" i="1"/>
  <c r="CH87" i="1"/>
  <c r="BY87" i="1"/>
  <c r="BX87" i="1"/>
  <c r="CG87" i="1"/>
  <c r="BW87" i="1"/>
  <c r="CC87" i="1"/>
  <c r="CC55" i="1"/>
  <c r="CH55" i="1"/>
  <c r="CF55" i="1"/>
  <c r="BZ55" i="1"/>
  <c r="CA55" i="1"/>
  <c r="CB55" i="1"/>
  <c r="BW55" i="1"/>
  <c r="BX55" i="1"/>
  <c r="BY55" i="1"/>
  <c r="CG55" i="1"/>
  <c r="CC86" i="1"/>
  <c r="CF86" i="1"/>
  <c r="CA86" i="1"/>
  <c r="CB86" i="1"/>
  <c r="BZ86" i="1"/>
  <c r="CH86" i="1"/>
  <c r="BY86" i="1"/>
  <c r="BX86" i="1"/>
  <c r="CG86" i="1"/>
  <c r="BW86" i="1"/>
  <c r="BY62" i="1"/>
  <c r="BX62" i="1"/>
  <c r="CG62" i="1"/>
  <c r="CF62" i="1"/>
  <c r="CC62" i="1"/>
  <c r="BZ62" i="1"/>
  <c r="CH62" i="1"/>
  <c r="CB62" i="1"/>
  <c r="CA62" i="1"/>
  <c r="BW62" i="1"/>
  <c r="CH109" i="1"/>
  <c r="BY109" i="1"/>
  <c r="BX109" i="1"/>
  <c r="CG109" i="1"/>
  <c r="BW109" i="1"/>
  <c r="CF109" i="1"/>
  <c r="CC109" i="1"/>
  <c r="CB109" i="1"/>
  <c r="CA109" i="1"/>
  <c r="BZ109" i="1"/>
  <c r="CG93" i="1"/>
  <c r="CC93" i="1"/>
  <c r="CF93" i="1"/>
  <c r="CB93" i="1"/>
  <c r="CA93" i="1"/>
  <c r="BZ93" i="1"/>
  <c r="CH93" i="1"/>
  <c r="BY93" i="1"/>
  <c r="BW93" i="1"/>
  <c r="BX93" i="1"/>
  <c r="BX108" i="1"/>
  <c r="CG108" i="1"/>
  <c r="BW108" i="1"/>
  <c r="CC108" i="1"/>
  <c r="CF108" i="1"/>
  <c r="CB108" i="1"/>
  <c r="BZ108" i="1"/>
  <c r="CA108" i="1"/>
  <c r="BY108" i="1"/>
  <c r="CH108" i="1"/>
  <c r="BX100" i="1"/>
  <c r="CG100" i="1"/>
  <c r="BW100" i="1"/>
  <c r="CC100" i="1"/>
  <c r="CF100" i="1"/>
  <c r="CB100" i="1"/>
  <c r="CA100" i="1"/>
  <c r="BZ100" i="1"/>
  <c r="CH100" i="1"/>
  <c r="BY100" i="1"/>
  <c r="BX92" i="1"/>
  <c r="CG92" i="1"/>
  <c r="BW92" i="1"/>
  <c r="CC92" i="1"/>
  <c r="CF92" i="1"/>
  <c r="CB92" i="1"/>
  <c r="CA92" i="1"/>
  <c r="BZ92" i="1"/>
  <c r="BY92" i="1"/>
  <c r="CH92" i="1"/>
  <c r="BZ84" i="1"/>
  <c r="BX84" i="1"/>
  <c r="CG84" i="1"/>
  <c r="BW84" i="1"/>
  <c r="CC84" i="1"/>
  <c r="CB84" i="1"/>
  <c r="CF84" i="1"/>
  <c r="CA84" i="1"/>
  <c r="BY84" i="1"/>
  <c r="CH84" i="1"/>
  <c r="CB60" i="1"/>
  <c r="CA60" i="1"/>
  <c r="CH60" i="1"/>
  <c r="BY60" i="1"/>
  <c r="BX60" i="1"/>
  <c r="CG60" i="1"/>
  <c r="BW60" i="1"/>
  <c r="CC60" i="1"/>
  <c r="CF60" i="1"/>
  <c r="BZ60" i="1"/>
  <c r="BZ90" i="1"/>
  <c r="CH90" i="1"/>
  <c r="BY90" i="1"/>
  <c r="BX90" i="1"/>
  <c r="CG90" i="1"/>
  <c r="BW90" i="1"/>
  <c r="CC90" i="1"/>
  <c r="CF90" i="1"/>
  <c r="CB90" i="1"/>
  <c r="CA90" i="1"/>
  <c r="CH99" i="1"/>
  <c r="BY99" i="1"/>
  <c r="BX99" i="1"/>
  <c r="CG99" i="1"/>
  <c r="BW99" i="1"/>
  <c r="CC99" i="1"/>
  <c r="CF99" i="1"/>
  <c r="CB99" i="1"/>
  <c r="CA99" i="1"/>
  <c r="BZ99" i="1"/>
  <c r="CF105" i="1"/>
  <c r="CA105" i="1"/>
  <c r="BZ105" i="1"/>
  <c r="CH105" i="1"/>
  <c r="BY105" i="1"/>
  <c r="BX105" i="1"/>
  <c r="CG105" i="1"/>
  <c r="BW105" i="1"/>
  <c r="CC105" i="1"/>
  <c r="CB105" i="1"/>
  <c r="CB98" i="1"/>
  <c r="BZ98" i="1"/>
  <c r="CH98" i="1"/>
  <c r="BY98" i="1"/>
  <c r="BW98" i="1"/>
  <c r="BX98" i="1"/>
  <c r="CG98" i="1"/>
  <c r="CC98" i="1"/>
  <c r="CF98" i="1"/>
  <c r="CA98" i="1"/>
  <c r="CA97" i="1"/>
  <c r="BZ97" i="1"/>
  <c r="BX97" i="1"/>
  <c r="CH97" i="1"/>
  <c r="BY97" i="1"/>
  <c r="CG97" i="1"/>
  <c r="BW97" i="1"/>
  <c r="CC97" i="1"/>
  <c r="CF97" i="1"/>
  <c r="CB97" i="1"/>
  <c r="CF56" i="1"/>
  <c r="BZ56" i="1"/>
  <c r="CB56" i="1"/>
  <c r="CH56" i="1"/>
  <c r="CA56" i="1"/>
  <c r="BY56" i="1"/>
  <c r="BW56" i="1"/>
  <c r="BX56" i="1"/>
  <c r="CG56" i="1"/>
  <c r="CC56" i="1"/>
  <c r="CH63" i="1"/>
  <c r="BY63" i="1"/>
  <c r="BW63" i="1"/>
  <c r="BX63" i="1"/>
  <c r="CF63" i="1"/>
  <c r="CC63" i="1"/>
  <c r="CG63" i="1"/>
  <c r="CB63" i="1"/>
  <c r="BZ63" i="1"/>
  <c r="CA63" i="1"/>
  <c r="CA91" i="1"/>
  <c r="CH91" i="1"/>
  <c r="BY91" i="1"/>
  <c r="BX91" i="1"/>
  <c r="CG91" i="1"/>
  <c r="BW91" i="1"/>
  <c r="CC91" i="1"/>
  <c r="CF91" i="1"/>
  <c r="CB91" i="1"/>
  <c r="BZ91" i="1"/>
  <c r="BZ106" i="1"/>
  <c r="CH106" i="1"/>
  <c r="BY106" i="1"/>
  <c r="BX106" i="1"/>
  <c r="CG106" i="1"/>
  <c r="BW106" i="1"/>
  <c r="CC106" i="1"/>
  <c r="CB106" i="1"/>
  <c r="CF106" i="1"/>
  <c r="CA106" i="1"/>
  <c r="CA89" i="1"/>
  <c r="BZ89" i="1"/>
  <c r="CH89" i="1"/>
  <c r="BY89" i="1"/>
  <c r="BX89" i="1"/>
  <c r="CG89" i="1"/>
  <c r="BW89" i="1"/>
  <c r="CC89" i="1"/>
  <c r="CF89" i="1"/>
  <c r="CB89" i="1"/>
  <c r="CB88" i="1"/>
  <c r="CA88" i="1"/>
  <c r="BY88" i="1"/>
  <c r="BZ88" i="1"/>
  <c r="CH88" i="1"/>
  <c r="BX88" i="1"/>
  <c r="CG88" i="1"/>
  <c r="BW88" i="1"/>
  <c r="CC88" i="1"/>
  <c r="CF88" i="1"/>
  <c r="CC102" i="1"/>
  <c r="CF102" i="1"/>
  <c r="CB102" i="1"/>
  <c r="CA102" i="1"/>
  <c r="BZ102" i="1"/>
  <c r="CH102" i="1"/>
  <c r="BY102" i="1"/>
  <c r="BX102" i="1"/>
  <c r="CG102" i="1"/>
  <c r="BW102" i="1"/>
  <c r="BN34" i="1"/>
  <c r="BQ34" i="1" s="1"/>
  <c r="BN37" i="1"/>
  <c r="BO37" i="1" s="1"/>
  <c r="BN28" i="1"/>
  <c r="BO28" i="1" s="1"/>
  <c r="BN33" i="1"/>
  <c r="BO33" i="1" s="1"/>
  <c r="BN26" i="1"/>
  <c r="BO26" i="1" s="1"/>
  <c r="BN31" i="1"/>
  <c r="BO31" i="1" s="1"/>
  <c r="BP22" i="1"/>
  <c r="BQ22" i="1"/>
  <c r="BP23" i="1"/>
  <c r="BQ23" i="1"/>
  <c r="BQ24" i="1"/>
  <c r="BP24" i="1"/>
  <c r="BP30" i="1"/>
  <c r="BQ30" i="1"/>
  <c r="BP13" i="1"/>
  <c r="BQ13" i="1"/>
  <c r="BQ32" i="1"/>
  <c r="BP32" i="1"/>
  <c r="BQ17" i="1"/>
  <c r="BP17" i="1"/>
  <c r="BP36" i="1"/>
  <c r="BQ36" i="1"/>
  <c r="BQ18" i="1"/>
  <c r="BP18" i="1"/>
  <c r="BP20" i="1"/>
  <c r="BQ20" i="1"/>
  <c r="N8" i="11"/>
  <c r="B8" i="11" s="1"/>
  <c r="P8" i="11" s="1"/>
  <c r="N8" i="10"/>
  <c r="B8" i="10" s="1"/>
  <c r="P8" i="10" s="1"/>
  <c r="N8" i="6"/>
  <c r="B8" i="6" s="1"/>
  <c r="P8" i="6" s="1"/>
  <c r="V51" i="1"/>
  <c r="W51" i="1" s="1"/>
  <c r="X51" i="1" s="1"/>
  <c r="CI28" i="1"/>
  <c r="CI33" i="1"/>
  <c r="CI34" i="1"/>
  <c r="CI37" i="1"/>
  <c r="BO23" i="1"/>
  <c r="CI23" i="1"/>
  <c r="BO20" i="1"/>
  <c r="CI20" i="1"/>
  <c r="BO22" i="1"/>
  <c r="CI22" i="1"/>
  <c r="CI35" i="1"/>
  <c r="CI14" i="1"/>
  <c r="BO24" i="1"/>
  <c r="CI24" i="1"/>
  <c r="CI31" i="1"/>
  <c r="CI10" i="1"/>
  <c r="CI15" i="1"/>
  <c r="CI29" i="1"/>
  <c r="BO30" i="1"/>
  <c r="CI30" i="1"/>
  <c r="CI26" i="1"/>
  <c r="CI11" i="1"/>
  <c r="CI16" i="1"/>
  <c r="BO13" i="1"/>
  <c r="CI13" i="1"/>
  <c r="BO32" i="1"/>
  <c r="CI32" i="1"/>
  <c r="CI12" i="1"/>
  <c r="CI21" i="1"/>
  <c r="BO17" i="1"/>
  <c r="CI17" i="1"/>
  <c r="BO36" i="1"/>
  <c r="CI36" i="1"/>
  <c r="CI25" i="1"/>
  <c r="CI27" i="1"/>
  <c r="BO18" i="1"/>
  <c r="CI18" i="1"/>
  <c r="Q38" i="1"/>
  <c r="T38" i="1" s="1"/>
  <c r="V38" i="1" s="1"/>
  <c r="W38" i="1" s="1"/>
  <c r="AO110" i="1"/>
  <c r="AG110" i="1"/>
  <c r="AL110" i="1"/>
  <c r="AH110" i="1"/>
  <c r="AJ110" i="1"/>
  <c r="AI110" i="1"/>
  <c r="AN110" i="1"/>
  <c r="AK110" i="1"/>
  <c r="AM110" i="1"/>
  <c r="F110" i="1"/>
  <c r="G110" i="1" l="1"/>
  <c r="V9" i="39"/>
  <c r="V5" i="39"/>
  <c r="V13" i="39"/>
  <c r="N16" i="10"/>
  <c r="N17" i="10" s="1"/>
  <c r="N16" i="6"/>
  <c r="CI110" i="1"/>
  <c r="U10" i="47"/>
  <c r="V10" i="47" s="1"/>
  <c r="N10" i="47"/>
  <c r="U8" i="47"/>
  <c r="V8" i="47" s="1"/>
  <c r="N8" i="47"/>
  <c r="U9" i="47"/>
  <c r="V9" i="47" s="1"/>
  <c r="N9" i="47"/>
  <c r="BW110" i="1"/>
  <c r="BY110" i="1"/>
  <c r="BR110" i="1"/>
  <c r="BR119" i="1" s="1"/>
  <c r="K60" i="46"/>
  <c r="K59" i="46"/>
  <c r="L59" i="46"/>
  <c r="L60" i="46"/>
  <c r="N60" i="46"/>
  <c r="N59" i="46"/>
  <c r="M59" i="46"/>
  <c r="C126" i="49"/>
  <c r="D126" i="49" s="1"/>
  <c r="E126" i="49" s="1"/>
  <c r="G126" i="49" s="1"/>
  <c r="G15" i="2"/>
  <c r="AG112" i="1"/>
  <c r="AG113" i="1" s="1"/>
  <c r="C125" i="49"/>
  <c r="D125" i="49" s="1"/>
  <c r="F125" i="49" s="1"/>
  <c r="C132" i="49"/>
  <c r="D132" i="49" s="1"/>
  <c r="E132" i="49" s="1"/>
  <c r="G132" i="49" s="1"/>
  <c r="C127" i="49"/>
  <c r="D127" i="49" s="1"/>
  <c r="E127" i="49" s="1"/>
  <c r="G127" i="49" s="1"/>
  <c r="C131" i="49"/>
  <c r="D131" i="49" s="1"/>
  <c r="E131" i="49" s="1"/>
  <c r="G131" i="49" s="1"/>
  <c r="C128" i="49"/>
  <c r="C82" i="49"/>
  <c r="C85" i="49"/>
  <c r="C86" i="49"/>
  <c r="D26" i="49"/>
  <c r="F26" i="49" s="1"/>
  <c r="C43" i="49"/>
  <c r="C41" i="49"/>
  <c r="C42" i="49" s="1"/>
  <c r="N14" i="6"/>
  <c r="B14" i="6" s="1"/>
  <c r="N14" i="10"/>
  <c r="B14" i="10" s="1"/>
  <c r="F12" i="49"/>
  <c r="F98" i="49"/>
  <c r="F120" i="49"/>
  <c r="F15" i="49"/>
  <c r="F39" i="49"/>
  <c r="F10" i="49"/>
  <c r="F28" i="49"/>
  <c r="F8" i="49"/>
  <c r="F9" i="49"/>
  <c r="F16" i="49"/>
  <c r="F51" i="49"/>
  <c r="F3" i="49"/>
  <c r="F78" i="49"/>
  <c r="F104" i="49"/>
  <c r="F95" i="49"/>
  <c r="F57" i="49"/>
  <c r="F84" i="49"/>
  <c r="F32" i="49"/>
  <c r="F83" i="49"/>
  <c r="F129" i="49"/>
  <c r="F36" i="49"/>
  <c r="F119" i="49"/>
  <c r="F130" i="49"/>
  <c r="F121" i="49"/>
  <c r="F49" i="49"/>
  <c r="F75" i="49"/>
  <c r="F105" i="49"/>
  <c r="F5" i="49"/>
  <c r="F33" i="49"/>
  <c r="F81" i="49"/>
  <c r="F53" i="49"/>
  <c r="F58" i="49"/>
  <c r="F13" i="49"/>
  <c r="F97" i="49"/>
  <c r="F14" i="49"/>
  <c r="F4" i="49"/>
  <c r="F118" i="49"/>
  <c r="F30" i="49"/>
  <c r="F27" i="49"/>
  <c r="F17" i="49"/>
  <c r="F50" i="49"/>
  <c r="F61" i="49"/>
  <c r="F7" i="49"/>
  <c r="F60" i="49"/>
  <c r="F73" i="49"/>
  <c r="F6" i="49"/>
  <c r="F96" i="49"/>
  <c r="F31" i="49"/>
  <c r="F56" i="49"/>
  <c r="F54" i="49"/>
  <c r="F101" i="49"/>
  <c r="F76" i="49"/>
  <c r="F59" i="49"/>
  <c r="F122" i="49"/>
  <c r="F37" i="49"/>
  <c r="F55" i="49"/>
  <c r="F38" i="49"/>
  <c r="F79" i="49"/>
  <c r="F103" i="49"/>
  <c r="F123" i="49"/>
  <c r="F106" i="49"/>
  <c r="F109" i="49"/>
  <c r="F107" i="49"/>
  <c r="F52" i="49"/>
  <c r="F63" i="49"/>
  <c r="F80" i="49"/>
  <c r="F102" i="49"/>
  <c r="F74" i="49"/>
  <c r="F72" i="49"/>
  <c r="F77" i="49"/>
  <c r="F108" i="49"/>
  <c r="F40" i="49"/>
  <c r="F62" i="49"/>
  <c r="F99" i="49"/>
  <c r="F100" i="49"/>
  <c r="F35" i="49"/>
  <c r="F124" i="49"/>
  <c r="F11" i="49"/>
  <c r="F34" i="49"/>
  <c r="F29" i="49"/>
  <c r="N15" i="6"/>
  <c r="B15" i="6" s="1"/>
  <c r="N15" i="10"/>
  <c r="B15" i="10" s="1"/>
  <c r="G61" i="49"/>
  <c r="G12" i="49"/>
  <c r="G37" i="49"/>
  <c r="G101" i="49"/>
  <c r="G8" i="49"/>
  <c r="G5" i="49"/>
  <c r="G122" i="49"/>
  <c r="G9" i="49"/>
  <c r="G15" i="49"/>
  <c r="G50" i="49"/>
  <c r="G79" i="49"/>
  <c r="G33" i="49"/>
  <c r="G98" i="49"/>
  <c r="G77" i="49"/>
  <c r="G96" i="49"/>
  <c r="G17" i="49"/>
  <c r="G63" i="49"/>
  <c r="G75" i="49"/>
  <c r="G53" i="49"/>
  <c r="G73" i="49"/>
  <c r="G10" i="49"/>
  <c r="G104" i="49"/>
  <c r="G58" i="49"/>
  <c r="G31" i="49"/>
  <c r="G57" i="49"/>
  <c r="G78" i="49"/>
  <c r="G130" i="49"/>
  <c r="G16" i="49"/>
  <c r="G105" i="49"/>
  <c r="G109" i="49"/>
  <c r="G52" i="49"/>
  <c r="G99" i="49"/>
  <c r="G121" i="49"/>
  <c r="G32" i="49"/>
  <c r="G4" i="49"/>
  <c r="G55" i="49"/>
  <c r="G54" i="49"/>
  <c r="G14" i="49"/>
  <c r="G74" i="49"/>
  <c r="G34" i="49"/>
  <c r="G60" i="49"/>
  <c r="G11" i="49"/>
  <c r="G36" i="49"/>
  <c r="G108" i="49"/>
  <c r="G95" i="49"/>
  <c r="G6" i="49"/>
  <c r="G124" i="49"/>
  <c r="G119" i="49"/>
  <c r="G39" i="49"/>
  <c r="G83" i="49"/>
  <c r="G120" i="49"/>
  <c r="G28" i="49"/>
  <c r="G80" i="49"/>
  <c r="G38" i="49"/>
  <c r="G7" i="49"/>
  <c r="G51" i="49"/>
  <c r="G30" i="49"/>
  <c r="G106" i="49"/>
  <c r="G40" i="49"/>
  <c r="G62" i="49"/>
  <c r="G35" i="49"/>
  <c r="G56" i="49"/>
  <c r="G3" i="49"/>
  <c r="G59" i="49"/>
  <c r="G76" i="49"/>
  <c r="G129" i="49"/>
  <c r="G81" i="49"/>
  <c r="G102" i="49"/>
  <c r="G97" i="49"/>
  <c r="G13" i="49"/>
  <c r="G123" i="49"/>
  <c r="G29" i="49"/>
  <c r="G107" i="49"/>
  <c r="G84" i="49"/>
  <c r="G27" i="49"/>
  <c r="G49" i="49"/>
  <c r="G72" i="49"/>
  <c r="G118" i="49"/>
  <c r="G103" i="49"/>
  <c r="G100" i="49"/>
  <c r="BP35" i="1"/>
  <c r="BQ10" i="1"/>
  <c r="BQ15" i="1"/>
  <c r="BP14" i="1"/>
  <c r="BQ35" i="1"/>
  <c r="BO10" i="1"/>
  <c r="BQ11" i="1"/>
  <c r="BO15" i="1"/>
  <c r="BO25" i="1"/>
  <c r="BP25" i="1"/>
  <c r="BO21" i="1"/>
  <c r="BP11" i="1"/>
  <c r="CJ87" i="1"/>
  <c r="CJ86" i="1"/>
  <c r="BQ21" i="1"/>
  <c r="BP29" i="1"/>
  <c r="BU110" i="1"/>
  <c r="BU119" i="1" s="1"/>
  <c r="CJ100" i="1"/>
  <c r="CJ108" i="1"/>
  <c r="CJ106" i="1"/>
  <c r="BO29" i="1"/>
  <c r="BQ12" i="1"/>
  <c r="CJ109" i="1"/>
  <c r="BQ14" i="1"/>
  <c r="CJ93" i="1"/>
  <c r="BO12" i="1"/>
  <c r="CJ85" i="1"/>
  <c r="CL93" i="1"/>
  <c r="CL109" i="1"/>
  <c r="CL97" i="1"/>
  <c r="CJ94" i="1"/>
  <c r="CL96" i="1"/>
  <c r="CJ95" i="1"/>
  <c r="CL107" i="1"/>
  <c r="BT110" i="1"/>
  <c r="BT119" i="1" s="1"/>
  <c r="CL92" i="1"/>
  <c r="CL101" i="1"/>
  <c r="CJ103" i="1"/>
  <c r="CJ98" i="1"/>
  <c r="BO27" i="1"/>
  <c r="BO16" i="1"/>
  <c r="CJ107" i="1"/>
  <c r="CL84" i="1"/>
  <c r="CL108" i="1"/>
  <c r="CL87" i="1"/>
  <c r="CJ101" i="1"/>
  <c r="CL86" i="1"/>
  <c r="CL106" i="1"/>
  <c r="CJ99" i="1"/>
  <c r="CJ84" i="1"/>
  <c r="BS110" i="1"/>
  <c r="BS119" i="1" s="1"/>
  <c r="CJ97" i="1"/>
  <c r="BV110" i="1"/>
  <c r="BV119" i="1" s="1"/>
  <c r="BV120" i="1" s="1"/>
  <c r="CL102" i="1"/>
  <c r="CL89" i="1"/>
  <c r="CL90" i="1"/>
  <c r="CL88" i="1"/>
  <c r="BP27" i="1"/>
  <c r="BP16" i="1"/>
  <c r="CJ96" i="1"/>
  <c r="CJ92" i="1"/>
  <c r="CL100" i="1"/>
  <c r="CJ102" i="1"/>
  <c r="CL104" i="1"/>
  <c r="CJ89" i="1"/>
  <c r="CL99" i="1"/>
  <c r="CJ88" i="1"/>
  <c r="CL85" i="1"/>
  <c r="CL94" i="1"/>
  <c r="CJ104" i="1"/>
  <c r="CL95" i="1"/>
  <c r="CL105" i="1"/>
  <c r="CJ90" i="1"/>
  <c r="CL91" i="1"/>
  <c r="CL103" i="1"/>
  <c r="CJ105" i="1"/>
  <c r="CJ91" i="1"/>
  <c r="CL98" i="1"/>
  <c r="CA110" i="1"/>
  <c r="CM88" i="1"/>
  <c r="CM91" i="1"/>
  <c r="CM105" i="1"/>
  <c r="CM107" i="1"/>
  <c r="BO34" i="1"/>
  <c r="BN102" i="1"/>
  <c r="CK102" i="1"/>
  <c r="CM106" i="1"/>
  <c r="CM90" i="1"/>
  <c r="BN84" i="1"/>
  <c r="CK84" i="1"/>
  <c r="BN93" i="1"/>
  <c r="CK93" i="1"/>
  <c r="BN86" i="1"/>
  <c r="CK86" i="1"/>
  <c r="CM96" i="1"/>
  <c r="BN53" i="1"/>
  <c r="CK53" i="1"/>
  <c r="C10" i="11"/>
  <c r="J10" i="11"/>
  <c r="J12" i="11" s="1"/>
  <c r="J14" i="11" s="1"/>
  <c r="I10" i="11"/>
  <c r="I12" i="11" s="1"/>
  <c r="I14" i="11" s="1"/>
  <c r="BX110" i="1"/>
  <c r="E10" i="11"/>
  <c r="E12" i="11" s="1"/>
  <c r="E14" i="11" s="1"/>
  <c r="N10" i="11"/>
  <c r="N12" i="11" s="1"/>
  <c r="N14" i="11" s="1"/>
  <c r="M10" i="11"/>
  <c r="M12" i="11" s="1"/>
  <c r="M14" i="11" s="1"/>
  <c r="H10" i="11"/>
  <c r="H12" i="11" s="1"/>
  <c r="H14" i="11" s="1"/>
  <c r="G10" i="11"/>
  <c r="G12" i="11" s="1"/>
  <c r="G14" i="11" s="1"/>
  <c r="L10" i="11"/>
  <c r="L12" i="11" s="1"/>
  <c r="L14" i="11" s="1"/>
  <c r="D10" i="11"/>
  <c r="D12" i="11" s="1"/>
  <c r="D14" i="11" s="1"/>
  <c r="F10" i="11"/>
  <c r="F12" i="11" s="1"/>
  <c r="F14" i="11" s="1"/>
  <c r="K10" i="11"/>
  <c r="K12" i="11" s="1"/>
  <c r="K14" i="11" s="1"/>
  <c r="CG110" i="1"/>
  <c r="BN55" i="1"/>
  <c r="CK55" i="1"/>
  <c r="BN96" i="1"/>
  <c r="CK96" i="1"/>
  <c r="BN99" i="1"/>
  <c r="CK99" i="1"/>
  <c r="CM60" i="1"/>
  <c r="CM92" i="1"/>
  <c r="CM93" i="1"/>
  <c r="BN109" i="1"/>
  <c r="CK109" i="1"/>
  <c r="CH110" i="1"/>
  <c r="CM94" i="1"/>
  <c r="BN97" i="1"/>
  <c r="CK97" i="1"/>
  <c r="CM98" i="1"/>
  <c r="BN60" i="1"/>
  <c r="CK60" i="1"/>
  <c r="BN92" i="1"/>
  <c r="CK92" i="1"/>
  <c r="CM100" i="1"/>
  <c r="CM55" i="1"/>
  <c r="CM87" i="1"/>
  <c r="CB110" i="1"/>
  <c r="CM61" i="1"/>
  <c r="BN88" i="1"/>
  <c r="CK88" i="1"/>
  <c r="BN91" i="1"/>
  <c r="CK91" i="1"/>
  <c r="BN56" i="1"/>
  <c r="CK56" i="1"/>
  <c r="BN105" i="1"/>
  <c r="CK105" i="1"/>
  <c r="CM62" i="1"/>
  <c r="BN62" i="1"/>
  <c r="CK62" i="1"/>
  <c r="CM53" i="1"/>
  <c r="BN85" i="1"/>
  <c r="CK85" i="1"/>
  <c r="BN94" i="1"/>
  <c r="CK94" i="1"/>
  <c r="BN95" i="1"/>
  <c r="CK95" i="1"/>
  <c r="CM89" i="1"/>
  <c r="CM56" i="1"/>
  <c r="BN100" i="1"/>
  <c r="CK100" i="1"/>
  <c r="CM108" i="1"/>
  <c r="BN87" i="1"/>
  <c r="CK87" i="1"/>
  <c r="CM103" i="1"/>
  <c r="BZ110" i="1"/>
  <c r="CM85" i="1"/>
  <c r="CM101" i="1"/>
  <c r="CM95" i="1"/>
  <c r="CM104" i="1"/>
  <c r="BN107" i="1"/>
  <c r="CK107" i="1"/>
  <c r="CM102" i="1"/>
  <c r="BN63" i="1"/>
  <c r="CK63" i="1"/>
  <c r="CM84" i="1"/>
  <c r="CM86" i="1"/>
  <c r="BN103" i="1"/>
  <c r="CK103" i="1"/>
  <c r="CF110" i="1"/>
  <c r="BN101" i="1"/>
  <c r="CK101" i="1"/>
  <c r="BN106" i="1"/>
  <c r="CK106" i="1"/>
  <c r="BN98" i="1"/>
  <c r="CK98" i="1"/>
  <c r="BN90" i="1"/>
  <c r="CK90" i="1"/>
  <c r="BN89" i="1"/>
  <c r="CK89" i="1"/>
  <c r="CM63" i="1"/>
  <c r="CM97" i="1"/>
  <c r="CM99" i="1"/>
  <c r="BN108" i="1"/>
  <c r="CK108" i="1"/>
  <c r="CM109" i="1"/>
  <c r="CC110" i="1"/>
  <c r="BN61" i="1"/>
  <c r="CK61" i="1"/>
  <c r="BN104" i="1"/>
  <c r="CK104" i="1"/>
  <c r="BP37" i="1"/>
  <c r="BP34" i="1"/>
  <c r="BQ37" i="1"/>
  <c r="BP31" i="1"/>
  <c r="BQ31" i="1"/>
  <c r="BQ26" i="1"/>
  <c r="BP26" i="1"/>
  <c r="BQ33" i="1"/>
  <c r="BP33" i="1"/>
  <c r="BP28" i="1"/>
  <c r="BQ28" i="1"/>
  <c r="P17" i="10"/>
  <c r="O17" i="6"/>
  <c r="X38" i="1"/>
  <c r="W110" i="1"/>
  <c r="F127" i="14"/>
  <c r="F6" i="14" s="1"/>
  <c r="F7" i="14" s="1"/>
  <c r="L127" i="14"/>
  <c r="G127" i="14"/>
  <c r="G6" i="14" s="1"/>
  <c r="G7" i="14" s="1"/>
  <c r="H127" i="14"/>
  <c r="H6" i="14" s="1"/>
  <c r="H7" i="14" s="1"/>
  <c r="N127" i="14"/>
  <c r="N6" i="14" s="1"/>
  <c r="N7" i="14" s="1"/>
  <c r="I127" i="14"/>
  <c r="I6" i="14" s="1"/>
  <c r="I7" i="14" s="1"/>
  <c r="K127" i="14"/>
  <c r="J127" i="14"/>
  <c r="J6" i="14" s="1"/>
  <c r="J7" i="14" s="1"/>
  <c r="M127" i="14"/>
  <c r="E127" i="14"/>
  <c r="E6" i="14" s="1"/>
  <c r="E7" i="14" s="1"/>
  <c r="D127" i="14"/>
  <c r="CK110" i="1" l="1"/>
  <c r="CM110" i="1"/>
  <c r="CJ110" i="1"/>
  <c r="CL110" i="1"/>
  <c r="R21" i="39"/>
  <c r="Q21" i="39"/>
  <c r="P21" i="39"/>
  <c r="L21" i="39"/>
  <c r="O21" i="39"/>
  <c r="V21" i="39"/>
  <c r="N21" i="39"/>
  <c r="U21" i="39"/>
  <c r="M21" i="39"/>
  <c r="T21" i="39"/>
  <c r="S21" i="39"/>
  <c r="K21" i="39"/>
  <c r="Y20" i="37"/>
  <c r="X20" i="37"/>
  <c r="W20" i="37"/>
  <c r="BW114" i="1"/>
  <c r="BW122" i="1" s="1"/>
  <c r="F126" i="49"/>
  <c r="F127" i="49"/>
  <c r="F131" i="49"/>
  <c r="C133" i="49"/>
  <c r="C134" i="49" s="1"/>
  <c r="F132" i="49"/>
  <c r="C136" i="49"/>
  <c r="P14" i="10"/>
  <c r="E125" i="49"/>
  <c r="D86" i="49"/>
  <c r="K86" i="49"/>
  <c r="D85" i="49"/>
  <c r="K85" i="49"/>
  <c r="D82" i="49"/>
  <c r="C91" i="49"/>
  <c r="K82" i="49"/>
  <c r="C87" i="49"/>
  <c r="C88" i="49" s="1"/>
  <c r="D128" i="49"/>
  <c r="D133" i="49" s="1"/>
  <c r="D134" i="49" s="1"/>
  <c r="C137" i="49"/>
  <c r="E26" i="49"/>
  <c r="D41" i="49"/>
  <c r="D42" i="49" s="1"/>
  <c r="H13" i="49"/>
  <c r="H22" i="49" s="1"/>
  <c r="G64" i="49"/>
  <c r="G65" i="49" s="1"/>
  <c r="H56" i="49"/>
  <c r="H67" i="49" s="1"/>
  <c r="H105" i="49"/>
  <c r="H114" i="49" s="1"/>
  <c r="F18" i="49"/>
  <c r="F19" i="49" s="1"/>
  <c r="H3" i="49"/>
  <c r="H102" i="49"/>
  <c r="H113" i="49" s="1"/>
  <c r="H59" i="49"/>
  <c r="H68" i="49" s="1"/>
  <c r="F64" i="49"/>
  <c r="F65" i="49" s="1"/>
  <c r="H49" i="49"/>
  <c r="F41" i="49"/>
  <c r="F42" i="49" s="1"/>
  <c r="G18" i="49"/>
  <c r="G19" i="49" s="1"/>
  <c r="H10" i="49"/>
  <c r="H21" i="49" s="1"/>
  <c r="F110" i="49"/>
  <c r="F111" i="49" s="1"/>
  <c r="H95" i="49"/>
  <c r="H79" i="49"/>
  <c r="H90" i="49" s="1"/>
  <c r="H118" i="49"/>
  <c r="H33" i="49"/>
  <c r="H44" i="49" s="1"/>
  <c r="G110" i="49"/>
  <c r="G111" i="49" s="1"/>
  <c r="H72" i="49"/>
  <c r="H36" i="49"/>
  <c r="H45" i="49" s="1"/>
  <c r="B4" i="14"/>
  <c r="M15" i="14"/>
  <c r="K15" i="14"/>
  <c r="L15" i="14"/>
  <c r="BN110" i="1"/>
  <c r="BQ95" i="1"/>
  <c r="BP95" i="1"/>
  <c r="BO95" i="1"/>
  <c r="BP62" i="1"/>
  <c r="BQ62" i="1"/>
  <c r="BO62" i="1"/>
  <c r="BP92" i="1"/>
  <c r="BQ92" i="1"/>
  <c r="BO92" i="1"/>
  <c r="L13" i="11"/>
  <c r="J13" i="11"/>
  <c r="BP93" i="1"/>
  <c r="BQ93" i="1"/>
  <c r="BO93" i="1"/>
  <c r="BQ90" i="1"/>
  <c r="BP90" i="1"/>
  <c r="BO90" i="1"/>
  <c r="BQ107" i="1"/>
  <c r="BP107" i="1"/>
  <c r="BO107" i="1"/>
  <c r="BP87" i="1"/>
  <c r="BQ87" i="1"/>
  <c r="BO87" i="1"/>
  <c r="BP88" i="1"/>
  <c r="BQ88" i="1"/>
  <c r="BO88" i="1"/>
  <c r="BQ96" i="1"/>
  <c r="BP96" i="1"/>
  <c r="BO96" i="1"/>
  <c r="G13" i="11"/>
  <c r="C12" i="11"/>
  <c r="C14" i="11" s="1"/>
  <c r="B10" i="11"/>
  <c r="BP103" i="1"/>
  <c r="BQ103" i="1"/>
  <c r="BO103" i="1"/>
  <c r="BP84" i="1"/>
  <c r="BQ84" i="1"/>
  <c r="BO84" i="1"/>
  <c r="BP98" i="1"/>
  <c r="BQ98" i="1"/>
  <c r="BO98" i="1"/>
  <c r="BQ105" i="1"/>
  <c r="BP105" i="1"/>
  <c r="BO105" i="1"/>
  <c r="BP55" i="1"/>
  <c r="BQ55" i="1"/>
  <c r="BO55" i="1"/>
  <c r="M13" i="11"/>
  <c r="BQ53" i="1"/>
  <c r="BP53" i="1"/>
  <c r="BO53" i="1"/>
  <c r="H13" i="11"/>
  <c r="BQ104" i="1"/>
  <c r="BP104" i="1"/>
  <c r="BO104" i="1"/>
  <c r="BQ100" i="1"/>
  <c r="BP100" i="1"/>
  <c r="BO100" i="1"/>
  <c r="BQ85" i="1"/>
  <c r="BP85" i="1"/>
  <c r="BO85" i="1"/>
  <c r="N13" i="11"/>
  <c r="BQ108" i="1"/>
  <c r="BP108" i="1"/>
  <c r="BO108" i="1"/>
  <c r="BP94" i="1"/>
  <c r="BQ94" i="1"/>
  <c r="BO94" i="1"/>
  <c r="BQ109" i="1"/>
  <c r="BP109" i="1"/>
  <c r="BO109" i="1"/>
  <c r="BQ106" i="1"/>
  <c r="BP106" i="1"/>
  <c r="BO106" i="1"/>
  <c r="BQ56" i="1"/>
  <c r="BP56" i="1"/>
  <c r="BO56" i="1"/>
  <c r="BP97" i="1"/>
  <c r="BQ97" i="1"/>
  <c r="BO97" i="1"/>
  <c r="K13" i="11"/>
  <c r="E13" i="11"/>
  <c r="BP60" i="1"/>
  <c r="BQ60" i="1"/>
  <c r="BO60" i="1"/>
  <c r="BP61" i="1"/>
  <c r="BQ61" i="1"/>
  <c r="BO61" i="1"/>
  <c r="BQ63" i="1"/>
  <c r="BP63" i="1"/>
  <c r="BO63" i="1"/>
  <c r="M14" i="14"/>
  <c r="H14" i="14"/>
  <c r="H16" i="14" s="1"/>
  <c r="H18" i="14" s="1"/>
  <c r="J14" i="14"/>
  <c r="J16" i="14" s="1"/>
  <c r="J18" i="14" s="1"/>
  <c r="D14" i="14"/>
  <c r="D16" i="14" s="1"/>
  <c r="D18" i="14" s="1"/>
  <c r="E14" i="14"/>
  <c r="E16" i="14" s="1"/>
  <c r="E18" i="14" s="1"/>
  <c r="K14" i="14"/>
  <c r="I14" i="14"/>
  <c r="I16" i="14" s="1"/>
  <c r="I18" i="14" s="1"/>
  <c r="C14" i="14"/>
  <c r="G14" i="14"/>
  <c r="G16" i="14" s="1"/>
  <c r="G18" i="14" s="1"/>
  <c r="N14" i="14"/>
  <c r="N16" i="14" s="1"/>
  <c r="N18" i="14" s="1"/>
  <c r="F14" i="14"/>
  <c r="F16" i="14" s="1"/>
  <c r="F18" i="14" s="1"/>
  <c r="L14" i="14"/>
  <c r="F13" i="11"/>
  <c r="BP86" i="1"/>
  <c r="BQ86" i="1"/>
  <c r="BO86" i="1"/>
  <c r="BP102" i="1"/>
  <c r="BQ102" i="1"/>
  <c r="BO102" i="1"/>
  <c r="BP89" i="1"/>
  <c r="BQ89" i="1"/>
  <c r="BO89" i="1"/>
  <c r="BQ101" i="1"/>
  <c r="BP101" i="1"/>
  <c r="BO101" i="1"/>
  <c r="BP91" i="1"/>
  <c r="BQ91" i="1"/>
  <c r="BO91" i="1"/>
  <c r="BQ99" i="1"/>
  <c r="BP99" i="1"/>
  <c r="BO99" i="1"/>
  <c r="D13" i="11"/>
  <c r="I13" i="11"/>
  <c r="B17" i="6"/>
  <c r="B16" i="6"/>
  <c r="B17" i="10"/>
  <c r="B16" i="10"/>
  <c r="N8" i="14"/>
  <c r="N9" i="14"/>
  <c r="N10" i="14" s="1"/>
  <c r="N11" i="14"/>
  <c r="N12" i="14" s="1"/>
  <c r="H8" i="14"/>
  <c r="H11" i="14"/>
  <c r="H12" i="14" s="1"/>
  <c r="H9" i="14"/>
  <c r="H10" i="14" s="1"/>
  <c r="G8" i="14"/>
  <c r="G11" i="14"/>
  <c r="G9" i="14"/>
  <c r="G10" i="14" s="1"/>
  <c r="E8" i="14"/>
  <c r="E11" i="14"/>
  <c r="E12" i="14" s="1"/>
  <c r="E9" i="14"/>
  <c r="E10" i="14" s="1"/>
  <c r="J8" i="14"/>
  <c r="J11" i="14"/>
  <c r="J12" i="14" s="1"/>
  <c r="J9" i="14"/>
  <c r="J10" i="14" s="1"/>
  <c r="F8" i="14"/>
  <c r="F9" i="14"/>
  <c r="F11" i="14"/>
  <c r="F12" i="14" s="1"/>
  <c r="I8" i="14"/>
  <c r="I11" i="14"/>
  <c r="I12" i="14" s="1"/>
  <c r="I9" i="14"/>
  <c r="I10" i="14" s="1"/>
  <c r="D6" i="14"/>
  <c r="O127" i="14"/>
  <c r="O104" i="14"/>
  <c r="K15" i="11" l="1"/>
  <c r="K16" i="11"/>
  <c r="K17" i="11" s="1"/>
  <c r="E15" i="11"/>
  <c r="E16" i="11"/>
  <c r="E17" i="11" s="1"/>
  <c r="L15" i="11"/>
  <c r="L16" i="11"/>
  <c r="L17" i="11" s="1"/>
  <c r="M15" i="11"/>
  <c r="M16" i="11"/>
  <c r="M17" i="11" s="1"/>
  <c r="H15" i="11"/>
  <c r="H16" i="11"/>
  <c r="H17" i="11" s="1"/>
  <c r="F15" i="11"/>
  <c r="F16" i="11"/>
  <c r="F17" i="11" s="1"/>
  <c r="I15" i="11"/>
  <c r="I16" i="11"/>
  <c r="I17" i="11" s="1"/>
  <c r="N15" i="11"/>
  <c r="N16" i="11"/>
  <c r="N17" i="11" s="1"/>
  <c r="G15" i="11"/>
  <c r="G16" i="11"/>
  <c r="G17" i="11" s="1"/>
  <c r="D15" i="11"/>
  <c r="D16" i="11"/>
  <c r="D17" i="11" s="1"/>
  <c r="J15" i="11"/>
  <c r="J16" i="11"/>
  <c r="J17" i="11" s="1"/>
  <c r="BZ115" i="1"/>
  <c r="BX114" i="1"/>
  <c r="BY114" i="1" s="1"/>
  <c r="BW115" i="1"/>
  <c r="CB115" i="1"/>
  <c r="BY115" i="1"/>
  <c r="CF115" i="1"/>
  <c r="BX115" i="1"/>
  <c r="CE115" i="1"/>
  <c r="CD115" i="1"/>
  <c r="CH115" i="1"/>
  <c r="CC115" i="1"/>
  <c r="CG115" i="1"/>
  <c r="CA115" i="1"/>
  <c r="L16" i="14"/>
  <c r="L18" i="14" s="1"/>
  <c r="AB20" i="37"/>
  <c r="E82" i="49"/>
  <c r="D87" i="49"/>
  <c r="D88" i="49" s="1"/>
  <c r="F82" i="49"/>
  <c r="E85" i="49"/>
  <c r="G85" i="49" s="1"/>
  <c r="F85" i="49"/>
  <c r="G125" i="49"/>
  <c r="E128" i="49"/>
  <c r="G128" i="49" s="1"/>
  <c r="F128" i="49"/>
  <c r="E86" i="49"/>
  <c r="G86" i="49" s="1"/>
  <c r="F86" i="49"/>
  <c r="E41" i="49"/>
  <c r="E42" i="49" s="1"/>
  <c r="G26" i="49"/>
  <c r="H135" i="49"/>
  <c r="H20" i="49"/>
  <c r="H18" i="49"/>
  <c r="H19" i="49" s="1"/>
  <c r="H89" i="49"/>
  <c r="H66" i="49"/>
  <c r="H64" i="49"/>
  <c r="H65" i="49" s="1"/>
  <c r="H110" i="49"/>
  <c r="H111" i="49" s="1"/>
  <c r="H112" i="49"/>
  <c r="B15" i="14"/>
  <c r="M16" i="14"/>
  <c r="M18" i="14" s="1"/>
  <c r="K16" i="14"/>
  <c r="K18" i="14" s="1"/>
  <c r="K4" i="14"/>
  <c r="K6" i="14" s="1"/>
  <c r="K7" i="14" s="1"/>
  <c r="M4" i="14"/>
  <c r="M6" i="14" s="1"/>
  <c r="M7" i="14" s="1"/>
  <c r="L4" i="14"/>
  <c r="L6" i="14" s="1"/>
  <c r="L7" i="14" s="1"/>
  <c r="BP110" i="1"/>
  <c r="BQ110" i="1"/>
  <c r="F17" i="14"/>
  <c r="J17" i="14"/>
  <c r="N17" i="14"/>
  <c r="H17" i="14"/>
  <c r="BO110" i="1"/>
  <c r="CS110" i="1" s="1"/>
  <c r="C16" i="14"/>
  <c r="C18" i="14" s="1"/>
  <c r="B14" i="14"/>
  <c r="G17" i="14"/>
  <c r="I17" i="14"/>
  <c r="E17" i="14"/>
  <c r="B14" i="11"/>
  <c r="C13" i="11"/>
  <c r="B12" i="11"/>
  <c r="D17" i="14"/>
  <c r="G12" i="14"/>
  <c r="F10" i="14"/>
  <c r="D7" i="14"/>
  <c r="E19" i="14" l="1"/>
  <c r="E20" i="14"/>
  <c r="E21" i="14" s="1"/>
  <c r="J19" i="14"/>
  <c r="J20" i="14"/>
  <c r="J21" i="14" s="1"/>
  <c r="I19" i="14"/>
  <c r="I20" i="14"/>
  <c r="I21" i="14" s="1"/>
  <c r="F19" i="14"/>
  <c r="F20" i="14"/>
  <c r="F21" i="14" s="1"/>
  <c r="N19" i="14"/>
  <c r="N20" i="14"/>
  <c r="N21" i="14" s="1"/>
  <c r="G19" i="14"/>
  <c r="G20" i="14"/>
  <c r="G21" i="14" s="1"/>
  <c r="C15" i="11"/>
  <c r="B15" i="11" s="1"/>
  <c r="C16" i="11"/>
  <c r="D19" i="14"/>
  <c r="D20" i="14"/>
  <c r="D21" i="14" s="1"/>
  <c r="H19" i="14"/>
  <c r="H20" i="14"/>
  <c r="H21" i="14" s="1"/>
  <c r="L17" i="14"/>
  <c r="M17" i="14"/>
  <c r="K17" i="14"/>
  <c r="H125" i="49"/>
  <c r="G133" i="49"/>
  <c r="G134" i="49" s="1"/>
  <c r="E133" i="49"/>
  <c r="E134" i="49" s="1"/>
  <c r="G41" i="49"/>
  <c r="G42" i="49" s="1"/>
  <c r="H26" i="49"/>
  <c r="F87" i="49"/>
  <c r="F88" i="49" s="1"/>
  <c r="H128" i="49"/>
  <c r="H137" i="49" s="1"/>
  <c r="F133" i="49"/>
  <c r="F134" i="49" s="1"/>
  <c r="E87" i="49"/>
  <c r="E88" i="49" s="1"/>
  <c r="G82" i="49"/>
  <c r="G87" i="49" s="1"/>
  <c r="G88" i="49" s="1"/>
  <c r="B6" i="14"/>
  <c r="L8" i="14"/>
  <c r="L11" i="14"/>
  <c r="L12" i="14" s="1"/>
  <c r="L9" i="14"/>
  <c r="L10" i="14" s="1"/>
  <c r="M8" i="14"/>
  <c r="M11" i="14"/>
  <c r="M12" i="14" s="1"/>
  <c r="M9" i="14"/>
  <c r="M10" i="14" s="1"/>
  <c r="K8" i="14"/>
  <c r="K11" i="14"/>
  <c r="K12" i="14" s="1"/>
  <c r="K9" i="14"/>
  <c r="K10" i="14" s="1"/>
  <c r="B13" i="11"/>
  <c r="B18" i="14"/>
  <c r="C17" i="14"/>
  <c r="B16" i="14"/>
  <c r="D11" i="14"/>
  <c r="D9" i="14"/>
  <c r="B7" i="14"/>
  <c r="D8" i="14"/>
  <c r="C19" i="14" l="1"/>
  <c r="C20" i="14"/>
  <c r="L19" i="14"/>
  <c r="L20" i="14"/>
  <c r="L21" i="14" s="1"/>
  <c r="M19" i="14"/>
  <c r="M20" i="14"/>
  <c r="M21" i="14" s="1"/>
  <c r="D23" i="14"/>
  <c r="D22" i="14"/>
  <c r="F22" i="14"/>
  <c r="F23" i="14"/>
  <c r="C17" i="11"/>
  <c r="B16" i="11"/>
  <c r="I23" i="14"/>
  <c r="I22" i="14"/>
  <c r="G23" i="14"/>
  <c r="G22" i="14"/>
  <c r="J22" i="14"/>
  <c r="J23" i="14"/>
  <c r="H23" i="14"/>
  <c r="H22" i="14"/>
  <c r="N22" i="14"/>
  <c r="N23" i="14"/>
  <c r="E23" i="14"/>
  <c r="E22" i="14"/>
  <c r="K19" i="14"/>
  <c r="K20" i="14"/>
  <c r="K21" i="14" s="1"/>
  <c r="H82" i="49"/>
  <c r="H41" i="49"/>
  <c r="H42" i="49" s="1"/>
  <c r="H43" i="49"/>
  <c r="H136" i="49"/>
  <c r="H133" i="49"/>
  <c r="H134" i="49" s="1"/>
  <c r="B8" i="14"/>
  <c r="P8" i="14" s="1"/>
  <c r="B17" i="14"/>
  <c r="D10" i="14"/>
  <c r="B10" i="14" s="1"/>
  <c r="B9" i="14"/>
  <c r="D12" i="14"/>
  <c r="B12" i="14" s="1"/>
  <c r="P12" i="14" s="1"/>
  <c r="B11" i="14"/>
  <c r="B19" i="14" l="1"/>
  <c r="M22" i="14"/>
  <c r="M23" i="14"/>
  <c r="L22" i="14"/>
  <c r="L23" i="14"/>
  <c r="P17" i="11"/>
  <c r="B17" i="11"/>
  <c r="K23" i="14"/>
  <c r="K22" i="14"/>
  <c r="C21" i="14"/>
  <c r="B20" i="14"/>
  <c r="H91" i="49"/>
  <c r="H87" i="49"/>
  <c r="H88" i="49" s="1"/>
  <c r="P10" i="14"/>
  <c r="C23" i="14" l="1"/>
  <c r="C22" i="14"/>
  <c r="B21" i="14"/>
  <c r="B22" i="14" l="1"/>
  <c r="P22" i="14"/>
  <c r="B23" i="14"/>
  <c r="P23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Leandro Exequiel Ormeño</author>
  </authors>
  <commentList>
    <comment ref="G70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Leandro Exequiel Ormeño:</t>
        </r>
        <r>
          <rPr>
            <sz val="9"/>
            <color indexed="81"/>
            <rFont val="Tahoma"/>
            <family val="2"/>
          </rPr>
          <t xml:space="preserve">
Los kilos de la Gamela DOV estaba en 10 y se cambio a 12</t>
        </r>
      </text>
    </comment>
    <comment ref="S99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Leandro Exequiel Ormeño:</t>
        </r>
        <r>
          <rPr>
            <sz val="9"/>
            <color indexed="81"/>
            <rFont val="Tahoma"/>
            <family val="2"/>
          </rPr>
          <t xml:space="preserve">
estimamos precio de cosecha de kg mas caro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Leandro Exequiel Ormeño</author>
  </authors>
  <commentList>
    <comment ref="BN2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Leandro Exequiel Ormeño:</t>
        </r>
        <r>
          <rPr>
            <sz val="9"/>
            <color indexed="81"/>
            <rFont val="Tahoma"/>
            <family val="2"/>
          </rPr>
          <t xml:space="preserve">
Consumo promedio Gral por Jornal: 43 Litros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Leandro Exequiel Ormeño</author>
  </authors>
  <commentList>
    <comment ref="BN20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Leandro Exequiel Ormeño:</t>
        </r>
        <r>
          <rPr>
            <sz val="9"/>
            <color indexed="81"/>
            <rFont val="Tahoma"/>
            <family val="2"/>
          </rPr>
          <t xml:space="preserve">
3 aplicaciones cada 3 días</t>
        </r>
      </text>
    </comment>
    <comment ref="GY20" authorId="0" shapeId="0" xr:uid="{00000000-0006-0000-2600-000002000000}">
      <text>
        <r>
          <rPr>
            <b/>
            <sz val="9"/>
            <color indexed="81"/>
            <rFont val="Tahoma"/>
            <family val="2"/>
          </rPr>
          <t>Leandro Exequiel Ormeño:</t>
        </r>
        <r>
          <rPr>
            <sz val="9"/>
            <color indexed="81"/>
            <rFont val="Tahoma"/>
            <family val="2"/>
          </rPr>
          <t xml:space="preserve">
3 aplicaciones cada 3 días</t>
        </r>
      </text>
    </comment>
    <comment ref="JD20" authorId="0" shapeId="0" xr:uid="{00000000-0006-0000-2600-000003000000}">
      <text>
        <r>
          <rPr>
            <b/>
            <sz val="9"/>
            <color indexed="81"/>
            <rFont val="Tahoma"/>
            <family val="2"/>
          </rPr>
          <t>Leandro Exequiel Ormeño:</t>
        </r>
        <r>
          <rPr>
            <sz val="9"/>
            <color indexed="81"/>
            <rFont val="Tahoma"/>
            <family val="2"/>
          </rPr>
          <t xml:space="preserve">
3 aplicaciones cada 3 días</t>
        </r>
      </text>
    </comment>
    <comment ref="NM20" authorId="0" shapeId="0" xr:uid="{00000000-0006-0000-2600-000004000000}">
      <text>
        <r>
          <rPr>
            <b/>
            <sz val="9"/>
            <color indexed="81"/>
            <rFont val="Tahoma"/>
            <family val="2"/>
          </rPr>
          <t>Leandro Exequiel Ormeño:</t>
        </r>
        <r>
          <rPr>
            <sz val="9"/>
            <color indexed="81"/>
            <rFont val="Tahoma"/>
            <family val="2"/>
          </rPr>
          <t xml:space="preserve">
3 aplicaciones cada 3 días</t>
        </r>
      </text>
    </comment>
    <comment ref="OO20" authorId="0" shapeId="0" xr:uid="{00000000-0006-0000-2600-000005000000}">
      <text>
        <r>
          <rPr>
            <b/>
            <sz val="9"/>
            <color indexed="81"/>
            <rFont val="Tahoma"/>
            <family val="2"/>
          </rPr>
          <t>Leandro Exequiel Ormeño:</t>
        </r>
        <r>
          <rPr>
            <sz val="9"/>
            <color indexed="81"/>
            <rFont val="Tahoma"/>
            <family val="2"/>
          </rPr>
          <t xml:space="preserve">
3 aplicaciones cada 3 días</t>
        </r>
      </text>
    </comment>
    <comment ref="PQ20" authorId="0" shapeId="0" xr:uid="{00000000-0006-0000-2600-000006000000}">
      <text>
        <r>
          <rPr>
            <b/>
            <sz val="9"/>
            <color indexed="81"/>
            <rFont val="Tahoma"/>
            <family val="2"/>
          </rPr>
          <t>Leandro Exequiel Ormeño:</t>
        </r>
        <r>
          <rPr>
            <sz val="9"/>
            <color indexed="81"/>
            <rFont val="Tahoma"/>
            <family val="2"/>
          </rPr>
          <t xml:space="preserve">
3 aplicaciones cada 3 días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Leandro Exequiel Ormeño</author>
  </authors>
  <commentList>
    <comment ref="C1" authorId="0" shapeId="0" xr:uid="{00000000-0006-0000-2700-000001000000}">
      <text>
        <r>
          <rPr>
            <b/>
            <sz val="9"/>
            <color indexed="81"/>
            <rFont val="Tahoma"/>
            <family val="2"/>
          </rPr>
          <t>Leandro Exequiel Ormeño:</t>
        </r>
        <r>
          <rPr>
            <sz val="9"/>
            <color indexed="81"/>
            <rFont val="Tahoma"/>
            <family val="2"/>
          </rPr>
          <t xml:space="preserve">
Tipo de cambio proyectado desde matba rofex el 22/4/2025</t>
        </r>
      </text>
    </comment>
    <comment ref="D1" authorId="0" shapeId="0" xr:uid="{00000000-0006-0000-2700-000002000000}">
      <text>
        <r>
          <rPr>
            <b/>
            <sz val="9"/>
            <color indexed="81"/>
            <rFont val="Tahoma"/>
            <family val="2"/>
          </rPr>
          <t>Leandro Exequiel Ormeño:</t>
        </r>
        <r>
          <rPr>
            <sz val="9"/>
            <color indexed="81"/>
            <rFont val="Tahoma"/>
            <family val="2"/>
          </rPr>
          <t xml:space="preserve">
Este dato lo investigo Chatgpt desde varios sectores y páginas en internet lo que refuerza dicho dato.</t>
        </r>
      </text>
    </comment>
    <comment ref="E1" authorId="0" shapeId="0" xr:uid="{00000000-0006-0000-2700-000003000000}">
      <text>
        <r>
          <rPr>
            <b/>
            <sz val="9"/>
            <color rgb="FF000000"/>
            <rFont val="Tahoma"/>
            <family val="2"/>
          </rPr>
          <t>JMO puse la media entre jornal de cuadrilla grande (o con flete)  y pequeña</t>
        </r>
      </text>
    </comment>
    <comment ref="F1" authorId="0" shapeId="0" xr:uid="{00000000-0006-0000-2700-000004000000}">
      <text>
        <r>
          <rPr>
            <b/>
            <sz val="9"/>
            <color indexed="81"/>
            <rFont val="Tahoma"/>
            <family val="2"/>
          </rPr>
          <t>Leandro Exequiel Ormeño:</t>
        </r>
        <r>
          <rPr>
            <sz val="9"/>
            <color indexed="81"/>
            <rFont val="Tahoma"/>
            <family val="2"/>
          </rPr>
          <t xml:space="preserve">
Este dato como los anteriores esta calculado por chatgpt investigando en varios foros
</t>
        </r>
      </text>
    </comment>
    <comment ref="G1" authorId="0" shapeId="0" xr:uid="{00000000-0006-0000-2700-000005000000}">
      <text>
        <r>
          <rPr>
            <b/>
            <sz val="9"/>
            <color indexed="81"/>
            <rFont val="Tahoma"/>
            <family val="2"/>
          </rPr>
          <t>Leandro Exequiel Ormeño:</t>
        </r>
        <r>
          <rPr>
            <sz val="9"/>
            <color indexed="81"/>
            <rFont val="Tahoma"/>
            <family val="2"/>
          </rPr>
          <t xml:space="preserve">
Precio de factura actual: $1.235 (precio con IVA incluido)</t>
        </r>
      </text>
    </comment>
    <comment ref="H1" authorId="0" shapeId="0" xr:uid="{00000000-0006-0000-2700-000006000000}">
      <text>
        <r>
          <rPr>
            <b/>
            <sz val="9"/>
            <color indexed="81"/>
            <rFont val="Tahoma"/>
            <family val="2"/>
          </rPr>
          <t>Leandro Exequiel Ormeño:</t>
        </r>
        <r>
          <rPr>
            <sz val="9"/>
            <color indexed="81"/>
            <rFont val="Tahoma"/>
            <family val="2"/>
          </rPr>
          <t xml:space="preserve">
Precio buscado por chatgpt y se puso un promedio en cuanto a la variabilidad</t>
        </r>
      </text>
    </comment>
    <comment ref="R1" authorId="0" shapeId="0" xr:uid="{00000000-0006-0000-2700-000007000000}">
      <text>
        <r>
          <rPr>
            <b/>
            <sz val="9"/>
            <color indexed="81"/>
            <rFont val="Tahoma"/>
            <family val="2"/>
          </rPr>
          <t>Leandro Exequiel Ormeño:</t>
        </r>
        <r>
          <rPr>
            <sz val="9"/>
            <color indexed="81"/>
            <rFont val="Tahoma"/>
            <family val="2"/>
          </rPr>
          <t xml:space="preserve">
Tabla generada a travez de chatgpt, con </t>
        </r>
        <r>
          <rPr>
            <b/>
            <sz val="9"/>
            <color indexed="81"/>
            <rFont val="Tahoma"/>
            <family val="2"/>
          </rPr>
          <t>Investigar en profundidad.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DM" description="Conexión a la consulta 'ADM' en el libro." type="5" refreshedVersion="8" background="1" saveData="1">
    <dbPr connection="Provider=Microsoft.Mashup.OleDb.1;Data Source=$Workbook$;Location=ADM;Extended Properties=&quot;&quot;" command="SELECT * FROM [ADM]"/>
  </connection>
  <connection id="2" xr16:uid="{00000000-0015-0000-FFFF-FFFF01000000}" keepAlive="1" name="Consulta - Compilado" description="Conexión a la consulta 'Compilado' en el libro." type="5" refreshedVersion="8" background="1" saveData="1">
    <dbPr connection="Provider=Microsoft.Mashup.OleDb.1;Data Source=$Workbook$;Location=Compilado;Extended Properties=&quot;&quot;" command="SELECT * FROM [Compilado]"/>
  </connection>
  <connection id="3" xr16:uid="{00000000-0015-0000-FFFF-FFFF02000000}" keepAlive="1" name="Consulta - COSECHA" description="Conexión a la consulta 'COSECHA' en el libro." type="5" refreshedVersion="8" background="1" saveData="1">
    <dbPr connection="Provider=Microsoft.Mashup.OleDb.1;Data Source=$Workbook$;Location=COSECHA;Extended Properties=&quot;&quot;" command="SELECT * FROM [COSECHA]"/>
  </connection>
  <connection id="4" xr16:uid="{00000000-0015-0000-FFFF-FFFF03000000}" keepAlive="1" name="Consulta - Cosechas" description="Conexión a la consulta 'Cosechas' en el libro." type="5" refreshedVersion="8" background="1" saveData="1">
    <dbPr connection="Provider=Microsoft.Mashup.OleDb.1;Data Source=$Workbook$;Location=Cosechas;Extended Properties=&quot;&quot;" command="SELECT * FROM [Cosechas]"/>
  </connection>
  <connection id="5" xr16:uid="{00000000-0015-0000-FFFF-FFFF04000000}" keepAlive="1" name="Consulta - CT_Esp" description="Conexión a la consulta 'CT_Esp' en el libro." type="5" refreshedVersion="8" background="1" saveData="1">
    <dbPr connection="Provider=Microsoft.Mashup.OleDb.1;Data Source=$Workbook$;Location=CT_Esp;Extended Properties=&quot;&quot;" command="SELECT * FROM [CT_Esp]"/>
  </connection>
  <connection id="6" xr16:uid="{00000000-0015-0000-FFFF-FFFF05000000}" keepAlive="1" name="Consulta - CT_Gen" description="Conexión a la consulta 'CT_Gen' en el libro." type="5" refreshedVersion="8" background="1" saveData="1">
    <dbPr connection="Provider=Microsoft.Mashup.OleDb.1;Data Source=$Workbook$;Location=CT_Gen;Extended Properties=&quot;&quot;" command="SELECT * FROM [CT_Gen]"/>
  </connection>
  <connection id="7" xr16:uid="{00000000-0015-0000-FFFF-FFFF06000000}" keepAlive="1" name="Consulta - EE_Esp" description="Conexión a la consulta 'EE_Esp' en el libro." type="5" refreshedVersion="8" background="1" saveData="1">
    <dbPr connection="Provider=Microsoft.Mashup.OleDb.1;Data Source=$Workbook$;Location=EE_Esp;Extended Properties=&quot;&quot;" command="SELECT * FROM [EE_Esp]"/>
  </connection>
  <connection id="8" xr16:uid="{00000000-0015-0000-FFFF-FFFF07000000}" keepAlive="1" name="Consulta - EE_Gen" description="Conexión a la consulta 'EE_Gen' en el libro." type="5" refreshedVersion="8" background="1" saveData="1">
    <dbPr connection="Provider=Microsoft.Mashup.OleDb.1;Data Source=$Workbook$;Location=EE_Gen;Extended Properties=&quot;&quot;" command="SELECT * FROM [EE_Gen]"/>
  </connection>
  <connection id="9" xr16:uid="{00000000-0015-0000-FFFF-FFFF08000000}" keepAlive="1" name="Consulta - EnergiaFincas" description="Conexión a la consulta 'EnergiaFincas' en el libro." type="5" refreshedVersion="8" background="1" saveData="1">
    <dbPr connection="Provider=Microsoft.Mashup.OleDb.1;Data Source=$Workbook$;Location=EnergiaFincas;Extended Properties=&quot;&quot;" command="SELECT * FROM [EnergiaFincas]"/>
  </connection>
  <connection id="10" xr16:uid="{00000000-0015-0000-FFFF-FFFF09000000}" keepAlive="1" name="Consulta - Fertilizantes" description="Conexión a la consulta 'Fertilizantes' en el libro." type="5" refreshedVersion="8" background="1" saveData="1">
    <dbPr connection="Provider=Microsoft.Mashup.OleDb.1;Data Source=$Workbook$;Location=Fertilizantes;Extended Properties=&quot;&quot;" command="SELECT * FROM [Fertilizantes]"/>
  </connection>
  <connection id="11" xr16:uid="{00000000-0015-0000-FFFF-FFFF0A000000}" keepAlive="1" name="Consulta - Fito CT" description="Conexión a la consulta 'Fito CT' en el libro." type="5" refreshedVersion="8" background="1" saveData="1">
    <dbPr connection="Provider=Microsoft.Mashup.OleDb.1;Data Source=$Workbook$;Location=&quot;Fito CT&quot;;Extended Properties=&quot;&quot;" command="SELECT * FROM [Fito CT]"/>
  </connection>
  <connection id="12" xr16:uid="{00000000-0015-0000-FFFF-FFFF0B000000}" keepAlive="1" name="Consulta - Fito EE I y II" description="Conexión a la consulta 'Fito EE I y II' en el libro." type="5" refreshedVersion="8" background="1" saveData="1">
    <dbPr connection="Provider=Microsoft.Mashup.OleDb.1;Data Source=$Workbook$;Location=&quot;Fito EE I y II&quot;;Extended Properties=&quot;&quot;" command="SELECT * FROM [Fito EE I y II]"/>
  </connection>
  <connection id="13" xr16:uid="{00000000-0015-0000-FFFF-FFFF0C000000}" keepAlive="1" name="Consulta - Fito EE III" description="Conexión a la consulta 'Fito EE III' en el libro." type="5" refreshedVersion="8" background="1" saveData="1">
    <dbPr connection="Provider=Microsoft.Mashup.OleDb.1;Data Source=$Workbook$;Location=&quot;Fito EE III&quot;;Extended Properties=&quot;&quot;" command="SELECT * FROM [Fito EE III]"/>
  </connection>
  <connection id="14" xr16:uid="{00000000-0015-0000-FFFF-FFFF0D000000}" keepAlive="1" name="Consulta - Fito LCH" description="Conexión a la consulta 'Fito LCH' en el libro." type="5" refreshedVersion="8" background="1" saveData="1">
    <dbPr connection="Provider=Microsoft.Mashup.OleDb.1;Data Source=$Workbook$;Location=&quot;Fito LCH&quot;;Extended Properties=&quot;&quot;" command="SELECT * FROM [Fito LCH]"/>
  </connection>
  <connection id="15" xr16:uid="{00000000-0015-0000-FFFF-FFFF0E000000}" keepAlive="1" name="Consulta - Fito PA" description="Conexión a la consulta 'Fito PA' en el libro." type="5" refreshedVersion="8" background="1" saveData="1">
    <dbPr connection="Provider=Microsoft.Mashup.OleDb.1;Data Source=$Workbook$;Location=&quot;Fito PA&quot;;Extended Properties=&quot;&quot;" command="SELECT * FROM [Fito PA]"/>
  </connection>
  <connection id="16" xr16:uid="{00000000-0015-0000-FFFF-FFFF0F000000}" keepAlive="1" name="Consulta - Fletes Varios" description="Conexión a la consulta 'Fletes Varios' en el libro." type="5" refreshedVersion="8" background="1" saveData="1">
    <dbPr connection="Provider=Microsoft.Mashup.OleDb.1;Data Source=$Workbook$;Location=&quot;Fletes Varios&quot;;Extended Properties=&quot;&quot;" command="SELECT * FROM [Fletes Varios]"/>
  </connection>
  <connection id="17" xr16:uid="{00000000-0015-0000-FFFF-FFFF10000000}" keepAlive="1" name="Consulta - Inversiones" description="Conexión a la consulta 'Inversiones' en el libro." type="5" refreshedVersion="8" background="1" saveData="1">
    <dbPr connection="Provider=Microsoft.Mashup.OleDb.1;Data Source=$Workbook$;Location=Inversiones;Extended Properties=&quot;&quot;" command="SELECT * FROM [Inversiones]"/>
  </connection>
  <connection id="18" xr16:uid="{00000000-0015-0000-FFFF-FFFF11000000}" keepAlive="1" name="Consulta - LCH_Esp" description="Conexión a la consulta 'LCH_Esp' en el libro." type="5" refreshedVersion="8" background="1" saveData="1">
    <dbPr connection="Provider=Microsoft.Mashup.OleDb.1;Data Source=$Workbook$;Location=LCH_Esp;Extended Properties=&quot;&quot;" command="SELECT * FROM [LCH_Esp]"/>
  </connection>
  <connection id="19" xr16:uid="{00000000-0015-0000-FFFF-FFFF12000000}" keepAlive="1" name="Consulta - LCH_Gen" description="Conexión a la consulta 'LCH_Gen' en el libro." type="5" refreshedVersion="8" background="1" saveData="1">
    <dbPr connection="Provider=Microsoft.Mashup.OleDb.1;Data Source=$Workbook$;Location=LCH_Gen;Extended Properties=&quot;&quot;" command="SELECT * FROM [LCH_Gen]"/>
  </connection>
  <connection id="20" xr16:uid="{00000000-0015-0000-FFFF-FFFF13000000}" keepAlive="1" name="Consulta - PA_Esp" description="Conexión a la consulta 'PA_Esp' en el libro." type="5" refreshedVersion="8" background="1" saveData="1">
    <dbPr connection="Provider=Microsoft.Mashup.OleDb.1;Data Source=$Workbook$;Location=PA_Esp;Extended Properties=&quot;&quot;" command="SELECT * FROM [PA_Esp]"/>
  </connection>
  <connection id="21" xr16:uid="{00000000-0015-0000-FFFF-FFFF14000000}" keepAlive="1" name="Consulta - PA_Gen" description="Conexión a la consulta 'PA_Gen' en el libro." type="5" refreshedVersion="8" background="1" saveData="1">
    <dbPr connection="Provider=Microsoft.Mashup.OleDb.1;Data Source=$Workbook$;Location=PA_Gen;Extended Properties=&quot;&quot;" command="SELECT * FROM [PA_Gen]"/>
  </connection>
  <connection id="22" xr16:uid="{00000000-0015-0000-FFFF-FFFF15000000}" keepAlive="1" name="Consulta - Personal Camino Truncado" description="Conexión a la consulta 'Personal Camino Truncado' en el libro." type="5" refreshedVersion="8" background="1" saveData="1">
    <dbPr connection="Provider=Microsoft.Mashup.OleDb.1;Data Source=$Workbook$;Location=&quot;Personal Camino Truncado&quot;;Extended Properties=&quot;&quot;" command="SELECT * FROM [Personal Camino Truncado]"/>
  </connection>
  <connection id="23" xr16:uid="{00000000-0015-0000-FFFF-FFFF16000000}" keepAlive="1" name="Consulta - Personal El Espejo I y II" description="Conexión a la consulta 'Personal El Espejo I y II' en el libro." type="5" refreshedVersion="8" background="1" saveData="1">
    <dbPr connection="Provider=Microsoft.Mashup.OleDb.1;Data Source=$Workbook$;Location=&quot;Personal El Espejo I y II&quot;;Extended Properties=&quot;&quot;" command="SELECT * FROM [Personal El Espejo I y II]"/>
  </connection>
  <connection id="24" xr16:uid="{00000000-0015-0000-FFFF-FFFF17000000}" keepAlive="1" name="Consulta - Personal El Espejo III" description="Conexión a la consulta 'Personal El Espejo III' en el libro." type="5" refreshedVersion="8" background="1" saveData="1">
    <dbPr connection="Provider=Microsoft.Mashup.OleDb.1;Data Source=$Workbook$;Location=&quot;Personal El Espejo III&quot;;Extended Properties=&quot;&quot;" command="SELECT * FROM [Personal El Espejo III]"/>
  </connection>
  <connection id="25" xr16:uid="{00000000-0015-0000-FFFF-FFFF18000000}" keepAlive="1" name="Consulta - Personal La Chimbera" description="Conexión a la consulta 'Personal La Chimbera' en el libro." type="5" refreshedVersion="8" background="1" saveData="1">
    <dbPr connection="Provider=Microsoft.Mashup.OleDb.1;Data Source=$Workbook$;Location=&quot;Personal La Chimbera&quot;;Extended Properties=&quot;&quot;" command="SELECT * FROM [Personal La Chimbera]"/>
  </connection>
  <connection id="26" xr16:uid="{00000000-0015-0000-FFFF-FFFF19000000}" keepAlive="1" name="Consulta - Personal Puente Alto" description="Conexión a la consulta 'Personal Puente Alto' en el libro." type="5" refreshedVersion="8" background="1" saveData="1">
    <dbPr connection="Provider=Microsoft.Mashup.OleDb.1;Data Source=$Workbook$;Location=&quot;Personal Puente Alto&quot;;Extended Properties=&quot;&quot;" command="SELECT * FROM [Personal Puente Alto]"/>
  </connection>
  <connection id="27" xr16:uid="{00000000-0015-0000-FFFF-FFFF1A000000}" keepAlive="1" name="Consulta - RepRep" description="Conexión a la consulta 'RepRep' en el libro." type="5" refreshedVersion="8" background="1" saveData="1">
    <dbPr connection="Provider=Microsoft.Mashup.OleDb.1;Data Source=$Workbook$;Location=RepRep;Extended Properties=&quot;&quot;" command="SELECT * FROM [RepRep]"/>
  </connection>
  <connection id="28" xr16:uid="{00000000-0015-0000-FFFF-FFFF1B000000}" keepAlive="1" name="Consulta - SECADERO" description="Conexión a la consulta 'SECADERO' en el libro." type="5" refreshedVersion="8" background="1" saveData="1">
    <dbPr connection="Provider=Microsoft.Mashup.OleDb.1;Data Source=$Workbook$;Location=SECADERO;Extended Properties=&quot;&quot;" command="SELECT * FROM [SECADERO]"/>
  </connection>
  <connection id="29" xr16:uid="{00000000-0015-0000-FFFF-FFFF1C000000}" keepAlive="1" name="Consulta - Secaderos" description="Conexión a la consulta 'Secaderos' en el libro." type="5" refreshedVersion="8" background="1" saveData="1">
    <dbPr connection="Provider=Microsoft.Mashup.OleDb.1;Data Source=$Workbook$;Location=Secaderos;Extended Properties=&quot;&quot;" command="SELECT * FROM [Secaderos]"/>
  </connection>
  <connection id="30" xr16:uid="{00000000-0015-0000-FFFF-FFFF1D000000}" keepAlive="1" name="Consulta - Visualización Jornales CT" description="Conexión a la consulta 'Visualización Jornales CT' en el libro." type="5" refreshedVersion="8" background="1" saveData="1">
    <dbPr connection="Provider=Microsoft.Mashup.OleDb.1;Data Source=$Workbook$;Location=&quot;Visualización Jornales CT&quot;;Extended Properties=&quot;&quot;" command="SELECT * FROM [Visualización Jornales CT]"/>
  </connection>
  <connection id="31" xr16:uid="{00000000-0015-0000-FFFF-FFFF1E000000}" keepAlive="1" name="Consulta - Visualización Jornales EE I y II" description="Conexión a la consulta 'Visualización Jornales EE I y II' en el libro." type="5" refreshedVersion="8" background="1" saveData="1">
    <dbPr connection="Provider=Microsoft.Mashup.OleDb.1;Data Source=$Workbook$;Location=&quot;Visualización Jornales EE I y II&quot;;Extended Properties=&quot;&quot;" command="SELECT * FROM [Visualización Jornales EE I y II]"/>
  </connection>
  <connection id="32" xr16:uid="{00000000-0015-0000-FFFF-FFFF1F000000}" keepAlive="1" name="Consulta - Visualización Jornales EE III" description="Conexión a la consulta 'Visualización Jornales EE III' en el libro." type="5" refreshedVersion="8" background="1" saveData="1">
    <dbPr connection="Provider=Microsoft.Mashup.OleDb.1;Data Source=$Workbook$;Location=&quot;Visualización Jornales EE III&quot;;Extended Properties=&quot;&quot;" command="SELECT * FROM [Visualización Jornales EE III]"/>
  </connection>
  <connection id="33" xr16:uid="{00000000-0015-0000-FFFF-FFFF20000000}" keepAlive="1" name="Consulta - Visualización Jornales LCH" description="Conexión a la consulta 'Visualización Jornales LCH' en el libro." type="5" refreshedVersion="8" background="1" saveData="1">
    <dbPr connection="Provider=Microsoft.Mashup.OleDb.1;Data Source=$Workbook$;Location=&quot;Visualización Jornales LCH&quot;;Extended Properties=&quot;&quot;" command="SELECT * FROM [Visualización Jornales LCH]"/>
  </connection>
  <connection id="34" xr16:uid="{00000000-0015-0000-FFFF-FFFF21000000}" keepAlive="1" name="Consulta - Visualización Jornales PA" description="Conexión a la consulta 'Visualización Jornales PA' en el libro." type="5" refreshedVersion="8" background="1" saveData="1">
    <dbPr connection="Provider=Microsoft.Mashup.OleDb.1;Data Source=$Workbook$;Location=&quot;Visualización Jornales PA&quot;;Extended Properties=&quot;&quot;" command="SELECT * FROM [Visualización Jornales PA]"/>
  </connection>
</connections>
</file>

<file path=xl/sharedStrings.xml><?xml version="1.0" encoding="utf-8"?>
<sst xmlns="http://schemas.openxmlformats.org/spreadsheetml/2006/main" count="16331" uniqueCount="493">
  <si>
    <t>Finca</t>
  </si>
  <si>
    <t>Cuartel</t>
  </si>
  <si>
    <t>Has</t>
  </si>
  <si>
    <t>Variedad</t>
  </si>
  <si>
    <t>Puente Alto</t>
  </si>
  <si>
    <t>Selma</t>
  </si>
  <si>
    <t>Flame</t>
  </si>
  <si>
    <t>Arizul</t>
  </si>
  <si>
    <t>Camino Truncado</t>
  </si>
  <si>
    <t>Sultanina</t>
  </si>
  <si>
    <t>Fiesta</t>
  </si>
  <si>
    <t>Superior</t>
  </si>
  <si>
    <t>La Chimbera</t>
  </si>
  <si>
    <t>El Espejo I</t>
  </si>
  <si>
    <t>El Espejo II</t>
  </si>
  <si>
    <t>El Espejo III</t>
  </si>
  <si>
    <t>Kg x Has</t>
  </si>
  <si>
    <t>Kg 2026</t>
  </si>
  <si>
    <t>Plantas</t>
  </si>
  <si>
    <t>2,2x2,2</t>
  </si>
  <si>
    <t>2,5x2,5</t>
  </si>
  <si>
    <t>2,2x1,1</t>
  </si>
  <si>
    <t>2,6x2,6</t>
  </si>
  <si>
    <t>3x2</t>
  </si>
  <si>
    <t>2,3x2,3</t>
  </si>
  <si>
    <t>2,7x2,7</t>
  </si>
  <si>
    <t>Marco de plantación</t>
  </si>
  <si>
    <t>Plantas x Has</t>
  </si>
  <si>
    <t>N° de Guías x planta</t>
  </si>
  <si>
    <t>N° de Guias x Has</t>
  </si>
  <si>
    <t>N° de Yemas x Guias</t>
  </si>
  <si>
    <t>N° de Yemas x Planta</t>
  </si>
  <si>
    <t>% de Brotación</t>
  </si>
  <si>
    <t>N° de Brotes x Planta</t>
  </si>
  <si>
    <t>% de Fertilidad</t>
  </si>
  <si>
    <t>Cantidad de Racimos x Brote</t>
  </si>
  <si>
    <t>Cantidad de Racimos x Planta</t>
  </si>
  <si>
    <t>Peso del Racimo</t>
  </si>
  <si>
    <t>Kg x Planta</t>
  </si>
  <si>
    <t>Kg x Cuartel</t>
  </si>
  <si>
    <t>KGxHas</t>
  </si>
  <si>
    <t>Bins</t>
  </si>
  <si>
    <t>Carro</t>
  </si>
  <si>
    <t>Tipo de Cosecha</t>
  </si>
  <si>
    <t>Rendimiento Poda</t>
  </si>
  <si>
    <t>Rendimiento Atada</t>
  </si>
  <si>
    <t>Rendimiento Desbrote de troncos</t>
  </si>
  <si>
    <t xml:space="preserve">Rendimiento Acomodo de brotes </t>
  </si>
  <si>
    <t xml:space="preserve">Rendimiento Desniete, deshoje </t>
  </si>
  <si>
    <t>Rendimiento Desbrote con criterio de Poda</t>
  </si>
  <si>
    <t>Rendimiento Raleo de Racimos</t>
  </si>
  <si>
    <t>Poda</t>
  </si>
  <si>
    <t>Atada</t>
  </si>
  <si>
    <t>Desbrote de troncos</t>
  </si>
  <si>
    <t>Acomodo de brotes</t>
  </si>
  <si>
    <t>Desniete Deshoje</t>
  </si>
  <si>
    <t>Desbrote con criterio de Poda</t>
  </si>
  <si>
    <t>Raleo de Racimos</t>
  </si>
  <si>
    <t>Tractorista Subsolado</t>
  </si>
  <si>
    <t>Estimación de Cosecha por cuartel</t>
  </si>
  <si>
    <t>Jornales Especificos Desglose</t>
  </si>
  <si>
    <t>Tractorista Triturado de sarmiento</t>
  </si>
  <si>
    <t>Tractorista Cincelado</t>
  </si>
  <si>
    <t>Tractorista Rastra</t>
  </si>
  <si>
    <t>Tractor Atomizadora</t>
  </si>
  <si>
    <t>Riego</t>
  </si>
  <si>
    <t>Mantenimiento</t>
  </si>
  <si>
    <t>Mangueras</t>
  </si>
  <si>
    <t>Calicatas</t>
  </si>
  <si>
    <t>Malezas Mochila</t>
  </si>
  <si>
    <t>Desmalezar manual</t>
  </si>
  <si>
    <t>Jardinería</t>
  </si>
  <si>
    <t>Hormigas</t>
  </si>
  <si>
    <t>Limpieza</t>
  </si>
  <si>
    <t>Taller</t>
  </si>
  <si>
    <t>Datos</t>
  </si>
  <si>
    <t>Reparar Estructura</t>
  </si>
  <si>
    <t>Tractorista Generales</t>
  </si>
  <si>
    <t>Hoyar y Replantar</t>
  </si>
  <si>
    <t>Varios</t>
  </si>
  <si>
    <t>P/ Medico</t>
  </si>
  <si>
    <t>Vacaciones</t>
  </si>
  <si>
    <t>Feriados</t>
  </si>
  <si>
    <t>Faenas Generales</t>
  </si>
  <si>
    <t>Combustible</t>
  </si>
  <si>
    <t>Mes</t>
  </si>
  <si>
    <t>Año</t>
  </si>
  <si>
    <t>TC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</si>
  <si>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</si>
  <si>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</si>
  <si>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</si>
  <si>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</si>
  <si>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</si>
  <si>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</si>
  <si>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</si>
  <si>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</si>
  <si>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</si>
  <si>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</si>
  <si>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</si>
  <si>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</si>
  <si>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Paritaria</t>
  </si>
  <si>
    <t>Precio Jornal</t>
  </si>
  <si>
    <t>Índice de inflación</t>
  </si>
  <si>
    <t>Etiquetas de fila</t>
  </si>
  <si>
    <t>Total general</t>
  </si>
  <si>
    <t>Jornales</t>
  </si>
  <si>
    <t>Tractor Herbicida</t>
  </si>
  <si>
    <t>Faenas</t>
  </si>
  <si>
    <t>Jorn</t>
  </si>
  <si>
    <t>Total de Jornales Específicos</t>
  </si>
  <si>
    <t>Total Jornales Generales</t>
  </si>
  <si>
    <t>Total Jornales</t>
  </si>
  <si>
    <t>3 x3</t>
  </si>
  <si>
    <t>2,5 x 2,5</t>
  </si>
  <si>
    <t>3 x 2</t>
  </si>
  <si>
    <t>3 x2</t>
  </si>
  <si>
    <t>2,2 x 2,2</t>
  </si>
  <si>
    <t>2,3 x 2,3</t>
  </si>
  <si>
    <t>Mugrones</t>
  </si>
  <si>
    <t>Seguridad</t>
  </si>
  <si>
    <t>Jornal Presupuestado</t>
  </si>
  <si>
    <t>$</t>
  </si>
  <si>
    <t>Demanda de Jornales totales por mes</t>
  </si>
  <si>
    <t>Días Laborales</t>
  </si>
  <si>
    <t>Jornales Disponibles CT</t>
  </si>
  <si>
    <t>Jornales a contratar</t>
  </si>
  <si>
    <t>Anotador</t>
  </si>
  <si>
    <t>Tracto elevador</t>
  </si>
  <si>
    <t>Tractor con uñas</t>
  </si>
  <si>
    <t>Lavar Bines</t>
  </si>
  <si>
    <t>Tractor con acoplado</t>
  </si>
  <si>
    <t>Cosecha</t>
  </si>
  <si>
    <t>Jornales Cosecha</t>
  </si>
  <si>
    <t>Jornales Secado</t>
  </si>
  <si>
    <t>Jornales Disponibles PA</t>
  </si>
  <si>
    <t>Colocación de malla</t>
  </si>
  <si>
    <t>Desparramado de uva</t>
  </si>
  <si>
    <t>Dar vuelta la pasa</t>
  </si>
  <si>
    <t>Levantar pasa</t>
  </si>
  <si>
    <t>Recolección de malla</t>
  </si>
  <si>
    <t>Limpieza de secadero</t>
  </si>
  <si>
    <t>Sereno</t>
  </si>
  <si>
    <t>Descarga y carga de bines con Autoelevador</t>
  </si>
  <si>
    <t>Tractor Volcado de bins</t>
  </si>
  <si>
    <t>Tractor Cincelado de piedras</t>
  </si>
  <si>
    <t>Tractor Carga de pasa</t>
  </si>
  <si>
    <t>Tractor Descarga y carga de bines con tracto elevador</t>
  </si>
  <si>
    <t>Secado</t>
  </si>
  <si>
    <t>Contratados CT $</t>
  </si>
  <si>
    <t>USD/Has</t>
  </si>
  <si>
    <t>Combustible Pesos</t>
  </si>
  <si>
    <t>Combustible USD</t>
  </si>
  <si>
    <t>Combustible Litros Gen</t>
  </si>
  <si>
    <t>Combustible Litros Cos</t>
  </si>
  <si>
    <t>Combustible Litros Sec</t>
  </si>
  <si>
    <t>Contratados PA $</t>
  </si>
  <si>
    <t>Resumen de Jornales Tractores Generales</t>
  </si>
  <si>
    <t>Resumen de Jornales tractoristas de Cosecha</t>
  </si>
  <si>
    <t>Resumen de Jornales tractoristas de Secado</t>
  </si>
  <si>
    <t>Resumen Jornales totales de Cosecha</t>
  </si>
  <si>
    <t>Resumen Jornales totales de Secado</t>
  </si>
  <si>
    <t>3,0x1,5</t>
  </si>
  <si>
    <t>DOV</t>
  </si>
  <si>
    <t>Convencional</t>
  </si>
  <si>
    <t>cosecha</t>
  </si>
  <si>
    <t>secado</t>
  </si>
  <si>
    <t>gral</t>
  </si>
  <si>
    <t>Jorn/Has</t>
  </si>
  <si>
    <t>3,0x2,0</t>
  </si>
  <si>
    <t>Cosecha DOV</t>
  </si>
  <si>
    <t>Corte DOV</t>
  </si>
  <si>
    <t>Año de plantación</t>
  </si>
  <si>
    <t>2019</t>
  </si>
  <si>
    <t>2020</t>
  </si>
  <si>
    <t>2021</t>
  </si>
  <si>
    <t>Txt ref</t>
  </si>
  <si>
    <t>Fiesta 2020</t>
  </si>
  <si>
    <t>Fiesta 2021</t>
  </si>
  <si>
    <t>Flame 2019</t>
  </si>
  <si>
    <t>Flame 2020</t>
  </si>
  <si>
    <t>Flame 2021</t>
  </si>
  <si>
    <t>Selma 2019</t>
  </si>
  <si>
    <t>Selma 2021</t>
  </si>
  <si>
    <t>Jornales Disponibles EE</t>
  </si>
  <si>
    <t>El Espejo</t>
  </si>
  <si>
    <t>Contratados EE $</t>
  </si>
  <si>
    <t>EE I y II</t>
  </si>
  <si>
    <t>USD/Has EE I y II</t>
  </si>
  <si>
    <t>EE III</t>
  </si>
  <si>
    <t>USD/Has EE III</t>
  </si>
  <si>
    <t>Coadyuvantes</t>
  </si>
  <si>
    <t>Acido Borico</t>
  </si>
  <si>
    <t xml:space="preserve">Etrhel </t>
  </si>
  <si>
    <t>Formidoble</t>
  </si>
  <si>
    <t>Mirex S</t>
  </si>
  <si>
    <t>movento</t>
  </si>
  <si>
    <t xml:space="preserve">Oxicloruro de Cobre </t>
  </si>
  <si>
    <t>Round up</t>
  </si>
  <si>
    <t>Sulfato de K</t>
  </si>
  <si>
    <t>Sulfato de Mg.</t>
  </si>
  <si>
    <t>Sulfato de Zn</t>
  </si>
  <si>
    <t>Urea</t>
  </si>
  <si>
    <t>Foliares</t>
  </si>
  <si>
    <t>Fungicidas</t>
  </si>
  <si>
    <t>Herbicidas</t>
  </si>
  <si>
    <t>Hormonas</t>
  </si>
  <si>
    <t>Insecticidas</t>
  </si>
  <si>
    <t>Producto</t>
  </si>
  <si>
    <t>Precio (ARS)</t>
  </si>
  <si>
    <t>Presentación</t>
  </si>
  <si>
    <t>Marca</t>
  </si>
  <si>
    <t>Proveedor</t>
  </si>
  <si>
    <t>40 kg</t>
  </si>
  <si>
    <t>Breaking Lab</t>
  </si>
  <si>
    <t>MercadoLibre (Tienda Breaking Lab)</t>
  </si>
  <si>
    <t>25 kg</t>
  </si>
  <si>
    <t>Santa Rita</t>
  </si>
  <si>
    <t>MercadoLibre</t>
  </si>
  <si>
    <t>Yara</t>
  </si>
  <si>
    <t>Sulfato de magnesio</t>
  </si>
  <si>
    <t>Manuchar</t>
  </si>
  <si>
    <t>MercadoLibre (Tienda Planeta Verde)</t>
  </si>
  <si>
    <t>100 g</t>
  </si>
  <si>
    <t>Valhalla Grow</t>
  </si>
  <si>
    <t>BASF</t>
  </si>
  <si>
    <t>20 L</t>
  </si>
  <si>
    <t>Bayer</t>
  </si>
  <si>
    <t>MercadoLibre (Vivero Ondaverde)</t>
  </si>
  <si>
    <t>1 kg</t>
  </si>
  <si>
    <t>Masfertil</t>
  </si>
  <si>
    <t>Valle Agroquímicos (Mendoza)</t>
  </si>
  <si>
    <t>Mamboretá</t>
  </si>
  <si>
    <t>Rappi (UP! Growshop)</t>
  </si>
  <si>
    <t>1 L</t>
  </si>
  <si>
    <t>Ácido fosfórico 85% (fertilizante)</t>
  </si>
  <si>
    <t>Ácido bórico (fertilizante)</t>
  </si>
  <si>
    <t>Nitrato de calcio (Calcinit Yara)</t>
  </si>
  <si>
    <t>Sulfato de potasio (SOP Yara)</t>
  </si>
  <si>
    <t>Sulfato de zinc (Bordelés 100g)</t>
  </si>
  <si>
    <t>Kumulus (Azufre coloidal)</t>
  </si>
  <si>
    <t>Oxicloruro de cobre (Fungicida)</t>
  </si>
  <si>
    <t>RoundUp Top (Glifosato 70.5%)</t>
  </si>
  <si>
    <t>Formidoble (insecticida clorpirifos)</t>
  </si>
  <si>
    <t>Mirex S (insecticida hormigas)</t>
  </si>
  <si>
    <t>Movento (Spirotetramat 15%)</t>
  </si>
  <si>
    <t>Unidad Kg/L</t>
  </si>
  <si>
    <t>USD x Unidad</t>
  </si>
  <si>
    <t>Lubricantes</t>
  </si>
  <si>
    <t>Aceite Motor</t>
  </si>
  <si>
    <t>Aceite Hidráulico</t>
  </si>
  <si>
    <t>Ac. Multiproposito</t>
  </si>
  <si>
    <t>Productos</t>
  </si>
  <si>
    <t xml:space="preserve">Enero 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</si>
  <si>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</si>
  <si>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</si>
  <si>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</si>
  <si>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</si>
  <si>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</si>
  <si>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</si>
  <si>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</si>
  <si>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</si>
  <si>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</si>
  <si>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</si>
  <si>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</si>
  <si>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</si>
  <si>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</si>
  <si>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</si>
  <si>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</si>
  <si>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16º</t>
  </si>
  <si>
    <t>17º</t>
  </si>
  <si>
    <t>18º</t>
  </si>
  <si>
    <t>19º</t>
  </si>
  <si>
    <t>20º</t>
  </si>
  <si>
    <t>21º</t>
  </si>
  <si>
    <t>22º</t>
  </si>
  <si>
    <t>23º</t>
  </si>
  <si>
    <t>24º</t>
  </si>
  <si>
    <t>25º</t>
  </si>
  <si>
    <t>26º</t>
  </si>
  <si>
    <t>27º</t>
  </si>
  <si>
    <t>Br 10 cm</t>
  </si>
  <si>
    <t>Br 20 cm</t>
  </si>
  <si>
    <t>Br 40cm</t>
  </si>
  <si>
    <t>Br 60cm</t>
  </si>
  <si>
    <t>Preflor</t>
  </si>
  <si>
    <t>Flor</t>
  </si>
  <si>
    <t>G. 8-10 mm</t>
  </si>
  <si>
    <t xml:space="preserve">Pre-Envero </t>
  </si>
  <si>
    <t>Envero</t>
  </si>
  <si>
    <t>Precosecha</t>
  </si>
  <si>
    <t>G.Pim</t>
  </si>
  <si>
    <t>Post- cos</t>
  </si>
  <si>
    <t>500 L/Has</t>
  </si>
  <si>
    <t>800 L/Has</t>
  </si>
  <si>
    <t>Kumulus Kg</t>
  </si>
  <si>
    <t>Ac. Fosforico L</t>
  </si>
  <si>
    <t>Adherente L</t>
  </si>
  <si>
    <t>1000 L/Has</t>
  </si>
  <si>
    <t>Ac. Giberelico kg</t>
  </si>
  <si>
    <t>Intrepid L</t>
  </si>
  <si>
    <t>Delegate Kg</t>
  </si>
  <si>
    <t>Bactur Kg</t>
  </si>
  <si>
    <t>Nitrato de Calcio Kg</t>
  </si>
  <si>
    <t>Ref Fincas</t>
  </si>
  <si>
    <t>Lubricantes Litros Totales</t>
  </si>
  <si>
    <t>Combustible Litros Tot</t>
  </si>
  <si>
    <t>Lubricantes USD</t>
  </si>
  <si>
    <t>Ref 2</t>
  </si>
  <si>
    <t>Gramoxone</t>
  </si>
  <si>
    <t>Graminicida</t>
  </si>
  <si>
    <t>MCPA</t>
  </si>
  <si>
    <t>Total</t>
  </si>
  <si>
    <t>$ Pes</t>
  </si>
  <si>
    <t>Adherente</t>
  </si>
  <si>
    <t>Ethrel</t>
  </si>
  <si>
    <t>Acido giberelico</t>
  </si>
  <si>
    <t>1 Kg</t>
  </si>
  <si>
    <t>Intrepid</t>
  </si>
  <si>
    <t>Delegate WG</t>
  </si>
  <si>
    <t>Bactur 2X WP</t>
  </si>
  <si>
    <t>U$D</t>
  </si>
  <si>
    <t>CT</t>
  </si>
  <si>
    <t>LCH</t>
  </si>
  <si>
    <t>PA</t>
  </si>
  <si>
    <t>Camino Truncado $</t>
  </si>
  <si>
    <t>La Chimbera $</t>
  </si>
  <si>
    <t>Puente Alto $</t>
  </si>
  <si>
    <t>El Espejo I y II $</t>
  </si>
  <si>
    <t>El Espejo III $</t>
  </si>
  <si>
    <t>ADMINISTRACION</t>
  </si>
  <si>
    <t>Administración Rosario</t>
  </si>
  <si>
    <t>Administración San Juan</t>
  </si>
  <si>
    <t>PERSONAL FINCA</t>
  </si>
  <si>
    <t>Cargas Sociales</t>
  </si>
  <si>
    <t>Contratados</t>
  </si>
  <si>
    <t>Dirección Técnica</t>
  </si>
  <si>
    <t>Encargados</t>
  </si>
  <si>
    <t>Permanentes</t>
  </si>
  <si>
    <t>COMBUSTIBLE Y MANTENIMIENTO</t>
  </si>
  <si>
    <t>Combustible y Lubricantes</t>
  </si>
  <si>
    <t>Fletes Varios</t>
  </si>
  <si>
    <t>Insumos menores</t>
  </si>
  <si>
    <t>Reparaciones Repuestos</t>
  </si>
  <si>
    <t>ENERGIA FINCAS</t>
  </si>
  <si>
    <t>Energia Fincas</t>
  </si>
  <si>
    <t>FERTILIZANTES</t>
  </si>
  <si>
    <t>Inorgánicos</t>
  </si>
  <si>
    <t>Orgánicos</t>
  </si>
  <si>
    <t>COSECHA</t>
  </si>
  <si>
    <t>Alquiler Maquinaria Cos</t>
  </si>
  <si>
    <t>Combustible Cosecha</t>
  </si>
  <si>
    <t>Flete Cosecha</t>
  </si>
  <si>
    <t>SECADO</t>
  </si>
  <si>
    <t>Alquiler Maquinaria Sec</t>
  </si>
  <si>
    <t>Combustible Secado</t>
  </si>
  <si>
    <t>Flete Secado</t>
  </si>
  <si>
    <t>INVERSIONES</t>
  </si>
  <si>
    <t>Inversiones</t>
  </si>
  <si>
    <t>Contratados CT USD</t>
  </si>
  <si>
    <t>Contratados PA USD</t>
  </si>
  <si>
    <t>Contratados LCH $</t>
  </si>
  <si>
    <t>Contratados LCH USD</t>
  </si>
  <si>
    <t>Contratados EE USD</t>
  </si>
  <si>
    <t>Combustibles USD</t>
  </si>
  <si>
    <t>Detalle</t>
  </si>
  <si>
    <t>MES</t>
  </si>
  <si>
    <t>Valor</t>
  </si>
  <si>
    <t>Contratados EE I y II $</t>
  </si>
  <si>
    <t>Contratados EE I y II USD</t>
  </si>
  <si>
    <t>Contratados EE III $</t>
  </si>
  <si>
    <t>Contratados EE III USD</t>
  </si>
  <si>
    <t>Combustibles USD EE I y II</t>
  </si>
  <si>
    <t>Combustibles USD EE III</t>
  </si>
  <si>
    <t>El Espejo I y II</t>
  </si>
  <si>
    <t>Items</t>
  </si>
  <si>
    <t>USD</t>
  </si>
  <si>
    <t>Ref 3</t>
  </si>
  <si>
    <t>Tot</t>
  </si>
  <si>
    <t>Cotización</t>
  </si>
  <si>
    <t>Faena</t>
  </si>
  <si>
    <t>KG uva</t>
  </si>
  <si>
    <t>KG</t>
  </si>
  <si>
    <t>Días Hab</t>
  </si>
  <si>
    <t>Precio Bins</t>
  </si>
  <si>
    <t>Precio Kg Uva Carro</t>
  </si>
  <si>
    <t>Carros</t>
  </si>
  <si>
    <t>Bins + Carros</t>
  </si>
  <si>
    <t>Jornales $</t>
  </si>
  <si>
    <t>Gamela DOV</t>
  </si>
  <si>
    <t>Anual</t>
  </si>
  <si>
    <t>Ad Ros</t>
  </si>
  <si>
    <t>CAMINO TRUNCADO</t>
  </si>
  <si>
    <t>LA CHIMBERA</t>
  </si>
  <si>
    <t>PUENTE ALTO</t>
  </si>
  <si>
    <t>EL ESPEJO I y II</t>
  </si>
  <si>
    <t>EL ESPEJO III</t>
  </si>
  <si>
    <t>El espejo I y II</t>
  </si>
  <si>
    <t>El espejo III</t>
  </si>
  <si>
    <t>LLOVERAS ALEJANDRO</t>
  </si>
  <si>
    <t>LEANDRO ORMEÑO</t>
  </si>
  <si>
    <t>SANTIAGO PENA</t>
  </si>
  <si>
    <t>WINGEYER</t>
  </si>
  <si>
    <t>NICOLAS SERASIO</t>
  </si>
  <si>
    <t>HONORARIOS CHILENOS</t>
  </si>
  <si>
    <t>Posible adelanto de Premios</t>
  </si>
  <si>
    <t>AD Rosario</t>
  </si>
  <si>
    <t>AD San Juan</t>
  </si>
  <si>
    <t xml:space="preserve">             -  </t>
  </si>
  <si>
    <t>Espejo III</t>
  </si>
  <si>
    <t>01 - LA CHIMBERA</t>
  </si>
  <si>
    <t>02 - CAMINO TRUNCADO</t>
  </si>
  <si>
    <t>03 - PUENTE ALTO</t>
  </si>
  <si>
    <t>04 - EL ESPEJO</t>
  </si>
  <si>
    <t>05 - EL ESPEJO</t>
  </si>
  <si>
    <t>indice infl</t>
  </si>
  <si>
    <t>Reparaciones repuestos</t>
  </si>
  <si>
    <t>Kg Pasa</t>
  </si>
  <si>
    <t>Cierre 2025</t>
  </si>
  <si>
    <t>Dashboard de kg</t>
  </si>
  <si>
    <t>Historico precios</t>
  </si>
  <si>
    <t>Energia</t>
  </si>
  <si>
    <t>FITOSANITARIOS</t>
  </si>
  <si>
    <t>1L</t>
  </si>
  <si>
    <t>Jornal</t>
  </si>
  <si>
    <t>Específicos</t>
  </si>
  <si>
    <t>Generales</t>
  </si>
  <si>
    <t>Jornales Tractoristas y consumo de combustible</t>
  </si>
  <si>
    <t>u$s Comb</t>
  </si>
  <si>
    <t>u$s Lubr</t>
  </si>
  <si>
    <t>Pres 25-26</t>
  </si>
  <si>
    <t>Real 24-25</t>
  </si>
  <si>
    <t>Gen</t>
  </si>
  <si>
    <t>Inf 24-25</t>
  </si>
  <si>
    <t>Inf 24-26</t>
  </si>
  <si>
    <t>El Espejo 3 (20003744054)</t>
  </si>
  <si>
    <t>El Espejo 2 (20003744040)</t>
  </si>
  <si>
    <t>El Espejo 1 (20003744070)</t>
  </si>
  <si>
    <t>La Chimbera (20004534517)</t>
  </si>
  <si>
    <t>3.311.952</t>
  </si>
  <si>
    <t>2.000.960</t>
  </si>
  <si>
    <t>10.574.044</t>
  </si>
  <si>
    <t>2.367.325</t>
  </si>
  <si>
    <t>4.080.412</t>
  </si>
  <si>
    <t>1.911.511</t>
  </si>
  <si>
    <t>5.285.733</t>
  </si>
  <si>
    <t>9.507.523</t>
  </si>
  <si>
    <t>2.867.718</t>
  </si>
  <si>
    <t>17.574.763</t>
  </si>
  <si>
    <t>10.361.057</t>
  </si>
  <si>
    <t>16.435.281</t>
  </si>
  <si>
    <t>4.910.184</t>
  </si>
  <si>
    <t>18.923.319</t>
  </si>
  <si>
    <t>12.468.686</t>
  </si>
  <si>
    <t>17.629.239</t>
  </si>
  <si>
    <t>4.756.763</t>
  </si>
  <si>
    <t>29.104.475</t>
  </si>
  <si>
    <t>15.984.969</t>
  </si>
  <si>
    <t>19.084.727</t>
  </si>
  <si>
    <t>6.194.329</t>
  </si>
  <si>
    <t>36.285.818</t>
  </si>
  <si>
    <t>16.700.320</t>
  </si>
  <si>
    <t>22.527.003</t>
  </si>
  <si>
    <t>4.849.125</t>
  </si>
  <si>
    <t>7.131.979</t>
  </si>
  <si>
    <t>2.465.926</t>
  </si>
  <si>
    <t>17.732.038</t>
  </si>
  <si>
    <t>4.279.187</t>
  </si>
  <si>
    <t>1.367.693</t>
  </si>
  <si>
    <t>6.637.097</t>
  </si>
  <si>
    <t>Por Ha</t>
  </si>
  <si>
    <t>Camino truncado</t>
  </si>
  <si>
    <t>pa</t>
  </si>
  <si>
    <t>lch</t>
  </si>
  <si>
    <t>ct</t>
  </si>
  <si>
    <t>kg pa</t>
  </si>
  <si>
    <t>combustibles gasoil $</t>
  </si>
  <si>
    <t>combustibles lubricantes $</t>
  </si>
  <si>
    <t>ee i y ii</t>
  </si>
  <si>
    <t>eeiii</t>
  </si>
  <si>
    <t>Jornales u$s</t>
  </si>
  <si>
    <t>terc</t>
  </si>
  <si>
    <t>terc ee</t>
  </si>
  <si>
    <t>ee</t>
  </si>
  <si>
    <t>ee iii</t>
  </si>
  <si>
    <t>(Todas)</t>
  </si>
  <si>
    <t>Suma de Jornales</t>
  </si>
  <si>
    <t>Etiquetas de columna</t>
  </si>
  <si>
    <t>Grupo1</t>
  </si>
  <si>
    <t>Gastos</t>
  </si>
  <si>
    <t>FINCA</t>
  </si>
  <si>
    <t>Importe en $</t>
  </si>
  <si>
    <t>Fecha Ref</t>
  </si>
  <si>
    <t>Ref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</si>
</sst>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#,##0_ ;\-#,##0\ "/>
    <numFmt numFmtId="166" formatCode="0.000"/>
    <numFmt numFmtId="167" formatCode="&quot;$&quot;\ #,##0"/>
    <numFmt numFmtId="168" formatCode="0.000000"/>
    <numFmt numFmtId="169" formatCode="0.0"/>
    <numFmt numFmtId="170" formatCode="_-* #,##0.0_-;\-* #,##0.0_-;_-* &quot;-&quot;??_-;_-@_-"/>
    <numFmt numFmtId="171" formatCode="#,##0_ ;[Red]\-#,##0\ "/>
    <numFmt numFmtId="172" formatCode="0.0%"/>
    <numFmt numFmtId="173" formatCode="&quot;$&quot;\ #,##0.00"/>
    <numFmt numFmtId="174" formatCode="&quot;$&quot;\ #,##0.000"/>
    <numFmt numFmtId="175" formatCode="#,##0.000"/>
    <numFmt numFmtId="176" formatCode="0E+00"/>
    <numFmt numFmtId="177" formatCode="_-* #,##0.00000000_-;\-* #,##0.00000000_-;_-* &quot;-&quot;??_-;_-@_-"/>
    <numFmt numFmtId="178" formatCode="_-* #,##0.000000000000_-;\-* #,##0.000000000000_-;_-* &quot;-&quot;??_-;_-@_-"/>
    <numFmt numFmtId="179" formatCode="dd/mm/yyyy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2" tint="-0.499984740745262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6" tint="0.39997558519241921"/>
      <name val="Calibri"/>
      <family val="2"/>
      <scheme val="minor"/>
    </font>
    <font>
      <b/>
      <sz val="9"/>
      <color rgb="FF000000"/>
      <name val="Tahoma"/>
      <family val="2"/>
    </font>
    <font>
      <sz val="12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8"/>
      <color theme="0"/>
      <name val="Calibri"/>
      <family val="2"/>
      <scheme val="minor"/>
    </font>
    <font>
      <sz val="11"/>
      <name val="Calibri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9255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/>
        <bgColor indexed="64"/>
      </patternFill>
    </fill>
    <fill>
      <gradientFill degree="180">
        <stop position="0">
          <color theme="2" tint="-9.8025452436902985E-2"/>
        </stop>
        <stop position="1">
          <color theme="8"/>
        </stop>
      </gradientFill>
    </fill>
    <fill>
      <patternFill patternType="solid">
        <fgColor theme="6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249977111117893"/>
        <bgColor theme="1" tint="0.249977111117893"/>
      </patternFill>
    </fill>
    <fill>
      <patternFill patternType="solid">
        <fgColor theme="9"/>
        <bgColor theme="9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 tint="0.79998168889431442"/>
      </left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/>
      <right style="medium">
        <color theme="1" tint="0.499984740745262"/>
      </right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4">
    <xf numFmtId="0" fontId="0" fillId="0" borderId="0" xfId="0"/>
    <xf numFmtId="2" fontId="0" fillId="0" borderId="0" xfId="0" applyNumberFormat="1"/>
    <xf numFmtId="3" fontId="0" fillId="0" borderId="0" xfId="0" applyNumberFormat="1"/>
    <xf numFmtId="164" fontId="0" fillId="0" borderId="0" xfId="1" applyNumberFormat="1" applyFont="1" applyFill="1" applyAlignment="1">
      <alignment horizontal="center"/>
    </xf>
    <xf numFmtId="0" fontId="3" fillId="2" borderId="0" xfId="0" applyFont="1" applyFill="1"/>
    <xf numFmtId="3" fontId="3" fillId="2" borderId="0" xfId="0" applyNumberFormat="1" applyFont="1" applyFill="1"/>
    <xf numFmtId="0" fontId="3" fillId="3" borderId="0" xfId="0" applyFont="1" applyFill="1"/>
    <xf numFmtId="3" fontId="4" fillId="2" borderId="0" xfId="0" applyNumberFormat="1" applyFont="1" applyFill="1"/>
    <xf numFmtId="3" fontId="3" fillId="0" borderId="0" xfId="0" applyNumberFormat="1" applyFont="1" applyAlignment="1">
      <alignment horizontal="center" vertical="center"/>
    </xf>
    <xf numFmtId="3" fontId="0" fillId="4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/>
    </xf>
    <xf numFmtId="4" fontId="2" fillId="0" borderId="0" xfId="0" applyNumberFormat="1" applyFont="1" applyAlignment="1">
      <alignment horizontal="center"/>
    </xf>
    <xf numFmtId="0" fontId="3" fillId="5" borderId="0" xfId="0" applyFont="1" applyFill="1"/>
    <xf numFmtId="3" fontId="0" fillId="0" borderId="0" xfId="0" applyNumberFormat="1" applyAlignment="1">
      <alignment horizontal="center"/>
    </xf>
    <xf numFmtId="3" fontId="5" fillId="6" borderId="0" xfId="0" applyNumberFormat="1" applyFont="1" applyFill="1"/>
    <xf numFmtId="0" fontId="0" fillId="6" borderId="0" xfId="0" applyFill="1"/>
    <xf numFmtId="167" fontId="0" fillId="0" borderId="0" xfId="0" applyNumberFormat="1"/>
    <xf numFmtId="166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8" fontId="0" fillId="0" borderId="0" xfId="0" applyNumberFormat="1"/>
    <xf numFmtId="169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8" borderId="0" xfId="0" applyFill="1"/>
    <xf numFmtId="0" fontId="8" fillId="8" borderId="0" xfId="0" applyFont="1" applyFill="1"/>
    <xf numFmtId="3" fontId="0" fillId="8" borderId="0" xfId="0" applyNumberFormat="1" applyFill="1"/>
    <xf numFmtId="0" fontId="0" fillId="8" borderId="0" xfId="0" applyFill="1" applyAlignment="1">
      <alignment horizontal="left"/>
    </xf>
    <xf numFmtId="0" fontId="5" fillId="8" borderId="0" xfId="0" applyFont="1" applyFill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8" fillId="8" borderId="0" xfId="0" applyFont="1" applyFill="1" applyAlignment="1">
      <alignment horizontal="left"/>
    </xf>
    <xf numFmtId="0" fontId="8" fillId="9" borderId="5" xfId="0" applyFont="1" applyFill="1" applyBorder="1" applyAlignment="1">
      <alignment horizontal="left"/>
    </xf>
    <xf numFmtId="0" fontId="0" fillId="5" borderId="0" xfId="0" applyFill="1"/>
    <xf numFmtId="0" fontId="2" fillId="0" borderId="6" xfId="0" applyFont="1" applyBorder="1"/>
    <xf numFmtId="0" fontId="8" fillId="8" borderId="0" xfId="0" applyFont="1" applyFill="1" applyAlignment="1">
      <alignment horizontal="center"/>
    </xf>
    <xf numFmtId="3" fontId="8" fillId="8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10" fillId="10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3" fontId="10" fillId="3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3" fontId="10" fillId="11" borderId="0" xfId="0" applyNumberFormat="1" applyFont="1" applyFill="1" applyAlignment="1">
      <alignment horizontal="center" vertical="center"/>
    </xf>
    <xf numFmtId="2" fontId="10" fillId="7" borderId="4" xfId="0" applyNumberFormat="1" applyFont="1" applyFill="1" applyBorder="1" applyAlignment="1">
      <alignment horizontal="center" vertical="center"/>
    </xf>
    <xf numFmtId="3" fontId="12" fillId="12" borderId="0" xfId="0" applyNumberFormat="1" applyFont="1" applyFill="1" applyAlignment="1">
      <alignment horizontal="center" vertical="center"/>
    </xf>
    <xf numFmtId="3" fontId="8" fillId="13" borderId="0" xfId="0" applyNumberFormat="1" applyFont="1" applyFill="1" applyAlignment="1">
      <alignment horizontal="center" vertical="center"/>
    </xf>
    <xf numFmtId="3" fontId="11" fillId="14" borderId="0" xfId="0" applyNumberFormat="1" applyFont="1" applyFill="1" applyAlignment="1">
      <alignment horizontal="center" vertical="center"/>
    </xf>
    <xf numFmtId="1" fontId="8" fillId="8" borderId="0" xfId="0" applyNumberFormat="1" applyFont="1" applyFill="1" applyAlignment="1">
      <alignment horizontal="center" vertical="center"/>
    </xf>
    <xf numFmtId="3" fontId="11" fillId="15" borderId="0" xfId="0" applyNumberFormat="1" applyFont="1" applyFill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3" fontId="13" fillId="4" borderId="0" xfId="0" applyNumberFormat="1" applyFont="1" applyFill="1" applyAlignment="1">
      <alignment horizontal="center" vertical="center"/>
    </xf>
    <xf numFmtId="165" fontId="14" fillId="2" borderId="0" xfId="0" applyNumberFormat="1" applyFont="1" applyFill="1"/>
    <xf numFmtId="0" fontId="5" fillId="16" borderId="0" xfId="0" applyFont="1" applyFill="1"/>
    <xf numFmtId="0" fontId="5" fillId="17" borderId="0" xfId="0" applyFont="1" applyFill="1"/>
    <xf numFmtId="3" fontId="8" fillId="8" borderId="0" xfId="0" applyNumberFormat="1" applyFont="1" applyFill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4" fontId="0" fillId="0" borderId="0" xfId="0" applyNumberFormat="1"/>
    <xf numFmtId="0" fontId="5" fillId="0" borderId="0" xfId="0" applyFont="1"/>
    <xf numFmtId="0" fontId="16" fillId="0" borderId="0" xfId="0" applyFont="1"/>
    <xf numFmtId="0" fontId="16" fillId="0" borderId="0" xfId="0" applyFont="1" applyAlignment="1">
      <alignment horizontal="center"/>
    </xf>
    <xf numFmtId="3" fontId="16" fillId="0" borderId="0" xfId="0" applyNumberFormat="1" applyFont="1" applyAlignment="1">
      <alignment horizontal="center" vertical="center"/>
    </xf>
    <xf numFmtId="170" fontId="0" fillId="0" borderId="0" xfId="1" applyNumberFormat="1" applyFont="1"/>
    <xf numFmtId="164" fontId="0" fillId="0" borderId="0" xfId="1" applyNumberFormat="1" applyFont="1"/>
    <xf numFmtId="171" fontId="0" fillId="0" borderId="0" xfId="0" applyNumberFormat="1"/>
    <xf numFmtId="0" fontId="0" fillId="10" borderId="0" xfId="0" applyFill="1"/>
    <xf numFmtId="0" fontId="17" fillId="10" borderId="0" xfId="0" applyFont="1" applyFill="1"/>
    <xf numFmtId="0" fontId="5" fillId="8" borderId="0" xfId="0" applyFont="1" applyFill="1"/>
    <xf numFmtId="0" fontId="0" fillId="0" borderId="8" xfId="0" applyBorder="1"/>
    <xf numFmtId="0" fontId="5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10" borderId="8" xfId="0" applyFill="1" applyBorder="1"/>
    <xf numFmtId="0" fontId="0" fillId="10" borderId="8" xfId="0" applyFill="1" applyBorder="1" applyAlignment="1">
      <alignment horizontal="center"/>
    </xf>
    <xf numFmtId="3" fontId="5" fillId="8" borderId="0" xfId="0" applyNumberFormat="1" applyFont="1" applyFill="1" applyAlignment="1">
      <alignment horizontal="center"/>
    </xf>
    <xf numFmtId="3" fontId="5" fillId="13" borderId="0" xfId="0" applyNumberFormat="1" applyFont="1" applyFill="1" applyAlignment="1">
      <alignment horizontal="center"/>
    </xf>
    <xf numFmtId="1" fontId="5" fillId="8" borderId="0" xfId="0" applyNumberFormat="1" applyFont="1" applyFill="1"/>
    <xf numFmtId="3" fontId="13" fillId="10" borderId="0" xfId="0" applyNumberFormat="1" applyFont="1" applyFill="1" applyAlignment="1">
      <alignment horizontal="center" vertical="center"/>
    </xf>
    <xf numFmtId="3" fontId="11" fillId="12" borderId="0" xfId="0" applyNumberFormat="1" applyFont="1" applyFill="1" applyAlignment="1">
      <alignment horizontal="center" vertical="center"/>
    </xf>
    <xf numFmtId="2" fontId="0" fillId="10" borderId="8" xfId="0" applyNumberFormat="1" applyFill="1" applyBorder="1"/>
    <xf numFmtId="1" fontId="5" fillId="8" borderId="0" xfId="0" applyNumberFormat="1" applyFont="1" applyFill="1" applyAlignment="1">
      <alignment horizontal="center"/>
    </xf>
    <xf numFmtId="3" fontId="0" fillId="0" borderId="0" xfId="1" applyNumberFormat="1" applyFont="1"/>
    <xf numFmtId="1" fontId="0" fillId="10" borderId="0" xfId="0" applyNumberFormat="1" applyFill="1" applyAlignment="1">
      <alignment horizontal="center"/>
    </xf>
    <xf numFmtId="3" fontId="0" fillId="0" borderId="7" xfId="0" applyNumberFormat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18" borderId="11" xfId="0" applyFont="1" applyFill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3" fontId="8" fillId="21" borderId="0" xfId="0" applyNumberFormat="1" applyFont="1" applyFill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7" xfId="0" applyBorder="1"/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2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2" fillId="0" borderId="0" xfId="0" applyFont="1"/>
    <xf numFmtId="0" fontId="5" fillId="19" borderId="0" xfId="0" applyFont="1" applyFill="1" applyAlignment="1">
      <alignment horizontal="center" vertical="center" wrapText="1"/>
    </xf>
    <xf numFmtId="0" fontId="8" fillId="22" borderId="15" xfId="0" applyFont="1" applyFill="1" applyBorder="1"/>
    <xf numFmtId="0" fontId="8" fillId="22" borderId="16" xfId="0" applyFont="1" applyFill="1" applyBorder="1" applyAlignment="1">
      <alignment horizontal="center"/>
    </xf>
    <xf numFmtId="165" fontId="0" fillId="0" borderId="0" xfId="1" applyNumberFormat="1" applyFont="1"/>
    <xf numFmtId="9" fontId="0" fillId="0" borderId="0" xfId="2" applyFont="1" applyAlignment="1">
      <alignment horizontal="center"/>
    </xf>
    <xf numFmtId="0" fontId="0" fillId="0" borderId="0" xfId="0" applyAlignment="1">
      <alignment vertical="center"/>
    </xf>
    <xf numFmtId="3" fontId="17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3" fontId="17" fillId="0" borderId="0" xfId="0" applyNumberFormat="1" applyFont="1" applyAlignment="1">
      <alignment horizontal="right" vertical="center"/>
    </xf>
    <xf numFmtId="3" fontId="22" fillId="0" borderId="0" xfId="0" applyNumberFormat="1" applyFont="1" applyAlignment="1">
      <alignment horizontal="center" vertical="center"/>
    </xf>
    <xf numFmtId="3" fontId="0" fillId="0" borderId="14" xfId="0" applyNumberFormat="1" applyBorder="1"/>
    <xf numFmtId="172" fontId="0" fillId="0" borderId="0" xfId="2" applyNumberFormat="1" applyFont="1"/>
    <xf numFmtId="165" fontId="0" fillId="0" borderId="0" xfId="1" applyNumberFormat="1" applyFont="1" applyAlignment="1">
      <alignment horizontal="center" vertical="center"/>
    </xf>
    <xf numFmtId="9" fontId="0" fillId="0" borderId="0" xfId="2" applyFont="1"/>
    <xf numFmtId="0" fontId="8" fillId="23" borderId="17" xfId="0" applyFont="1" applyFill="1" applyBorder="1"/>
    <xf numFmtId="0" fontId="8" fillId="23" borderId="18" xfId="0" applyFont="1" applyFill="1" applyBorder="1"/>
    <xf numFmtId="0" fontId="26" fillId="8" borderId="0" xfId="0" applyFont="1" applyFill="1"/>
    <xf numFmtId="2" fontId="26" fillId="8" borderId="0" xfId="0" applyNumberFormat="1" applyFont="1" applyFill="1"/>
    <xf numFmtId="3" fontId="0" fillId="0" borderId="7" xfId="0" applyNumberFormat="1" applyBorder="1"/>
    <xf numFmtId="0" fontId="0" fillId="0" borderId="0" xfId="1" applyNumberFormat="1" applyFont="1"/>
    <xf numFmtId="0" fontId="0" fillId="24" borderId="0" xfId="0" applyFill="1"/>
    <xf numFmtId="0" fontId="0" fillId="11" borderId="0" xfId="0" applyFill="1"/>
    <xf numFmtId="0" fontId="0" fillId="25" borderId="0" xfId="0" applyFill="1"/>
    <xf numFmtId="0" fontId="0" fillId="26" borderId="0" xfId="0" applyFill="1"/>
    <xf numFmtId="0" fontId="27" fillId="8" borderId="0" xfId="0" applyFont="1" applyFill="1" applyAlignment="1">
      <alignment horizontal="center" vertical="center"/>
    </xf>
    <xf numFmtId="173" fontId="0" fillId="0" borderId="0" xfId="0" applyNumberFormat="1"/>
    <xf numFmtId="174" fontId="0" fillId="0" borderId="0" xfId="0" applyNumberFormat="1"/>
    <xf numFmtId="3" fontId="27" fillId="8" borderId="0" xfId="0" applyNumberFormat="1" applyFont="1" applyFill="1" applyAlignment="1">
      <alignment horizontal="center" vertical="center"/>
    </xf>
    <xf numFmtId="43" fontId="0" fillId="0" borderId="0" xfId="1" applyFont="1"/>
    <xf numFmtId="165" fontId="0" fillId="0" borderId="0" xfId="0" applyNumberFormat="1"/>
    <xf numFmtId="0" fontId="2" fillId="0" borderId="0" xfId="0" applyFont="1"/>
    <xf numFmtId="17" fontId="0" fillId="0" borderId="0" xfId="0" applyNumberFormat="1"/>
    <xf numFmtId="164" fontId="0" fillId="0" borderId="0" xfId="1" applyNumberFormat="1" applyFont="1" applyAlignment="1">
      <alignment horizontal="right"/>
    </xf>
    <xf numFmtId="164" fontId="0" fillId="0" borderId="0" xfId="0" applyNumberFormat="1"/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vertical="center"/>
    </xf>
    <xf numFmtId="164" fontId="0" fillId="8" borderId="0" xfId="1" applyNumberFormat="1" applyFont="1" applyFill="1"/>
    <xf numFmtId="166" fontId="0" fillId="0" borderId="0" xfId="0" applyNumberFormat="1"/>
    <xf numFmtId="175" fontId="22" fillId="0" borderId="0" xfId="0" applyNumberFormat="1" applyFont="1" applyAlignment="1">
      <alignment horizontal="center" vertical="center"/>
    </xf>
    <xf numFmtId="176" fontId="0" fillId="0" borderId="0" xfId="0" applyNumberFormat="1"/>
    <xf numFmtId="178" fontId="0" fillId="0" borderId="0" xfId="1" applyNumberFormat="1" applyFont="1" applyAlignment="1"/>
    <xf numFmtId="177" fontId="0" fillId="0" borderId="0" xfId="1" applyNumberFormat="1" applyFont="1"/>
    <xf numFmtId="3" fontId="11" fillId="28" borderId="0" xfId="0" applyNumberFormat="1" applyFont="1" applyFill="1" applyAlignment="1">
      <alignment horizontal="center" vertical="center"/>
    </xf>
    <xf numFmtId="0" fontId="8" fillId="22" borderId="0" xfId="0" applyFont="1" applyFill="1"/>
    <xf numFmtId="0" fontId="8" fillId="22" borderId="0" xfId="0" applyFont="1" applyFill="1" applyAlignment="1">
      <alignment horizontal="center"/>
    </xf>
    <xf numFmtId="3" fontId="0" fillId="5" borderId="0" xfId="0" applyNumberFormat="1" applyFill="1"/>
    <xf numFmtId="169" fontId="0" fillId="10" borderId="0" xfId="0" applyNumberFormat="1" applyFill="1" applyAlignment="1">
      <alignment horizontal="center"/>
    </xf>
    <xf numFmtId="2" fontId="0" fillId="10" borderId="0" xfId="0" applyNumberFormat="1" applyFill="1" applyAlignment="1">
      <alignment horizontal="center"/>
    </xf>
    <xf numFmtId="167" fontId="0" fillId="29" borderId="0" xfId="0" applyNumberFormat="1" applyFill="1"/>
    <xf numFmtId="179" fontId="0" fillId="0" borderId="0" xfId="0" applyNumberFormat="1"/>
    <xf numFmtId="0" fontId="0" fillId="0" borderId="0" xfId="0" applyNumberFormat="1"/>
    <xf numFmtId="0" fontId="9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7" borderId="0" xfId="0" applyFill="1" applyAlignment="1">
      <alignment horizontal="center"/>
    </xf>
    <xf numFmtId="0" fontId="0" fillId="0" borderId="7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9" fontId="0" fillId="0" borderId="0" xfId="2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20" fillId="18" borderId="0" xfId="0" applyFont="1" applyFill="1" applyAlignment="1">
      <alignment horizontal="center" vertical="center"/>
    </xf>
    <xf numFmtId="0" fontId="18" fillId="10" borderId="0" xfId="0" applyFont="1" applyFill="1" applyAlignment="1">
      <alignment horizontal="center"/>
    </xf>
    <xf numFmtId="0" fontId="21" fillId="8" borderId="0" xfId="0" applyFont="1" applyFill="1" applyAlignment="1">
      <alignment horizontal="center" vertical="center"/>
    </xf>
    <xf numFmtId="0" fontId="5" fillId="2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19" fillId="10" borderId="0" xfId="0" applyFont="1" applyFill="1" applyAlignment="1">
      <alignment horizontal="center"/>
    </xf>
    <xf numFmtId="2" fontId="22" fillId="0" borderId="0" xfId="0" applyNumberFormat="1" applyFont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5" fillId="19" borderId="7" xfId="0" applyFont="1" applyFill="1" applyBorder="1" applyAlignment="1">
      <alignment horizontal="center" vertical="center" wrapText="1"/>
    </xf>
    <xf numFmtId="0" fontId="5" fillId="19" borderId="9" xfId="0" applyFont="1" applyFill="1" applyBorder="1" applyAlignment="1">
      <alignment horizontal="center" vertical="center" wrapText="1"/>
    </xf>
    <xf numFmtId="0" fontId="5" fillId="19" borderId="11" xfId="0" applyFont="1" applyFill="1" applyBorder="1" applyAlignment="1">
      <alignment horizontal="center" vertical="center" wrapText="1"/>
    </xf>
    <xf numFmtId="0" fontId="5" fillId="19" borderId="10" xfId="0" applyFont="1" applyFill="1" applyBorder="1" applyAlignment="1">
      <alignment horizontal="center" vertical="center" wrapText="1"/>
    </xf>
    <xf numFmtId="1" fontId="22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/>
    </xf>
  </cellXfs>
  <cellStyles count="7">
    <cellStyle name="Millares" xfId="1" builtinId="3"/>
    <cellStyle name="Millares 2" xfId="4" xr:uid="{00000000-0005-0000-0000-000001000000}"/>
    <cellStyle name="Moneda 2" xfId="6" xr:uid="{00000000-0005-0000-0000-000002000000}"/>
    <cellStyle name="Normal" xfId="0" builtinId="0"/>
    <cellStyle name="Normal 2" xfId="3" xr:uid="{00000000-0005-0000-0000-000004000000}"/>
    <cellStyle name="Porcentaje" xfId="2" builtinId="5"/>
    <cellStyle name="Porcentaje 2" xfId="5" xr:uid="{00000000-0005-0000-0000-000006000000}"/>
  </cellStyles>
  <dxfs count="4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numFmt numFmtId="179" formatCode="dd/mm/yyyy"/>
    </dxf>
    <dxf>
      <numFmt numFmtId="164" formatCode="_-* #,##0_-;\-* #,##0_-;_-* &quot;-&quot;??_-;_-@_-"/>
    </dxf>
    <dxf>
      <numFmt numFmtId="0" formatCode="General"/>
    </dxf>
    <dxf>
      <numFmt numFmtId="0" formatCode="General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0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_-;\-* #,##0_-;_-* &quot;-&quot;??_-;_-@_-"/>
    </dxf>
    <dxf>
      <numFmt numFmtId="171" formatCode="#,##0_ ;[Red]\-#,##0\ "/>
    </dxf>
    <dxf>
      <numFmt numFmtId="167" formatCode="&quot;$&quot;\ #,##0"/>
    </dxf>
    <dxf>
      <numFmt numFmtId="167" formatCode="&quot;$&quot;\ #,##0"/>
    </dxf>
    <dxf>
      <numFmt numFmtId="173" formatCode="&quot;$&quot;\ #,##0.00"/>
    </dxf>
    <dxf>
      <numFmt numFmtId="174" formatCode="&quot;$&quot;\ #,##0.000"/>
    </dxf>
    <dxf>
      <numFmt numFmtId="167" formatCode="&quot;$&quot;\ #,##0"/>
    </dxf>
    <dxf>
      <numFmt numFmtId="167" formatCode="&quot;$&quot;\ #,##0"/>
    </dxf>
    <dxf>
      <numFmt numFmtId="167" formatCode="&quot;$&quot;\ #,##0"/>
    </dxf>
    <dxf>
      <numFmt numFmtId="173" formatCode="&quot;$&quot;\ #,##0.00"/>
    </dxf>
    <dxf>
      <numFmt numFmtId="173" formatCode="&quot;$&quot;\ #,##0.00"/>
    </dxf>
    <dxf>
      <numFmt numFmtId="166" formatCode="0.000"/>
      <alignment horizontal="center" vertical="bottom" textRotation="0" wrapText="0" indent="0" justifyLastLine="0" shrinkToFit="0" readingOrder="0"/>
    </dxf>
    <dxf>
      <numFmt numFmtId="167" formatCode="&quot;$&quot;\ #,##0"/>
    </dxf>
    <dxf>
      <numFmt numFmtId="166" formatCode="0.00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vertical="center"/>
    </dxf>
    <dxf>
      <font>
        <sz val="10"/>
      </font>
    </dxf>
    <dxf>
      <alignment vertic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numFmt numFmtId="3" formatCode="#,##0"/>
    </dxf>
    <dxf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  <fill>
        <patternFill patternType="solid">
          <fgColor indexed="64"/>
          <bgColor rgb="FF59255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  <fill>
        <patternFill patternType="solid">
          <fgColor indexed="64"/>
          <bgColor rgb="FF592559"/>
        </patternFill>
      </fill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  <fill>
        <patternFill patternType="solid">
          <fgColor indexed="64"/>
          <bgColor theme="1" tint="0.499984740745262"/>
        </patternFill>
      </fill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  <fill>
        <patternFill patternType="solid">
          <fgColor indexed="64"/>
          <bgColor theme="1" tint="0.499984740745262"/>
        </patternFill>
      </fill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  <fill>
        <patternFill patternType="solid">
          <fgColor indexed="64"/>
          <bgColor rgb="FF592559"/>
        </patternFill>
      </fill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  <fill>
        <patternFill patternType="solid">
          <fgColor indexed="64"/>
          <bgColor rgb="FF592559"/>
        </patternFill>
      </fill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  <fill>
        <patternFill patternType="solid">
          <fgColor indexed="64"/>
          <bgColor rgb="FF592559"/>
        </patternFill>
      </fill>
    </dxf>
    <dxf>
      <numFmt numFmtId="3" formatCode="#,##0"/>
      <alignment horizontal="center" vertical="bottom" textRotation="0" wrapText="0" indent="0" justifyLastLine="0" shrinkToFit="0" readingOrder="0"/>
    </dxf>
    <dxf>
      <numFmt numFmtId="0" formatCode="General"/>
    </dxf>
    <dxf>
      <numFmt numFmtId="3" formatCode="#,##0"/>
      <alignment horizontal="center" vertical="bottom" textRotation="0" wrapText="0" indent="0" justifyLastLine="0" shrinkToFit="0" readingOrder="0"/>
    </dxf>
    <dxf>
      <numFmt numFmtId="0" formatCode="General"/>
    </dxf>
    <dxf>
      <numFmt numFmtId="3" formatCode="#,##0"/>
      <alignment horizontal="center" vertical="bottom" textRotation="0" wrapText="0" indent="0" justifyLastLine="0" shrinkToFit="0" readingOrder="0"/>
    </dxf>
    <dxf>
      <numFmt numFmtId="0" formatCode="General"/>
    </dxf>
    <dxf>
      <numFmt numFmtId="3" formatCode="#,##0"/>
      <alignment horizontal="center" vertical="bottom" textRotation="0" wrapText="0" indent="0" justifyLastLine="0" shrinkToFit="0" readingOrder="0"/>
    </dxf>
    <dxf>
      <numFmt numFmtId="0" formatCode="General"/>
    </dxf>
    <dxf>
      <numFmt numFmtId="3" formatCode="#,##0"/>
      <alignment horizontal="center" vertical="bottom" textRotation="0" wrapText="0" indent="0" justifyLastLine="0" shrinkToFit="0" readingOrder="0"/>
    </dxf>
    <dxf>
      <numFmt numFmtId="0" formatCode="General"/>
    </dxf>
    <dxf>
      <numFmt numFmtId="3" formatCode="#,##0"/>
      <alignment horizontal="center" vertical="bottom" textRotation="0" wrapText="0" indent="0" justifyLastLine="0" shrinkToFit="0" readingOrder="0"/>
    </dxf>
    <dxf>
      <numFmt numFmtId="0" formatCode="General"/>
    </dxf>
    <dxf>
      <numFmt numFmtId="3" formatCode="#,##0"/>
      <alignment horizontal="center" vertical="bottom" textRotation="0" wrapText="0" indent="0" justifyLastLine="0" shrinkToFit="0" readingOrder="0"/>
    </dxf>
    <dxf>
      <numFmt numFmtId="0" formatCode="General"/>
    </dxf>
    <dxf>
      <numFmt numFmtId="3" formatCode="#,##0"/>
      <alignment horizontal="center" vertical="bottom" textRotation="0" wrapText="0" indent="0" justifyLastLine="0" shrinkToFit="0" readingOrder="0"/>
    </dxf>
    <dxf>
      <numFmt numFmtId="0" formatCode="General"/>
    </dxf>
    <dxf>
      <numFmt numFmtId="3" formatCode="#,##0"/>
      <alignment horizontal="center" vertical="bottom" textRotation="0" wrapText="0" indent="0" justifyLastLine="0" shrinkToFit="0" readingOrder="0"/>
    </dxf>
    <dxf>
      <numFmt numFmtId="0" formatCode="General"/>
    </dxf>
    <dxf>
      <numFmt numFmtId="3" formatCode="#,##0"/>
      <alignment horizontal="center" vertical="bottom" textRotation="0" wrapText="0" indent="0" justifyLastLine="0" shrinkToFit="0" readingOrder="0"/>
    </dxf>
    <dxf>
      <numFmt numFmtId="0" formatCode="General"/>
    </dxf>
    <dxf>
      <numFmt numFmtId="3" formatCode="#,##0"/>
      <alignment horizontal="center" vertical="bottom" textRotation="0" wrapText="0" indent="0" justifyLastLine="0" shrinkToFit="0" readingOrder="0"/>
    </dxf>
    <dxf>
      <numFmt numFmtId="0" formatCode="General"/>
    </dxf>
    <dxf>
      <numFmt numFmtId="3" formatCode="#,##0"/>
      <alignment horizontal="center" vertical="bottom" textRotation="0" wrapText="0" indent="0" justifyLastLine="0" shrinkToFit="0" readingOrder="0"/>
    </dxf>
    <dxf>
      <numFmt numFmtId="0" formatCode="General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</dxf>
    <dxf>
      <numFmt numFmtId="1" formatCode="0"/>
      <alignment horizontal="general" vertical="center" textRotation="0" wrapText="0" indent="0" justifyLastLine="0" shrinkToFit="0" readingOrder="0"/>
    </dxf>
    <dxf>
      <numFmt numFmtId="0" formatCode="General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</dxf>
    <dxf>
      <numFmt numFmtId="3" formatCode="#,##0"/>
      <alignment horizontal="center" vertical="bottom" textRotation="0" wrapText="0" indent="0" justifyLastLine="0" shrinkToFit="0" readingOrder="0"/>
    </dxf>
    <dxf>
      <numFmt numFmtId="2" formatCode="0.00"/>
    </dxf>
    <dxf>
      <numFmt numFmtId="3" formatCode="#,##0"/>
      <alignment horizontal="center" vertical="bottom" textRotation="0" wrapText="0" indent="0" justifyLastLine="0" shrinkToFit="0" readingOrder="0"/>
    </dxf>
    <dxf>
      <numFmt numFmtId="2" formatCode="0.00"/>
    </dxf>
    <dxf>
      <numFmt numFmtId="3" formatCode="#,##0"/>
      <alignment horizontal="center" vertical="bottom" textRotation="0" wrapText="0" indent="0" justifyLastLine="0" shrinkToFit="0" readingOrder="0"/>
    </dxf>
    <dxf>
      <numFmt numFmtId="2" formatCode="0.0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</dxf>
    <dxf>
      <numFmt numFmtId="4" formatCode="#,##0.00"/>
      <alignment horizontal="center" vertical="bottom" textRotation="0" wrapText="0" indent="0" justifyLastLine="0" shrinkToFit="0" readingOrder="0"/>
    </dxf>
    <dxf>
      <numFmt numFmtId="0" formatCode="General"/>
    </dxf>
    <dxf>
      <numFmt numFmtId="4" formatCode="#,##0.00"/>
      <alignment horizontal="center" vertical="bottom" textRotation="0" wrapText="0" indent="0" justifyLastLine="0" shrinkToFit="0" readingOrder="0"/>
    </dxf>
    <dxf>
      <numFmt numFmtId="0" formatCode="General"/>
    </dxf>
    <dxf>
      <numFmt numFmtId="4" formatCode="#,##0.00"/>
      <alignment horizontal="center" vertical="bottom" textRotation="0" wrapText="0" indent="0" justifyLastLine="0" shrinkToFit="0" readingOrder="0"/>
    </dxf>
    <dxf>
      <numFmt numFmtId="0" formatCode="General"/>
    </dxf>
    <dxf>
      <numFmt numFmtId="4" formatCode="#,##0.00"/>
      <alignment horizontal="center" vertical="bottom" textRotation="0" wrapText="0" indent="0" justifyLastLine="0" shrinkToFit="0" readingOrder="0"/>
    </dxf>
    <dxf>
      <numFmt numFmtId="0" formatCode="General"/>
    </dxf>
    <dxf>
      <numFmt numFmtId="4" formatCode="#,##0.00"/>
      <alignment horizontal="center" vertical="bottom" textRotation="0" wrapText="0" indent="0" justifyLastLine="0" shrinkToFit="0" readingOrder="0"/>
    </dxf>
    <dxf>
      <numFmt numFmtId="0" formatCode="General"/>
    </dxf>
    <dxf>
      <numFmt numFmtId="4" formatCode="#,##0.00"/>
      <alignment horizontal="center" vertical="bottom" textRotation="0" wrapText="0" indent="0" justifyLastLine="0" shrinkToFit="0" readingOrder="0"/>
    </dxf>
    <dxf>
      <numFmt numFmtId="0" formatCode="General"/>
    </dxf>
    <dxf>
      <numFmt numFmtId="4" formatCode="#,##0.00"/>
      <alignment horizontal="center" vertical="bottom" textRotation="0" wrapText="0" indent="0" justifyLastLine="0" shrinkToFit="0" readingOrder="0"/>
    </dxf>
    <dxf>
      <numFmt numFmtId="0" formatCode="General"/>
    </dxf>
    <dxf>
      <numFmt numFmtId="4" formatCode="#,##0.00"/>
      <alignment horizontal="center" vertical="bottom" textRotation="0" wrapText="0" indent="0" justifyLastLine="0" shrinkToFit="0" readingOrder="0"/>
    </dxf>
    <dxf>
      <numFmt numFmtId="0" formatCode="General"/>
    </dxf>
    <dxf>
      <numFmt numFmtId="4" formatCode="#,##0.00"/>
      <alignment horizontal="center" vertical="bottom" textRotation="0" wrapText="0" indent="0" justifyLastLine="0" shrinkToFit="0" readingOrder="0"/>
    </dxf>
    <dxf>
      <numFmt numFmtId="0" formatCode="General"/>
    </dxf>
    <dxf>
      <numFmt numFmtId="4" formatCode="#,##0.00"/>
      <alignment horizontal="center" vertical="bottom" textRotation="0" wrapText="0" indent="0" justifyLastLine="0" shrinkToFit="0" readingOrder="0"/>
    </dxf>
    <dxf>
      <numFmt numFmtId="0" formatCode="General"/>
    </dxf>
    <dxf>
      <numFmt numFmtId="4" formatCode="#,##0.00"/>
      <alignment horizontal="center" vertical="bottom" textRotation="0" wrapText="0" indent="0" justifyLastLine="0" shrinkToFit="0" readingOrder="0"/>
    </dxf>
    <dxf>
      <numFmt numFmtId="0" formatCode="General"/>
    </dxf>
    <dxf>
      <numFmt numFmtId="4" formatCode="#,##0.00"/>
      <alignment horizontal="center" vertical="bottom" textRotation="0" wrapText="0" indent="0" justifyLastLine="0" shrinkToFit="0" readingOrder="0"/>
    </dxf>
    <dxf>
      <numFmt numFmtId="0" formatCode="General"/>
    </dxf>
    <dxf>
      <numFmt numFmtId="4" formatCode="#,##0.00"/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numFmt numFmtId="0" formatCode="General"/>
    </dxf>
    <dxf>
      <numFmt numFmtId="4" formatCode="#,##0.00"/>
      <alignment horizontal="center" vertical="bottom" textRotation="0" wrapText="0" indent="0" justifyLastLine="0" shrinkToFit="0" readingOrder="0"/>
    </dxf>
    <dxf>
      <numFmt numFmtId="0" formatCode="General"/>
    </dxf>
    <dxf>
      <numFmt numFmtId="4" formatCode="#,##0.00"/>
      <alignment horizontal="center" vertical="bottom" textRotation="0" wrapText="0" indent="0" justifyLastLine="0" shrinkToFit="0" readingOrder="0"/>
    </dxf>
    <dxf>
      <numFmt numFmtId="0" formatCode="General"/>
    </dxf>
    <dxf>
      <numFmt numFmtId="4" formatCode="#,##0.00"/>
      <alignment horizontal="center" vertical="bottom" textRotation="0" wrapText="0" indent="0" justifyLastLine="0" shrinkToFit="0" readingOrder="0"/>
    </dxf>
    <dxf>
      <numFmt numFmtId="0" formatCode="General"/>
    </dxf>
    <dxf>
      <numFmt numFmtId="4" formatCode="#,##0.00"/>
      <alignment horizontal="center" vertical="bottom" textRotation="0" wrapText="0" indent="0" justifyLastLine="0" shrinkToFit="0" readingOrder="0"/>
    </dxf>
    <dxf>
      <numFmt numFmtId="0" formatCode="General"/>
    </dxf>
    <dxf>
      <numFmt numFmtId="4" formatCode="#,##0.00"/>
      <alignment horizontal="center" vertical="bottom" textRotation="0" wrapText="0" indent="0" justifyLastLine="0" shrinkToFit="0" readingOrder="0"/>
    </dxf>
    <dxf>
      <numFmt numFmtId="0" formatCode="General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9" tint="0.59999389629810485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9" tint="0.59999389629810485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9" tint="0.59999389629810485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9" tint="0.59999389629810485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9" tint="0.59999389629810485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9" tint="0.59999389629810485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9" tint="0.59999389629810485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6" tint="0.39997558519241921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" formatCode="#,##0"/>
      <fill>
        <patternFill patternType="solid">
          <fgColor indexed="64"/>
          <bgColor theme="6" tint="0.39997558519241921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#,##0_ ;\-#,##0\ "/>
      <fill>
        <patternFill patternType="solid">
          <fgColor indexed="64"/>
          <bgColor theme="6" tint="0.39997558519241921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6" tint="0.39997558519241921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6" tint="0.39997558519241921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6" tint="0.39997558519241921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6" tint="0.39997558519241921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6" tint="0.39997558519241921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6" tint="0.39997558519241921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6" tint="0.39997558519241921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6" tint="0.39997558519241921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6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6" tint="0.39997558519241921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6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6" tint="0.39997558519241921"/>
        </patternFill>
      </fill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0.0"/>
    </dxf>
    <dxf>
      <numFmt numFmtId="169" formatCode="0.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numFmt numFmtId="164" formatCode="_-* #,##0_-;\-* #,##0_-;_-* &quot;-&quot;??_-;_-@_-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alignment horizontal="center"/>
    </dxf>
    <dxf>
      <fill>
        <patternFill patternType="solid">
          <bgColor theme="1"/>
        </patternFill>
      </fill>
    </dxf>
    <dxf>
      <fill>
        <patternFill patternType="solid">
          <fgColor indexed="64"/>
          <bgColor theme="1"/>
        </patternFill>
      </fill>
    </dxf>
    <dxf>
      <numFmt numFmtId="3" formatCode="#,##0"/>
    </dxf>
    <dxf>
      <font>
        <b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numFmt numFmtId="3" formatCode="#,##0"/>
    </dxf>
    <dxf>
      <fill>
        <patternFill>
          <bgColor theme="3" tint="0.59996337778862885"/>
        </patternFill>
      </fill>
    </dxf>
    <dxf>
      <numFmt numFmtId="3" formatCode="#,##0"/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numFmt numFmtId="3" formatCode="#,##0"/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numFmt numFmtId="3" formatCode="#,##0"/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numFmt numFmtId="3" formatCode="#,##0"/>
      <fill>
        <patternFill>
          <bgColor theme="0"/>
        </patternFill>
      </fill>
    </dxf>
    <dxf>
      <font>
        <color theme="0"/>
      </font>
    </dxf>
    <dxf>
      <font>
        <b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numFmt numFmtId="3" formatCode="#,##0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ill>
        <patternFill>
          <bgColor theme="1"/>
        </patternFill>
      </fill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bgColor theme="1"/>
        </patternFill>
      </fill>
    </dxf>
    <dxf>
      <numFmt numFmtId="3" formatCode="#,##0"/>
    </dxf>
    <dxf>
      <fill>
        <patternFill>
          <bgColor theme="3" tint="0.59996337778862885"/>
        </patternFill>
      </fill>
    </dxf>
    <dxf>
      <numFmt numFmtId="3" formatCode="#,##0"/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numFmt numFmtId="3" formatCode="#,##0"/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numFmt numFmtId="3" formatCode="#,##0"/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numFmt numFmtId="3" formatCode="#,##0"/>
      <fill>
        <patternFill>
          <bgColor theme="0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ill>
        <patternFill>
          <bgColor theme="1"/>
        </patternFill>
      </fill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bgColor theme="1"/>
        </patternFill>
      </fill>
    </dxf>
    <dxf>
      <numFmt numFmtId="3" formatCode="#,##0"/>
    </dxf>
    <dxf>
      <font>
        <b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numFmt numFmtId="3" formatCode="#,##0"/>
    </dxf>
    <dxf>
      <fill>
        <patternFill>
          <bgColor theme="3" tint="0.59996337778862885"/>
        </patternFill>
      </fill>
    </dxf>
    <dxf>
      <numFmt numFmtId="3" formatCode="#,##0"/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numFmt numFmtId="3" formatCode="#,##0"/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numFmt numFmtId="3" formatCode="#,##0"/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numFmt numFmtId="3" formatCode="#,##0"/>
      <fill>
        <patternFill>
          <bgColor theme="0"/>
        </patternFill>
      </fill>
    </dxf>
    <dxf>
      <font>
        <b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numFmt numFmtId="3" formatCode="#,##0"/>
    </dxf>
    <dxf>
      <alignment horizontal="center"/>
    </dxf>
    <dxf>
      <fill>
        <patternFill patternType="solid">
          <bgColor theme="1"/>
        </patternFill>
      </fill>
    </dxf>
    <dxf>
      <font>
        <color theme="0"/>
      </font>
    </dxf>
    <dxf>
      <fill>
        <patternFill>
          <bgColor theme="1"/>
        </patternFill>
      </fill>
    </dxf>
    <dxf>
      <font>
        <color theme="0"/>
      </font>
    </dxf>
    <dxf>
      <fill>
        <patternFill patternType="solid">
          <bgColor theme="1"/>
        </patternFill>
      </fill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numFmt numFmtId="3" formatCode="#,##0"/>
    </dxf>
    <dxf>
      <fill>
        <patternFill>
          <bgColor theme="3" tint="0.59996337778862885"/>
        </patternFill>
      </fill>
    </dxf>
    <dxf>
      <numFmt numFmtId="3" formatCode="#,##0"/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numFmt numFmtId="3" formatCode="#,##0"/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numFmt numFmtId="3" formatCode="#,##0"/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numFmt numFmtId="3" formatCode="#,##0"/>
      <fill>
        <patternFill>
          <bgColor theme="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592559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pivotCacheDefinition" Target="pivotCache/pivotCacheDefinition1.xml"/><Relationship Id="rId55" Type="http://schemas.openxmlformats.org/officeDocument/2006/relationships/pivotCacheDefinition" Target="pivotCache/pivotCacheDefinition6.xml"/><Relationship Id="rId63" Type="http://schemas.openxmlformats.org/officeDocument/2006/relationships/theme" Target="theme/theme1.xml"/><Relationship Id="rId6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pivotCacheDefinition" Target="pivotCache/pivotCacheDefinition4.xml"/><Relationship Id="rId58" Type="http://schemas.openxmlformats.org/officeDocument/2006/relationships/pivotCacheDefinition" Target="pivotCache/pivotCacheDefinition9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microsoft.com/office/2007/relationships/slicerCache" Target="slicerCaches/slicerCache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pivotCacheDefinition" Target="pivotCache/pivotCacheDefinition7.xml"/><Relationship Id="rId64" Type="http://schemas.openxmlformats.org/officeDocument/2006/relationships/connections" Target="connections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pivotCacheDefinition" Target="pivotCache/pivotCacheDefinition10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pivotCacheDefinition" Target="pivotCache/pivotCacheDefinition5.xml"/><Relationship Id="rId62" Type="http://schemas.microsoft.com/office/2007/relationships/slicerCache" Target="slicerCaches/slicerCache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.xml"/><Relationship Id="rId57" Type="http://schemas.openxmlformats.org/officeDocument/2006/relationships/pivotCacheDefinition" Target="pivotCache/pivotCacheDefinition8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pivotCacheDefinition" Target="pivotCache/pivotCacheDefinition3.xml"/><Relationship Id="rId60" Type="http://schemas.microsoft.com/office/2007/relationships/slicerCache" Target="slicerCaches/slicerCache1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130970</xdr:colOff>
      <xdr:row>36</xdr:row>
      <xdr:rowOff>178594</xdr:rowOff>
    </xdr:from>
    <xdr:to>
      <xdr:col>2</xdr:col>
      <xdr:colOff>221457</xdr:colOff>
      <xdr:row>50</xdr:row>
      <xdr:rowOff>35719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Finca">
              <a:extLst>
                <a:ext uri="{FF2B5EF4-FFF2-40B4-BE49-F238E27FC236}">
                  <a16:creationId xmlns:a16="http://schemas.microsoft.com/office/drawing/2014/main" id="{57DA443A-27BE-10A2-F5EF-B5F384871B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nc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970" y="7048500"/>
              <a:ext cx="1816893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214310</xdr:colOff>
      <xdr:row>37</xdr:row>
      <xdr:rowOff>23812</xdr:rowOff>
    </xdr:from>
    <xdr:to>
      <xdr:col>4</xdr:col>
      <xdr:colOff>697704</xdr:colOff>
      <xdr:row>50</xdr:row>
      <xdr:rowOff>71437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Variedad">
              <a:extLst>
                <a:ext uri="{FF2B5EF4-FFF2-40B4-BE49-F238E27FC236}">
                  <a16:creationId xmlns:a16="http://schemas.microsoft.com/office/drawing/2014/main" id="{F60E9310-D51D-3BF5-489C-2C53213569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arie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40716" y="7084218"/>
              <a:ext cx="1828801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10885</xdr:colOff>
      <xdr:row>0</xdr:row>
      <xdr:rowOff>0</xdr:rowOff>
    </xdr:from>
    <xdr:to>
      <xdr:col>6</xdr:col>
      <xdr:colOff>1673679</xdr:colOff>
      <xdr:row>0</xdr:row>
      <xdr:rowOff>421821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Finca 1">
              <a:extLst>
                <a:ext uri="{FF2B5EF4-FFF2-40B4-BE49-F238E27FC236}">
                  <a16:creationId xmlns:a16="http://schemas.microsoft.com/office/drawing/2014/main" id="{DC0C2603-14F0-9CD6-AA40-73DE47FACD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nc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92385" y="0"/>
              <a:ext cx="4493080" cy="4218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ingeyer/Dropbox/Fincas/Presupuestos/25-26/Detalle%20Facturas%20de%20Energ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>
        <row r="6">
          <cell r="DU6">
            <v>1081690.3799999999</v>
          </cell>
        </row>
        <row r="7">
          <cell r="DU7">
            <v>209014.05</v>
          </cell>
        </row>
        <row r="8">
          <cell r="DU8">
            <v>225326.18</v>
          </cell>
        </row>
        <row r="9">
          <cell r="DU9">
            <v>8452475.3699999992</v>
          </cell>
        </row>
        <row r="10">
          <cell r="DU10">
            <v>1837105.58</v>
          </cell>
        </row>
        <row r="12">
          <cell r="DU12">
            <v>5723068.9299999997</v>
          </cell>
        </row>
        <row r="13">
          <cell r="DU13">
            <v>8161988.1299999999</v>
          </cell>
        </row>
        <row r="14">
          <cell r="DU14">
            <v>9474038.3499999996</v>
          </cell>
        </row>
        <row r="15">
          <cell r="DU15">
            <v>8090514.5899999999</v>
          </cell>
        </row>
        <row r="16">
          <cell r="DU16">
            <v>8468232.2599999998</v>
          </cell>
        </row>
        <row r="36">
          <cell r="DU36">
            <v>3258202.28</v>
          </cell>
        </row>
        <row r="37">
          <cell r="DU37">
            <v>2765112.74</v>
          </cell>
        </row>
        <row r="38">
          <cell r="DU38">
            <v>1732584.14</v>
          </cell>
        </row>
        <row r="39">
          <cell r="DU39">
            <v>716255.88</v>
          </cell>
        </row>
        <row r="40">
          <cell r="DU40">
            <v>2109785.0499999998</v>
          </cell>
        </row>
        <row r="41">
          <cell r="DU41">
            <v>3428718.66</v>
          </cell>
        </row>
        <row r="42">
          <cell r="DU42">
            <v>5432870.54</v>
          </cell>
        </row>
        <row r="43">
          <cell r="DU43">
            <v>9228603.0600000005</v>
          </cell>
        </row>
        <row r="44">
          <cell r="DU44">
            <v>9805659.5399999991</v>
          </cell>
        </row>
        <row r="45">
          <cell r="DU45">
            <v>9698187.2200000007</v>
          </cell>
        </row>
        <row r="46">
          <cell r="DU46">
            <v>11469692.18</v>
          </cell>
        </row>
        <row r="48">
          <cell r="DU48">
            <v>1525029.32</v>
          </cell>
        </row>
        <row r="49">
          <cell r="DU49">
            <v>2291690.9700000002</v>
          </cell>
        </row>
        <row r="50">
          <cell r="DU50">
            <v>3859396.69</v>
          </cell>
        </row>
        <row r="51">
          <cell r="DU51">
            <v>4209152.3</v>
          </cell>
        </row>
        <row r="52">
          <cell r="DU52">
            <v>3408663.7</v>
          </cell>
        </row>
        <row r="53">
          <cell r="DU53">
            <v>2651124.16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andro Exequiel Ormeño" refreshedDate="45806.795810185184" createdVersion="8" refreshedVersion="8" minRefreshableVersion="3" recordCount="39" xr:uid="{00000000-000A-0000-FFFF-FFFF01000000}">
  <cacheSource type="worksheet">
    <worksheetSource name="PA_Esp"/>
  </cacheSource>
  <cacheFields count="4">
    <cacheField name="Faenas" numFmtId="0">
      <sharedItems count="13">
        <s v="Poda"/>
        <s v="Atada"/>
        <s v="Desbrote de troncos"/>
        <s v="Acomodo de brotes"/>
        <s v="Desniete Deshoje"/>
        <s v="Desbrote con criterio de Poda"/>
        <s v="Raleo de Racimos"/>
        <s v="Tractorista Subsolado"/>
        <s v="Tractorista Triturado de sarmiento"/>
        <s v="Tractorista Cincelado"/>
        <s v="Tractorista Rastra"/>
        <s v="Tractor Herbicida"/>
        <s v="Tractor Atomizadora"/>
      </sharedItems>
    </cacheField>
    <cacheField name="Finca" numFmtId="0">
      <sharedItems/>
    </cacheField>
    <cacheField name="Variedad" numFmtId="0">
      <sharedItems count="3">
        <s v="Selma"/>
        <s v="Flame"/>
        <s v="Arizul"/>
      </sharedItems>
    </cacheField>
    <cacheField name="Jornales" numFmtId="0">
      <sharedItems containsSemiMixedTypes="0" containsString="0" containsNumber="1" minValue="0" maxValue="187.676923076923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andro Exequiel Ormeño" refreshedDate="45806.795920370372" createdVersion="8" refreshedVersion="8" minRefreshableVersion="3" recordCount="48" xr:uid="{00000000-000A-0000-FFFF-FFFF02000000}">
  <cacheSource type="worksheet">
    <worksheetSource name="PA_Gen"/>
  </cacheSource>
  <cacheFields count="4">
    <cacheField name="Faenas" numFmtId="0">
      <sharedItems count="16">
        <s v="Riego"/>
        <s v="Calicatas"/>
        <s v="Malezas Mochila"/>
        <s v="Desmalezar manual"/>
        <s v="Mugrones"/>
        <s v="Seguridad"/>
        <s v="Hormigas"/>
        <s v="Limpieza"/>
        <s v="Datos"/>
        <s v="Reparar Estructura"/>
        <s v="Tractorista Generales"/>
        <s v="Hoyar y Replantar"/>
        <s v="Varios"/>
        <s v="P/ Medico"/>
        <s v="Vacaciones"/>
        <s v="Feriados"/>
      </sharedItems>
    </cacheField>
    <cacheField name="Finca" numFmtId="0">
      <sharedItems/>
    </cacheField>
    <cacheField name="Variedad" numFmtId="0">
      <sharedItems/>
    </cacheField>
    <cacheField name="Jornales" numFmtId="0">
      <sharedItems containsSemiMixedTypes="0" containsString="0" containsNumber="1" minValue="2" maxValue="61.0964200572951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andro Exequiel Ormeño" refreshedDate="45806.796518055555" createdVersion="8" refreshedVersion="8" minRefreshableVersion="3" recordCount="18" xr:uid="{00000000-000A-0000-FFFF-FFFF03000000}">
  <cacheSource type="worksheet">
    <worksheetSource name="CT_Gen"/>
  </cacheSource>
  <cacheFields count="3">
    <cacheField name="Faenas" numFmtId="0">
      <sharedItems count="18">
        <s v="Riego"/>
        <s v="Mantenimiento"/>
        <s v="Mangueras"/>
        <s v="Calicatas"/>
        <s v="Malezas Mochila"/>
        <s v="Desmalezar manual"/>
        <s v="Jardinería"/>
        <s v="Hormigas"/>
        <s v="Limpieza"/>
        <s v="Taller"/>
        <s v="Datos"/>
        <s v="Reparar Estructura"/>
        <s v="Tractorista Generales"/>
        <s v="Hoyar y Replantar"/>
        <s v="Varios"/>
        <s v="P/ Medico"/>
        <s v="Vacaciones"/>
        <s v="Feriados"/>
      </sharedItems>
    </cacheField>
    <cacheField name="Finca" numFmtId="0">
      <sharedItems/>
    </cacheField>
    <cacheField name="Jornales" numFmtId="0">
      <sharedItems containsSemiMixedTypes="0" containsString="0" containsNumber="1" minValue="9.9999999999999982" maxValue="543.994452149791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andro Exequiel Ormeño" refreshedDate="45806.796852893516" createdVersion="8" refreshedVersion="8" minRefreshableVersion="3" recordCount="51" xr:uid="{00000000-000A-0000-FFFF-FFFF04000000}">
  <cacheSource type="worksheet">
    <worksheetSource name="LCH_Gen"/>
  </cacheSource>
  <cacheFields count="4">
    <cacheField name="Faenas" numFmtId="0">
      <sharedItems count="17">
        <s v="Riego"/>
        <s v="Mantenimiento"/>
        <s v="Calicatas"/>
        <s v="Malezas Mochila"/>
        <s v="Desmalezar manual"/>
        <s v="Mugrones"/>
        <s v="Seguridad"/>
        <s v="Hormigas"/>
        <s v="Limpieza"/>
        <s v="Datos"/>
        <s v="Reparar Estructura"/>
        <s v="Tractorista Generales"/>
        <s v="Hoyar y Replantar"/>
        <s v="Varios"/>
        <s v="P/ Medico"/>
        <s v="Vacaciones"/>
        <s v="Feriados"/>
      </sharedItems>
    </cacheField>
    <cacheField name="Finca" numFmtId="0">
      <sharedItems/>
    </cacheField>
    <cacheField name="Variedad" numFmtId="0">
      <sharedItems/>
    </cacheField>
    <cacheField name="Jornales" numFmtId="0">
      <sharedItems containsSemiMixedTypes="0" containsString="0" containsNumber="1" minValue="0.73114146793239176" maxValue="52.1805570884023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andro Exequiel Ormeño" refreshedDate="45806.797065856481" createdVersion="8" refreshedVersion="8" minRefreshableVersion="3" recordCount="39" xr:uid="{00000000-000A-0000-FFFF-FFFF05000000}">
  <cacheSource type="worksheet">
    <worksheetSource name="LCH_Esp"/>
  </cacheSource>
  <cacheFields count="4">
    <cacheField name="Faenas" numFmtId="0">
      <sharedItems count="13">
        <s v="Poda"/>
        <s v="Atada"/>
        <s v="Desbrote de troncos"/>
        <s v="Acomodo de brotes"/>
        <s v="Desniete Deshoje"/>
        <s v="Desbrote con criterio de Poda"/>
        <s v="Raleo de Racimos"/>
        <s v="Tractorista Subsolado"/>
        <s v="Tractorista Triturado de sarmiento"/>
        <s v="Tractorista Cincelado"/>
        <s v="Tractorista Rastra"/>
        <s v="Tractor Herbicida"/>
        <s v="Tractor Atomizadora"/>
      </sharedItems>
    </cacheField>
    <cacheField name="Finca" numFmtId="0">
      <sharedItems/>
    </cacheField>
    <cacheField name="Variedad" numFmtId="0">
      <sharedItems count="3">
        <s v="Flame"/>
        <s v="Fiesta"/>
        <s v="Arizul"/>
      </sharedItems>
    </cacheField>
    <cacheField name="Jornales" numFmtId="0">
      <sharedItems containsSemiMixedTypes="0" containsString="0" containsNumber="1" minValue="0.97523162445954292" maxValue="236.4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andro Exequiel Ormeño" refreshedDate="45806.797214930557" createdVersion="8" refreshedVersion="8" minRefreshableVersion="3" recordCount="65" xr:uid="{00000000-000A-0000-FFFF-FFFF06000000}">
  <cacheSource type="worksheet">
    <worksheetSource name="CT_Esp"/>
  </cacheSource>
  <cacheFields count="4">
    <cacheField name="Faenas" numFmtId="0">
      <sharedItems count="31">
        <s v="Poda"/>
        <s v="Atada"/>
        <s v="Desbrote de troncos"/>
        <s v="Acomodo de brotes"/>
        <s v="Desniete Deshoje"/>
        <s v="Desbrote con criterio de Poda"/>
        <s v="Raleo de Racimos"/>
        <s v="Tractorista Subsolado"/>
        <s v="Tractorista Triturado de sarmiento"/>
        <s v="Tractorista Cincelado"/>
        <s v="Tractorista Rastra"/>
        <s v="Tractor Herbicida"/>
        <s v="Tractor Atomizadora"/>
        <s v="Riego" u="1"/>
        <s v="Mantenimiento" u="1"/>
        <s v="Mangueras" u="1"/>
        <s v="Calicatas" u="1"/>
        <s v="Malezas Mochila" u="1"/>
        <s v="Desmalezar manual" u="1"/>
        <s v="Jardinería" u="1"/>
        <s v="Hormigas" u="1"/>
        <s v="Limpieza" u="1"/>
        <s v="Taller" u="1"/>
        <s v="Datos" u="1"/>
        <s v="Reparar Estructura" u="1"/>
        <s v="Tractorista Generales" u="1"/>
        <s v="Hoyar y Replantar" u="1"/>
        <s v="Varios" u="1"/>
        <s v="P/ Medico" u="1"/>
        <s v="Vacaciones" u="1"/>
        <s v="Feriados" u="1"/>
      </sharedItems>
    </cacheField>
    <cacheField name="Finca" numFmtId="0">
      <sharedItems/>
    </cacheField>
    <cacheField name="Variedad" numFmtId="0">
      <sharedItems count="5">
        <s v="Flame"/>
        <s v="Arizul"/>
        <s v="Sultanina"/>
        <s v="Fiesta"/>
        <s v="Superior"/>
      </sharedItems>
    </cacheField>
    <cacheField name="Jornales" numFmtId="0">
      <sharedItems containsSemiMixedTypes="0" containsString="0" containsNumber="1" minValue="0" maxValue="295.646818181818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andro Exequiel Ormeño" refreshedDate="45806.797795254628" createdVersion="8" refreshedVersion="8" minRefreshableVersion="3" recordCount="126" xr:uid="{00000000-000A-0000-FFFF-FFFF07000000}">
  <cacheSource type="worksheet">
    <worksheetSource name="EE_Gen"/>
  </cacheSource>
  <cacheFields count="4">
    <cacheField name="Faenas" numFmtId="0">
      <sharedItems count="18">
        <s v="Riego"/>
        <s v="Mantenimiento"/>
        <s v="Mangueras"/>
        <s v="Calicatas"/>
        <s v="Malezas Mochila"/>
        <s v="Desmalezar manual"/>
        <s v="Seguridad"/>
        <s v="Hormigas"/>
        <s v="Limpieza"/>
        <s v="Taller"/>
        <s v="Datos"/>
        <s v="Reparar Estructura"/>
        <s v="Tractorista Generales"/>
        <s v="Hoyar y Replantar"/>
        <s v="Varios"/>
        <s v="P/ Medico"/>
        <s v="Vacaciones"/>
        <s v="Feriados"/>
      </sharedItems>
    </cacheField>
    <cacheField name="Finca" numFmtId="0">
      <sharedItems/>
    </cacheField>
    <cacheField name="Variedad" numFmtId="0">
      <sharedItems count="3">
        <s v="Flame"/>
        <s v="Fiesta"/>
        <s v="Selma"/>
      </sharedItems>
    </cacheField>
    <cacheField name="Jornales" numFmtId="0">
      <sharedItems containsSemiMixedTypes="0" containsString="0" containsNumber="1" minValue="1.094054656308997" maxValue="573.645391962627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andro Exequiel Ormeño" refreshedDate="45806.797840624997" createdVersion="8" refreshedVersion="8" minRefreshableVersion="3" recordCount="80" xr:uid="{00000000-000A-0000-FFFF-FFFF08000000}">
  <cacheSource type="worksheet">
    <worksheetSource name="EE_Esp"/>
  </cacheSource>
  <cacheFields count="6">
    <cacheField name="Faenas" numFmtId="0">
      <sharedItems count="10">
        <s v="Poda"/>
        <s v="Atada"/>
        <s v="Desbrote de troncos"/>
        <s v="Acomodo de brotes"/>
        <s v="Desniete Deshoje"/>
        <s v="Desbrote con criterio de Poda"/>
        <s v="Raleo de Racimos"/>
        <s v="Tractorista Subsolado"/>
        <s v="Tractor Herbicida"/>
        <s v="Tractor Atomizadora"/>
      </sharedItems>
    </cacheField>
    <cacheField name="Finca" numFmtId="0">
      <sharedItems/>
    </cacheField>
    <cacheField name="Variedad" numFmtId="0">
      <sharedItems/>
    </cacheField>
    <cacheField name="Año de plantación" numFmtId="0">
      <sharedItems/>
    </cacheField>
    <cacheField name="Jornales" numFmtId="0">
      <sharedItems containsSemiMixedTypes="0" containsString="0" containsNumber="1" minValue="0" maxValue="964.16"/>
    </cacheField>
    <cacheField name="Txt ref" numFmtId="0">
      <sharedItems count="7">
        <s v="Flame 2019"/>
        <s v="Flame 2020"/>
        <s v="Fiesta 2020"/>
        <s v="Selma 2019"/>
        <s v="Fiesta 2021"/>
        <s v="Flame 2021"/>
        <s v="Selma 20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andro Exequiel Ormeño" refreshedDate="45811.563543865741" createdVersion="8" refreshedVersion="8" minRefreshableVersion="3" recordCount="1454" xr:uid="{00000000-000A-0000-FFFF-FFFF09000000}">
  <cacheSource type="worksheet">
    <worksheetSource name="Compilado"/>
  </cacheSource>
  <cacheFields count="6">
    <cacheField name="Detalle" numFmtId="0">
      <sharedItems count="29">
        <s v="Contratados"/>
        <s v="Combustible y Lubricantes"/>
        <s v="Inorgánicos"/>
        <s v="Encargados"/>
        <s v="Permanentes"/>
        <s v="Cargas Sociales"/>
        <s v="Dirección Técnica"/>
        <s v="Coadyuvantes"/>
        <s v="Foliares"/>
        <s v="Fungicidas"/>
        <s v="Herbicidas"/>
        <s v="Hormonas"/>
        <s v="Insecticidas"/>
        <s v="Fletes Varios"/>
        <s v="Cosecha"/>
        <s v="Combustible Cosecha"/>
        <s v="Alquiler Maquinaria Cos"/>
        <s v="Flete Cosecha"/>
        <s v="Alquiler Maquinaria Sec"/>
        <s v="Combustible Secado"/>
        <s v="Flete Secado"/>
        <s v="Jornales Secado"/>
        <s v="Administración Rosario"/>
        <s v="Administración San Juan"/>
        <s v="Inversiones"/>
        <s v="Energia Fincas"/>
        <s v="Reparaciones Repuestos"/>
        <s v="Insumos menores"/>
        <s v="Jonrales Secado" u="1"/>
      </sharedItems>
    </cacheField>
    <cacheField name="MES" numFmtId="0">
      <sharedItems count="12">
        <s v="Mayo"/>
        <s v="Junio"/>
        <s v="Julio"/>
        <s v="Agosto"/>
        <s v="Septiembre"/>
        <s v="Octubre"/>
        <s v="Noviembre"/>
        <s v="Diciembre"/>
        <s v="Enero"/>
        <s v="Febrero"/>
        <s v="Marzo"/>
        <s v="Abril"/>
      </sharedItems>
    </cacheField>
    <cacheField name="Valor" numFmtId="3">
      <sharedItems containsSemiMixedTypes="0" containsString="0" containsNumber="1" minValue="0" maxValue="93702.81"/>
    </cacheField>
    <cacheField name="Finca" numFmtId="0">
      <sharedItems count="5">
        <s v="Camino Truncado"/>
        <s v="La Chimbera"/>
        <s v="Puente Alto"/>
        <s v="El Espejo I y II"/>
        <s v="El Espejo III"/>
      </sharedItems>
    </cacheField>
    <cacheField name="Items" numFmtId="0">
      <sharedItems count="11">
        <s v="PERSONAL FINCA"/>
        <s v="COMBUSTIBLE Y MANTENIMIENTO"/>
        <s v="FERTILIZANTES"/>
        <s v="FITOSANITARIOS"/>
        <s v="COSECHA"/>
        <s v="SECADO"/>
        <s v="ADMINISTRACION"/>
        <s v="INVERSIONES"/>
        <s v="ENERGIA FINCAS"/>
        <s v="FITOSANITARIO" u="1"/>
        <e v="#N/A" u="1"/>
      </sharedItems>
    </cacheField>
    <cacheField name="PES" numFmtId="164">
      <sharedItems containsSemiMixedTypes="0" containsString="0" containsNumber="1" minValue="0" maxValue="117817999.01763976"/>
    </cacheField>
  </cacheFields>
  <extLst>
    <ext xmlns:x14="http://schemas.microsoft.com/office/spreadsheetml/2009/9/main" uri="{725AE2AE-9491-48be-B2B4-4EB974FC3084}">
      <x14:pivotCacheDefinition pivotCacheId="1636462337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andro Exequiel Ormeño" refreshedDate="45812.815573495369" createdVersion="8" refreshedVersion="8" minRefreshableVersion="3" recordCount="217" xr:uid="{00000000-000A-0000-FFFF-FFFF0A000000}">
  <cacheSource type="worksheet">
    <worksheetSource name="secadero"/>
  </cacheSource>
  <cacheFields count="8">
    <cacheField name="Finca" numFmtId="0">
      <sharedItems count="7">
        <s v="Puente Alto"/>
        <s v="Camino Truncado"/>
        <s v="La Chimbera"/>
        <s v="El Espejo I"/>
        <s v="El Espejo II"/>
        <s v="El Espejo III"/>
        <s v="El Espejo I y II" u="1"/>
      </sharedItems>
      <fieldGroup par="7"/>
    </cacheField>
    <cacheField name="Variedad" numFmtId="0">
      <sharedItems count="6">
        <s v="Selma"/>
        <s v="Flame"/>
        <s v="Arizul"/>
        <s v="Sultanina"/>
        <s v="Fiesta"/>
        <s v="Superior"/>
      </sharedItems>
    </cacheField>
    <cacheField name="Faena" numFmtId="0">
      <sharedItems count="12">
        <s v="Colocación de malla"/>
        <s v="Tractor Volcado de bins"/>
        <s v="Desparramado de uva"/>
        <s v="Dar vuelta la pasa"/>
        <s v="Levantar pasa"/>
        <s v="Recolección de malla"/>
        <s v="Limpieza de secadero"/>
        <s v="Tractor Cincelado de piedras"/>
        <s v="Sereno"/>
        <s v="Tractor Descarga y carga de bines con tracto elevador"/>
        <s v="Descarga y carga de bines con Autoelevador"/>
        <s v="Tractor con acoplado"/>
      </sharedItems>
    </cacheField>
    <cacheField name="Tipo de Cosecha" numFmtId="0">
      <sharedItems/>
    </cacheField>
    <cacheField name="KG uva" numFmtId="0">
      <sharedItems containsSemiMixedTypes="0" containsString="0" containsNumber="1" minValue="44850" maxValue="1246500"/>
    </cacheField>
    <cacheField name="Jornales" numFmtId="0">
      <sharedItems containsSemiMixedTypes="0" containsString="0" containsNumber="1" minValue="0.16106616884463804" maxValue="194.57169980037125"/>
    </cacheField>
    <cacheField name="KG" numFmtId="3">
      <sharedItems containsSemiMixedTypes="0" containsString="0" containsNumber="1" minValue="3737.5" maxValue="1246500"/>
    </cacheField>
    <cacheField name="Finca2" numFmtId="0" databaseField="0">
      <fieldGroup base="0">
        <discretePr count="7">
          <x v="0"/>
          <x v="1"/>
          <x v="2"/>
          <x v="4"/>
          <x v="4"/>
          <x v="3"/>
          <x v="5"/>
        </discretePr>
        <groupItems count="6">
          <s v="Puente Alto"/>
          <s v="Camino Truncado"/>
          <s v="La Chimbera"/>
          <s v="El Espejo III"/>
          <s v="Grupo1"/>
          <s v="El Espejo I y II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s v="Puente Alto"/>
    <x v="0"/>
    <n v="67.938181818181818"/>
  </r>
  <r>
    <x v="1"/>
    <s v="Puente Alto"/>
    <x v="0"/>
    <n v="45.292121212121209"/>
  </r>
  <r>
    <x v="2"/>
    <s v="Puente Alto"/>
    <x v="0"/>
    <n v="71.676923076923075"/>
  </r>
  <r>
    <x v="3"/>
    <s v="Puente Alto"/>
    <x v="0"/>
    <n v="31.06"/>
  </r>
  <r>
    <x v="4"/>
    <s v="Puente Alto"/>
    <x v="0"/>
    <n v="0"/>
  </r>
  <r>
    <x v="5"/>
    <s v="Puente Alto"/>
    <x v="0"/>
    <n v="18.635999999999999"/>
  </r>
  <r>
    <x v="6"/>
    <s v="Puente Alto"/>
    <x v="0"/>
    <n v="0"/>
  </r>
  <r>
    <x v="7"/>
    <s v="Puente Alto"/>
    <x v="0"/>
    <n v="3.3038891966759003"/>
  </r>
  <r>
    <x v="8"/>
    <s v="Puente Alto"/>
    <x v="0"/>
    <n v="1.4454515334852878"/>
  </r>
  <r>
    <x v="9"/>
    <s v="Puente Alto"/>
    <x v="0"/>
    <n v="0.61950668173658663"/>
  </r>
  <r>
    <x v="10"/>
    <s v="Puente Alto"/>
    <x v="0"/>
    <n v="13.009063711363606"/>
  </r>
  <r>
    <x v="11"/>
    <s v="Puente Alto"/>
    <x v="0"/>
    <n v="1.5488696808510638"/>
  </r>
  <r>
    <x v="12"/>
    <s v="Puente Alto"/>
    <x v="0"/>
    <n v="12.423999999999999"/>
  </r>
  <r>
    <x v="0"/>
    <s v="Puente Alto"/>
    <x v="1"/>
    <n v="182.81333333333333"/>
  </r>
  <r>
    <x v="1"/>
    <s v="Puente Alto"/>
    <x v="1"/>
    <n v="121.87555555555555"/>
  </r>
  <r>
    <x v="2"/>
    <s v="Puente Alto"/>
    <x v="1"/>
    <n v="187.67692307692309"/>
  </r>
  <r>
    <x v="3"/>
    <s v="Puente Alto"/>
    <x v="1"/>
    <n v="81.326666666666668"/>
  </r>
  <r>
    <x v="4"/>
    <s v="Puente Alto"/>
    <x v="1"/>
    <n v="0"/>
  </r>
  <r>
    <x v="5"/>
    <s v="Puente Alto"/>
    <x v="1"/>
    <n v="48.795999999999999"/>
  </r>
  <r>
    <x v="6"/>
    <s v="Puente Alto"/>
    <x v="1"/>
    <n v="0"/>
  </r>
  <r>
    <x v="7"/>
    <s v="Puente Alto"/>
    <x v="1"/>
    <n v="8.6508144044321327"/>
  </r>
  <r>
    <x v="8"/>
    <s v="Puente Alto"/>
    <x v="1"/>
    <n v="3.7847313279645904"/>
  </r>
  <r>
    <x v="9"/>
    <s v="Puente Alto"/>
    <x v="1"/>
    <n v="1.6220995944418588"/>
  </r>
  <r>
    <x v="10"/>
    <s v="Puente Alto"/>
    <x v="1"/>
    <n v="34.062581716017306"/>
  </r>
  <r>
    <x v="11"/>
    <s v="Puente Alto"/>
    <x v="1"/>
    <n v="4.0555186170212769"/>
  </r>
  <r>
    <x v="12"/>
    <s v="Puente Alto"/>
    <x v="1"/>
    <n v="32.530666666666669"/>
  </r>
  <r>
    <x v="0"/>
    <s v="Puente Alto"/>
    <x v="2"/>
    <n v="63.383333333333333"/>
  </r>
  <r>
    <x v="1"/>
    <s v="Puente Alto"/>
    <x v="2"/>
    <n v="42.25555555555556"/>
  </r>
  <r>
    <x v="2"/>
    <s v="Puente Alto"/>
    <x v="2"/>
    <n v="87.761538461538464"/>
  </r>
  <r>
    <x v="3"/>
    <s v="Puente Alto"/>
    <x v="2"/>
    <n v="38.03"/>
  </r>
  <r>
    <x v="4"/>
    <s v="Puente Alto"/>
    <x v="2"/>
    <n v="0"/>
  </r>
  <r>
    <x v="5"/>
    <s v="Puente Alto"/>
    <x v="2"/>
    <n v="22.817999999999998"/>
  </r>
  <r>
    <x v="6"/>
    <s v="Puente Alto"/>
    <x v="2"/>
    <n v="0"/>
  </r>
  <r>
    <x v="7"/>
    <s v="Puente Alto"/>
    <x v="2"/>
    <n v="4.045296398891967"/>
  </r>
  <r>
    <x v="8"/>
    <s v="Puente Alto"/>
    <x v="2"/>
    <n v="1.7698171866853025"/>
  </r>
  <r>
    <x v="9"/>
    <s v="Puente Alto"/>
    <x v="2"/>
    <n v="0.75852669370387604"/>
  </r>
  <r>
    <x v="10"/>
    <s v="Puente Alto"/>
    <x v="2"/>
    <n v="15.92835456996645"/>
  </r>
  <r>
    <x v="11"/>
    <s v="Puente Alto"/>
    <x v="2"/>
    <n v="1.8964428191489362"/>
  </r>
  <r>
    <x v="12"/>
    <s v="Puente Alto"/>
    <x v="2"/>
    <n v="15.2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s v="Puente Alto"/>
    <s v="Selma"/>
    <n v="20.649307479224376"/>
  </r>
  <r>
    <x v="1"/>
    <s v="Puente Alto"/>
    <s v="Selma"/>
    <n v="2"/>
  </r>
  <r>
    <x v="2"/>
    <s v="Puente Alto"/>
    <s v="Selma"/>
    <n v="20.660753880266075"/>
  </r>
  <r>
    <x v="3"/>
    <s v="Puente Alto"/>
    <s v="Selma"/>
    <n v="4.1298614958448754"/>
  </r>
  <r>
    <x v="4"/>
    <s v="Puente Alto"/>
    <s v="Selma"/>
    <n v="23.333733998437403"/>
  </r>
  <r>
    <x v="5"/>
    <s v="Puente Alto"/>
    <s v="Selma"/>
    <n v="4.1298614958448754"/>
  </r>
  <r>
    <x v="6"/>
    <s v="Puente Alto"/>
    <s v="Selma"/>
    <n v="3.3038921253337401"/>
  </r>
  <r>
    <x v="7"/>
    <s v="Puente Alto"/>
    <s v="Selma"/>
    <n v="9.2994011976047908"/>
  </r>
  <r>
    <x v="8"/>
    <s v="Puente Alto"/>
    <s v="Selma"/>
    <n v="4.1298614958448754"/>
  </r>
  <r>
    <x v="9"/>
    <s v="Puente Alto"/>
    <s v="Selma"/>
    <n v="6.6077608214670676"/>
  </r>
  <r>
    <x v="10"/>
    <s v="Puente Alto"/>
    <s v="Selma"/>
    <n v="9.9116693472211566"/>
  </r>
  <r>
    <x v="11"/>
    <s v="Puente Alto"/>
    <s v="Selma"/>
    <n v="3.5109269027882437"/>
  </r>
  <r>
    <x v="12"/>
    <s v="Puente Alto"/>
    <s v="Selma"/>
    <n v="11.976602053682631"/>
  </r>
  <r>
    <x v="13"/>
    <s v="Puente Alto"/>
    <s v="Selma"/>
    <n v="2.2714253328035454"/>
  </r>
  <r>
    <x v="14"/>
    <s v="Puente Alto"/>
    <s v="Selma"/>
    <n v="13.009060829016992"/>
  </r>
  <r>
    <x v="15"/>
    <s v="Puente Alto"/>
    <s v="Selma"/>
    <n v="6.1947785157262807"/>
  </r>
  <r>
    <x v="0"/>
    <s v="Puente Alto"/>
    <s v="Flame"/>
    <n v="54.067590027700831"/>
  </r>
  <r>
    <x v="1"/>
    <s v="Puente Alto"/>
    <s v="Flame"/>
    <n v="3"/>
  </r>
  <r>
    <x v="2"/>
    <s v="Puente Alto"/>
    <s v="Flame"/>
    <n v="54.097560975609753"/>
  </r>
  <r>
    <x v="3"/>
    <s v="Puente Alto"/>
    <s v="Flame"/>
    <n v="10.813518005540166"/>
  </r>
  <r>
    <x v="4"/>
    <s v="Puente Alto"/>
    <s v="Flame"/>
    <n v="61.096420057295106"/>
  </r>
  <r>
    <x v="5"/>
    <s v="Puente Alto"/>
    <s v="Flame"/>
    <n v="10.813518005540166"/>
  </r>
  <r>
    <x v="6"/>
    <s v="Puente Alto"/>
    <s v="Flame"/>
    <n v="8.6508220727508682"/>
  </r>
  <r>
    <x v="7"/>
    <s v="Puente Alto"/>
    <s v="Flame"/>
    <n v="24.34930139720559"/>
  </r>
  <r>
    <x v="8"/>
    <s v="Puente Alto"/>
    <s v="Flame"/>
    <n v="10.813518005540166"/>
  </r>
  <r>
    <x v="9"/>
    <s v="Puente Alto"/>
    <s v="Flame"/>
    <n v="17.301582799114993"/>
  </r>
  <r>
    <x v="10"/>
    <s v="Puente Alto"/>
    <s v="Flame"/>
    <n v="25.95244781428438"/>
  </r>
  <r>
    <x v="11"/>
    <s v="Puente Alto"/>
    <s v="Flame"/>
    <n v="9.1929163526752067"/>
  </r>
  <r>
    <x v="12"/>
    <s v="Puente Alto"/>
    <s v="Flame"/>
    <n v="31.359211945240268"/>
  </r>
  <r>
    <x v="13"/>
    <s v="Puente Alto"/>
    <s v="Flame"/>
    <n v="5.9474388570230623"/>
  </r>
  <r>
    <x v="14"/>
    <s v="Puente Alto"/>
    <s v="Flame"/>
    <n v="34.062574168958633"/>
  </r>
  <r>
    <x v="15"/>
    <s v="Puente Alto"/>
    <s v="Flame"/>
    <n v="16.220241063177699"/>
  </r>
  <r>
    <x v="0"/>
    <s v="Puente Alto"/>
    <s v="Arizul"/>
    <n v="25.283102493074793"/>
  </r>
  <r>
    <x v="1"/>
    <s v="Puente Alto"/>
    <s v="Arizul"/>
    <n v="2"/>
  </r>
  <r>
    <x v="2"/>
    <s v="Puente Alto"/>
    <s v="Arizul"/>
    <n v="25.297117516629712"/>
  </r>
  <r>
    <x v="3"/>
    <s v="Puente Alto"/>
    <s v="Arizul"/>
    <n v="5.0566204986149588"/>
  </r>
  <r>
    <x v="4"/>
    <s v="Puente Alto"/>
    <s v="Arizul"/>
    <n v="28.569926077288297"/>
  </r>
  <r>
    <x v="5"/>
    <s v="Puente Alto"/>
    <s v="Arizul"/>
    <n v="5.0566204986149588"/>
  </r>
  <r>
    <x v="6"/>
    <s v="Puente Alto"/>
    <s v="Arizul"/>
    <n v="4.0452999847534485"/>
  </r>
  <r>
    <x v="7"/>
    <s v="Puente Alto"/>
    <s v="Arizul"/>
    <n v="11.386227544910179"/>
  </r>
  <r>
    <x v="8"/>
    <s v="Puente Alto"/>
    <s v="Arizul"/>
    <n v="5.0566204986149588"/>
  </r>
  <r>
    <x v="9"/>
    <s v="Puente Alto"/>
    <s v="Arizul"/>
    <n v="8.0905712826913252"/>
  </r>
  <r>
    <x v="10"/>
    <s v="Puente Alto"/>
    <s v="Arizul"/>
    <n v="12.135891348191263"/>
  </r>
  <r>
    <x v="11"/>
    <s v="Puente Alto"/>
    <s v="Arizul"/>
    <n v="4.2987942727957797"/>
  </r>
  <r>
    <x v="12"/>
    <s v="Puente Alto"/>
    <s v="Arizul"/>
    <n v="14.664203995542511"/>
  </r>
  <r>
    <x v="13"/>
    <s v="Puente Alto"/>
    <s v="Arizul"/>
    <n v="2.7811431231976438"/>
  </r>
  <r>
    <x v="14"/>
    <s v="Puente Alto"/>
    <s v="Arizul"/>
    <n v="15.928351040808634"/>
  </r>
  <r>
    <x v="15"/>
    <s v="Puente Alto"/>
    <s v="Arizul"/>
    <n v="7.584913939248887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s v="Camino Truncado"/>
    <n v="543.99445214979198"/>
  </r>
  <r>
    <x v="1"/>
    <s v="Camino Truncado"/>
    <n v="39.999999999999993"/>
  </r>
  <r>
    <x v="2"/>
    <s v="Camino Truncado"/>
    <n v="119.99999999999999"/>
  </r>
  <r>
    <x v="3"/>
    <s v="Camino Truncado"/>
    <n v="12.000611932687402"/>
  </r>
  <r>
    <x v="4"/>
    <s v="Camino Truncado"/>
    <n v="255.79565217391303"/>
  </r>
  <r>
    <x v="5"/>
    <s v="Camino Truncado"/>
    <n v="99.999999999999957"/>
  </r>
  <r>
    <x v="6"/>
    <s v="Camino Truncado"/>
    <n v="9.9999999999999982"/>
  </r>
  <r>
    <x v="7"/>
    <s v="Camino Truncado"/>
    <n v="62.016950224527228"/>
  </r>
  <r>
    <x v="8"/>
    <s v="Camino Truncado"/>
    <n v="32.999966345452712"/>
  </r>
  <r>
    <x v="9"/>
    <s v="Camino Truncado"/>
    <n v="99.996600662870733"/>
  </r>
  <r>
    <x v="10"/>
    <s v="Camino Truncado"/>
    <n v="74.999999999999972"/>
  </r>
  <r>
    <x v="11"/>
    <s v="Camino Truncado"/>
    <n v="39.999999999999993"/>
  </r>
  <r>
    <x v="12"/>
    <s v="Camino Truncado"/>
    <n v="59.999999999999993"/>
  </r>
  <r>
    <x v="13"/>
    <s v="Camino Truncado"/>
    <n v="49.999999999999979"/>
  </r>
  <r>
    <x v="14"/>
    <s v="Camino Truncado"/>
    <n v="59.999999999999993"/>
  </r>
  <r>
    <x v="15"/>
    <s v="Camino Truncado"/>
    <n v="36.005507955936352"/>
  </r>
  <r>
    <x v="16"/>
    <s v="Camino Truncado"/>
    <n v="223.99984770462316"/>
  </r>
  <r>
    <x v="17"/>
    <s v="Camino Truncado"/>
    <n v="18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s v="La Chimbera"/>
    <s v="Flame"/>
    <n v="42.693235792190684"/>
  </r>
  <r>
    <x v="1"/>
    <s v="La Chimbera"/>
    <s v="Flame"/>
    <n v="23.24413450920477"/>
  </r>
  <r>
    <x v="2"/>
    <s v="La Chimbera"/>
    <s v="Flame"/>
    <n v="1.4231072007409122"/>
  </r>
  <r>
    <x v="3"/>
    <s v="La Chimbera"/>
    <s v="Flame"/>
    <n v="45.06508570314115"/>
  </r>
  <r>
    <x v="4"/>
    <s v="La Chimbera"/>
    <s v="Flame"/>
    <n v="11.384836518015248"/>
  </r>
  <r>
    <x v="5"/>
    <s v="La Chimbera"/>
    <s v="Flame"/>
    <n v="52.180557088402331"/>
  </r>
  <r>
    <x v="6"/>
    <s v="La Chimbera"/>
    <s v="Flame"/>
    <n v="5.6924288029636489"/>
  </r>
  <r>
    <x v="7"/>
    <s v="La Chimbera"/>
    <s v="Flame"/>
    <n v="8.7758324790327507"/>
  </r>
  <r>
    <x v="8"/>
    <s v="La Chimbera"/>
    <s v="Flame"/>
    <n v="21.35649756775539"/>
  </r>
  <r>
    <x v="9"/>
    <s v="La Chimbera"/>
    <s v="Flame"/>
    <n v="7.8278145695364243"/>
  </r>
  <r>
    <x v="10"/>
    <s v="La Chimbera"/>
    <s v="Flame"/>
    <n v="14.711345141215892"/>
  </r>
  <r>
    <x v="11"/>
    <s v="La Chimbera"/>
    <s v="Flame"/>
    <n v="21.35649756775539"/>
  </r>
  <r>
    <x v="12"/>
    <s v="La Chimbera"/>
    <s v="Flame"/>
    <n v="4.7440568076566842"/>
  </r>
  <r>
    <x v="13"/>
    <s v="La Chimbera"/>
    <s v="Flame"/>
    <n v="16.132283464566932"/>
  </r>
  <r>
    <x v="14"/>
    <s v="La Chimbera"/>
    <s v="Flame"/>
    <n v="5.218543046357615"/>
  </r>
  <r>
    <x v="15"/>
    <s v="La Chimbera"/>
    <s v="Flame"/>
    <n v="29.885348088648588"/>
  </r>
  <r>
    <x v="16"/>
    <s v="La Chimbera"/>
    <s v="Flame"/>
    <n v="14.234367762853172"/>
  </r>
  <r>
    <x v="0"/>
    <s v="La Chimbera"/>
    <s v="Fiesta"/>
    <n v="21.934254195070245"/>
  </r>
  <r>
    <x v="1"/>
    <s v="La Chimbera"/>
    <s v="Fiesta"/>
    <n v="11.942003116160164"/>
  </r>
  <r>
    <x v="2"/>
    <s v="La Chimbera"/>
    <s v="Fiesta"/>
    <n v="0.73114146793239176"/>
  </r>
  <r>
    <x v="3"/>
    <s v="La Chimbera"/>
    <s v="Fiesta"/>
    <n v="23.152825659472072"/>
  </r>
  <r>
    <x v="4"/>
    <s v="La Chimbera"/>
    <s v="Fiesta"/>
    <n v="5.8491209092458263"/>
  </r>
  <r>
    <x v="5"/>
    <s v="La Chimbera"/>
    <s v="Fiesta"/>
    <n v="26.808499800494094"/>
  </r>
  <r>
    <x v="6"/>
    <s v="La Chimbera"/>
    <s v="Fiesta"/>
    <n v="2.9245658717295671"/>
  </r>
  <r>
    <x v="7"/>
    <s v="La Chimbera"/>
    <s v="Fiesta"/>
    <n v="4.5087081547392973"/>
  </r>
  <r>
    <x v="8"/>
    <s v="La Chimbera"/>
    <s v="Fiesta"/>
    <n v="10.972202918693537"/>
  </r>
  <r>
    <x v="9"/>
    <s v="La Chimbera"/>
    <s v="Fiesta"/>
    <n v="4.021650534895568"/>
  </r>
  <r>
    <x v="10"/>
    <s v="La Chimbera"/>
    <s v="Fiesta"/>
    <n v="7.5581617999042603"/>
  </r>
  <r>
    <x v="11"/>
    <s v="La Chimbera"/>
    <s v="Fiesta"/>
    <n v="10.972202918693537"/>
  </r>
  <r>
    <x v="12"/>
    <s v="La Chimbera"/>
    <s v="Fiesta"/>
    <n v="2.4373263352886694"/>
  </r>
  <r>
    <x v="13"/>
    <s v="La Chimbera"/>
    <s v="Fiesta"/>
    <n v="8.2881889763779526"/>
  </r>
  <r>
    <x v="14"/>
    <s v="La Chimbera"/>
    <s v="Fiesta"/>
    <n v="2.6811003565970455"/>
  </r>
  <r>
    <x v="15"/>
    <s v="La Chimbera"/>
    <s v="Fiesta"/>
    <n v="15.354020596501126"/>
  </r>
  <r>
    <x v="16"/>
    <s v="La Chimbera"/>
    <s v="Fiesta"/>
    <n v="7.3131079203334872"/>
  </r>
  <r>
    <x v="0"/>
    <s v="La Chimbera"/>
    <s v="Arizul"/>
    <n v="25.372551689072328"/>
  </r>
  <r>
    <x v="1"/>
    <s v="La Chimbera"/>
    <s v="Arizul"/>
    <n v="13.813968263572692"/>
  </r>
  <r>
    <x v="2"/>
    <s v="La Chimbera"/>
    <s v="Arizul"/>
    <n v="0.845751331326696"/>
  </r>
  <r>
    <x v="3"/>
    <s v="La Chimbera"/>
    <s v="Arizul"/>
    <n v="26.782139961023365"/>
  </r>
  <r>
    <x v="4"/>
    <s v="La Chimbera"/>
    <s v="Arizul"/>
    <n v="6.765998118086376"/>
  </r>
  <r>
    <x v="5"/>
    <s v="La Chimbera"/>
    <s v="Arizul"/>
    <n v="31.010858214973979"/>
  </r>
  <r>
    <x v="6"/>
    <s v="La Chimbera"/>
    <s v="Arizul"/>
    <n v="3.383005325306784"/>
  </r>
  <r>
    <x v="7"/>
    <s v="La Chimbera"/>
    <s v="Arizul"/>
    <n v="5.2154693608308662"/>
  </r>
  <r>
    <x v="8"/>
    <s v="La Chimbera"/>
    <s v="Arizul"/>
    <n v="12.692147324530925"/>
  </r>
  <r>
    <x v="9"/>
    <s v="La Chimbera"/>
    <s v="Arizul"/>
    <n v="4.6520631686194598"/>
  </r>
  <r>
    <x v="10"/>
    <s v="La Chimbera"/>
    <s v="Arizul"/>
    <n v="8.7429392053614166"/>
  </r>
  <r>
    <x v="11"/>
    <s v="La Chimbera"/>
    <s v="Arizul"/>
    <n v="12.692147324530925"/>
  </r>
  <r>
    <x v="12"/>
    <s v="La Chimbera"/>
    <s v="Arizul"/>
    <n v="2.8193887002161162"/>
  </r>
  <r>
    <x v="13"/>
    <s v="La Chimbera"/>
    <s v="Arizul"/>
    <n v="9.5874015748031489"/>
  </r>
  <r>
    <x v="14"/>
    <s v="La Chimbera"/>
    <s v="Arizul"/>
    <n v="3.101375445746307"/>
  </r>
  <r>
    <x v="15"/>
    <s v="La Chimbera"/>
    <s v="Arizul"/>
    <n v="17.760835529450663"/>
  </r>
  <r>
    <x v="16"/>
    <s v="La Chimbera"/>
    <s v="Arizul"/>
    <n v="8.459471977767485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s v="La Chimbera"/>
    <x v="0"/>
    <n v="236.40000000000003"/>
  </r>
  <r>
    <x v="1"/>
    <s v="La Chimbera"/>
    <x v="0"/>
    <n v="157.6"/>
  </r>
  <r>
    <x v="2"/>
    <s v="La Chimbera"/>
    <x v="0"/>
    <n v="151.38916256157637"/>
  </r>
  <r>
    <x v="3"/>
    <s v="La Chimbera"/>
    <x v="0"/>
    <n v="61.463999999999999"/>
  </r>
  <r>
    <x v="4"/>
    <s v="La Chimbera"/>
    <x v="0"/>
    <n v="61.463999999999999"/>
  </r>
  <r>
    <x v="5"/>
    <s v="La Chimbera"/>
    <x v="0"/>
    <n v="61.463999999999999"/>
  </r>
  <r>
    <x v="6"/>
    <s v="La Chimbera"/>
    <x v="0"/>
    <n v="102.44000000000001"/>
  </r>
  <r>
    <x v="7"/>
    <s v="La Chimbera"/>
    <x v="0"/>
    <n v="9.0123167155425215"/>
  </r>
  <r>
    <x v="8"/>
    <s v="La Chimbera"/>
    <x v="0"/>
    <n v="2.3718453345681874"/>
  </r>
  <r>
    <x v="9"/>
    <s v="La Chimbera"/>
    <x v="0"/>
    <n v="1.8982087708462017"/>
  </r>
  <r>
    <x v="10"/>
    <s v="La Chimbera"/>
    <x v="0"/>
    <n v="2.3718453345681874"/>
  </r>
  <r>
    <x v="11"/>
    <s v="La Chimbera"/>
    <x v="0"/>
    <n v="11.384857605927298"/>
  </r>
  <r>
    <x v="12"/>
    <s v="La Chimbera"/>
    <x v="0"/>
    <n v="34.154636081752408"/>
  </r>
  <r>
    <x v="0"/>
    <s v="La Chimbera"/>
    <x v="1"/>
    <n v="96.701709401709394"/>
  </r>
  <r>
    <x v="1"/>
    <s v="La Chimbera"/>
    <x v="1"/>
    <n v="64.467806267806267"/>
  </r>
  <r>
    <x v="2"/>
    <s v="La Chimbera"/>
    <x v="1"/>
    <n v="77.778325123152712"/>
  </r>
  <r>
    <x v="3"/>
    <s v="La Chimbera"/>
    <x v="1"/>
    <n v="31.578000000000003"/>
  </r>
  <r>
    <x v="4"/>
    <s v="La Chimbera"/>
    <x v="1"/>
    <n v="31.578000000000003"/>
  </r>
  <r>
    <x v="5"/>
    <s v="La Chimbera"/>
    <x v="1"/>
    <n v="31.578000000000003"/>
  </r>
  <r>
    <x v="6"/>
    <s v="La Chimbera"/>
    <x v="1"/>
    <n v="52.63"/>
  </r>
  <r>
    <x v="7"/>
    <s v="La Chimbera"/>
    <x v="1"/>
    <n v="4.630205278592376"/>
  </r>
  <r>
    <x v="8"/>
    <s v="La Chimbera"/>
    <x v="1"/>
    <n v="1.2185691132206529"/>
  </r>
  <r>
    <x v="9"/>
    <s v="La Chimbera"/>
    <x v="1"/>
    <n v="0.97523162445954292"/>
  </r>
  <r>
    <x v="10"/>
    <s v="La Chimbera"/>
    <x v="1"/>
    <n v="1.2185691132206529"/>
  </r>
  <r>
    <x v="11"/>
    <s v="La Chimbera"/>
    <x v="1"/>
    <n v="5.8491317434591341"/>
  </r>
  <r>
    <x v="12"/>
    <s v="La Chimbera"/>
    <x v="1"/>
    <n v="17.547427733137734"/>
  </r>
  <r>
    <x v="0"/>
    <s v="La Chimbera"/>
    <x v="2"/>
    <n v="132.94945054945055"/>
  </r>
  <r>
    <x v="1"/>
    <s v="La Chimbera"/>
    <x v="2"/>
    <n v="88.632967032967031"/>
  </r>
  <r>
    <x v="2"/>
    <s v="La Chimbera"/>
    <x v="2"/>
    <n v="89.970443349753694"/>
  </r>
  <r>
    <x v="3"/>
    <s v="La Chimbera"/>
    <x v="2"/>
    <n v="36.527999999999999"/>
  </r>
  <r>
    <x v="4"/>
    <s v="La Chimbera"/>
    <x v="2"/>
    <n v="36.527999999999999"/>
  </r>
  <r>
    <x v="5"/>
    <s v="La Chimbera"/>
    <x v="2"/>
    <n v="36.527999999999999"/>
  </r>
  <r>
    <x v="6"/>
    <s v="La Chimbera"/>
    <x v="2"/>
    <n v="60.879999999999995"/>
  </r>
  <r>
    <x v="7"/>
    <s v="La Chimbera"/>
    <x v="2"/>
    <n v="5.356011730205279"/>
  </r>
  <r>
    <x v="8"/>
    <s v="La Chimbera"/>
    <x v="2"/>
    <n v="1.40958555221116"/>
  </r>
  <r>
    <x v="9"/>
    <s v="La Chimbera"/>
    <x v="2"/>
    <n v="1.1281037677578751"/>
  </r>
  <r>
    <x v="10"/>
    <s v="La Chimbera"/>
    <x v="2"/>
    <n v="1.40958555221116"/>
  </r>
  <r>
    <x v="11"/>
    <s v="La Chimbera"/>
    <x v="2"/>
    <n v="6.766010650613568"/>
  </r>
  <r>
    <x v="12"/>
    <s v="La Chimbera"/>
    <x v="2"/>
    <n v="20.29806954956156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x v="0"/>
    <s v="Camino Truncado"/>
    <x v="0"/>
    <n v="270.44520202020198"/>
  </r>
  <r>
    <x v="1"/>
    <s v="Camino Truncado"/>
    <x v="0"/>
    <n v="180.29680134680137"/>
  </r>
  <r>
    <x v="2"/>
    <s v="Camino Truncado"/>
    <x v="0"/>
    <n v="67.337999999999994"/>
  </r>
  <r>
    <x v="3"/>
    <s v="Camino Truncado"/>
    <x v="0"/>
    <n v="0"/>
  </r>
  <r>
    <x v="4"/>
    <s v="Camino Truncado"/>
    <x v="0"/>
    <n v="0"/>
  </r>
  <r>
    <x v="5"/>
    <s v="Camino Truncado"/>
    <x v="0"/>
    <n v="48.098571428571432"/>
  </r>
  <r>
    <x v="6"/>
    <s v="Camino Truncado"/>
    <x v="0"/>
    <n v="67.337999999999994"/>
  </r>
  <r>
    <x v="7"/>
    <s v="Camino Truncado"/>
    <x v="0"/>
    <n v="10"/>
  </r>
  <r>
    <x v="8"/>
    <s v="Camino Truncado"/>
    <x v="0"/>
    <n v="6.4999951736054129"/>
  </r>
  <r>
    <x v="9"/>
    <s v="Camino Truncado"/>
    <x v="0"/>
    <n v="4.8800037104783334"/>
  </r>
  <r>
    <x v="10"/>
    <s v="Camino Truncado"/>
    <x v="0"/>
    <n v="12.990034376193618"/>
  </r>
  <r>
    <x v="11"/>
    <s v="Camino Truncado"/>
    <x v="0"/>
    <n v="20"/>
  </r>
  <r>
    <x v="12"/>
    <s v="Camino Truncado"/>
    <x v="0"/>
    <n v="27.320085362588134"/>
  </r>
  <r>
    <x v="0"/>
    <s v="Camino Truncado"/>
    <x v="1"/>
    <n v="295.64681818181816"/>
  </r>
  <r>
    <x v="1"/>
    <s v="Camino Truncado"/>
    <x v="1"/>
    <n v="197.09787878787878"/>
  </r>
  <r>
    <x v="2"/>
    <s v="Camino Truncado"/>
    <x v="1"/>
    <n v="90.469999999999985"/>
  </r>
  <r>
    <x v="3"/>
    <s v="Camino Truncado"/>
    <x v="1"/>
    <n v="75.391666666666666"/>
  </r>
  <r>
    <x v="4"/>
    <s v="Camino Truncado"/>
    <x v="1"/>
    <n v="0"/>
  </r>
  <r>
    <x v="5"/>
    <s v="Camino Truncado"/>
    <x v="1"/>
    <n v="64.621428571428581"/>
  </r>
  <r>
    <x v="6"/>
    <s v="Camino Truncado"/>
    <x v="1"/>
    <n v="0"/>
  </r>
  <r>
    <x v="7"/>
    <s v="Camino Truncado"/>
    <x v="1"/>
    <n v="10.899999999999999"/>
  </r>
  <r>
    <x v="8"/>
    <s v="Camino Truncado"/>
    <x v="1"/>
    <n v="7.3000062938044756"/>
  </r>
  <r>
    <x v="9"/>
    <s v="Camino Truncado"/>
    <x v="1"/>
    <n v="5.4700017533994787"/>
  </r>
  <r>
    <x v="10"/>
    <s v="Camino Truncado"/>
    <x v="1"/>
    <n v="21.860049292031118"/>
  </r>
  <r>
    <x v="11"/>
    <s v="Camino Truncado"/>
    <x v="1"/>
    <n v="21.999961092143526"/>
  </r>
  <r>
    <x v="12"/>
    <s v="Camino Truncado"/>
    <x v="1"/>
    <n v="26.280014175579659"/>
  </r>
  <r>
    <x v="0"/>
    <s v="Camino Truncado"/>
    <x v="2"/>
    <n v="78.538181818181812"/>
  </r>
  <r>
    <x v="1"/>
    <s v="Camino Truncado"/>
    <x v="2"/>
    <n v="52.358787878787879"/>
  </r>
  <r>
    <x v="2"/>
    <s v="Camino Truncado"/>
    <x v="2"/>
    <n v="16.442"/>
  </r>
  <r>
    <x v="3"/>
    <s v="Camino Truncado"/>
    <x v="2"/>
    <n v="0"/>
  </r>
  <r>
    <x v="4"/>
    <s v="Camino Truncado"/>
    <x v="2"/>
    <n v="0"/>
  </r>
  <r>
    <x v="5"/>
    <s v="Camino Truncado"/>
    <x v="2"/>
    <n v="11.744285714285713"/>
  </r>
  <r>
    <x v="6"/>
    <s v="Camino Truncado"/>
    <x v="2"/>
    <n v="0"/>
  </r>
  <r>
    <x v="7"/>
    <s v="Camino Truncado"/>
    <x v="2"/>
    <n v="2.8999995766938946"/>
  </r>
  <r>
    <x v="8"/>
    <s v="Camino Truncado"/>
    <x v="2"/>
    <n v="1.900000924462194"/>
  </r>
  <r>
    <x v="9"/>
    <s v="Camino Truncado"/>
    <x v="2"/>
    <n v="1.4400019618078057"/>
  </r>
  <r>
    <x v="10"/>
    <s v="Camino Truncado"/>
    <x v="2"/>
    <n v="3.850008429649888"/>
  </r>
  <r>
    <x v="11"/>
    <s v="Camino Truncado"/>
    <x v="2"/>
    <n v="5.9999854032711264"/>
  </r>
  <r>
    <x v="12"/>
    <s v="Camino Truncado"/>
    <x v="2"/>
    <n v="6.9000537165111115"/>
  </r>
  <r>
    <x v="0"/>
    <s v="Camino Truncado"/>
    <x v="3"/>
    <n v="223.53909090909087"/>
  </r>
  <r>
    <x v="1"/>
    <s v="Camino Truncado"/>
    <x v="3"/>
    <n v="149.02606060606061"/>
  </r>
  <r>
    <x v="2"/>
    <s v="Camino Truncado"/>
    <x v="3"/>
    <n v="52.886000000000003"/>
  </r>
  <r>
    <x v="3"/>
    <s v="Camino Truncado"/>
    <x v="3"/>
    <n v="44.071666666666665"/>
  </r>
  <r>
    <x v="4"/>
    <s v="Camino Truncado"/>
    <x v="3"/>
    <n v="39.314999999999998"/>
  </r>
  <r>
    <x v="5"/>
    <s v="Camino Truncado"/>
    <x v="3"/>
    <n v="37.775714285714287"/>
  </r>
  <r>
    <x v="6"/>
    <s v="Camino Truncado"/>
    <x v="3"/>
    <n v="33.085999999999999"/>
  </r>
  <r>
    <x v="7"/>
    <s v="Camino Truncado"/>
    <x v="3"/>
    <n v="7.9000004481337465"/>
  </r>
  <r>
    <x v="8"/>
    <s v="Camino Truncado"/>
    <x v="3"/>
    <n v="5.2999949892268381"/>
  </r>
  <r>
    <x v="9"/>
    <s v="Camino Truncado"/>
    <x v="3"/>
    <n v="3.9600031149288957"/>
  </r>
  <r>
    <x v="10"/>
    <s v="Camino Truncado"/>
    <x v="3"/>
    <n v="5.2800041532385267"/>
  </r>
  <r>
    <x v="11"/>
    <s v="Camino Truncado"/>
    <x v="3"/>
    <n v="15.999975797033926"/>
  </r>
  <r>
    <x v="12"/>
    <s v="Camino Truncado"/>
    <x v="3"/>
    <n v="19.000093408922709"/>
  </r>
  <r>
    <x v="0"/>
    <s v="Camino Truncado"/>
    <x v="4"/>
    <n v="40.98"/>
  </r>
  <r>
    <x v="1"/>
    <s v="Camino Truncado"/>
    <x v="4"/>
    <n v="27.32"/>
  </r>
  <r>
    <x v="2"/>
    <s v="Camino Truncado"/>
    <x v="4"/>
    <n v="8.1959999999999997"/>
  </r>
  <r>
    <x v="3"/>
    <s v="Camino Truncado"/>
    <x v="4"/>
    <n v="0"/>
  </r>
  <r>
    <x v="4"/>
    <s v="Camino Truncado"/>
    <x v="4"/>
    <n v="0"/>
  </r>
  <r>
    <x v="5"/>
    <s v="Camino Truncado"/>
    <x v="4"/>
    <n v="5.8542857142857141"/>
  </r>
  <r>
    <x v="6"/>
    <s v="Camino Truncado"/>
    <x v="4"/>
    <n v="0"/>
  </r>
  <r>
    <x v="7"/>
    <s v="Camino Truncado"/>
    <x v="4"/>
    <n v="1"/>
  </r>
  <r>
    <x v="8"/>
    <s v="Camino Truncado"/>
    <x v="4"/>
    <n v="1"/>
  </r>
  <r>
    <x v="9"/>
    <s v="Camino Truncado"/>
    <x v="4"/>
    <n v="1.3"/>
  </r>
  <r>
    <x v="10"/>
    <s v="Camino Truncado"/>
    <x v="4"/>
    <n v="1"/>
  </r>
  <r>
    <x v="11"/>
    <s v="Camino Truncado"/>
    <x v="4"/>
    <n v="3"/>
  </r>
  <r>
    <x v="12"/>
    <s v="Camino Truncado"/>
    <x v="4"/>
    <n v="3.5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x v="0"/>
    <s v="El Espejo I"/>
    <x v="0"/>
    <n v="573.64539196262751"/>
  </r>
  <r>
    <x v="1"/>
    <s v="El Espejo I"/>
    <x v="0"/>
    <n v="122.04134929270947"/>
  </r>
  <r>
    <x v="2"/>
    <s v="El Espejo I"/>
    <x v="0"/>
    <n v="87.430620517617712"/>
  </r>
  <r>
    <x v="3"/>
    <s v="El Espejo I"/>
    <x v="0"/>
    <n v="7.009150533639172"/>
  </r>
  <r>
    <x v="4"/>
    <s v="El Espejo I"/>
    <x v="0"/>
    <n v="151.25148343942172"/>
  </r>
  <r>
    <x v="5"/>
    <s v="El Espejo I"/>
    <x v="0"/>
    <n v="260.7430139024504"/>
  </r>
  <r>
    <x v="6"/>
    <s v="El Espejo I"/>
    <x v="0"/>
    <n v="104.76835528978584"/>
  </r>
  <r>
    <x v="7"/>
    <s v="El Espejo I"/>
    <x v="0"/>
    <n v="36.890265964095178"/>
  </r>
  <r>
    <x v="8"/>
    <s v="El Espejo I"/>
    <x v="0"/>
    <n v="11.804888214794321"/>
  </r>
  <r>
    <x v="9"/>
    <s v="El Espejo I"/>
    <x v="0"/>
    <n v="320.4457142857143"/>
  </r>
  <r>
    <x v="10"/>
    <s v="El Espejo I"/>
    <x v="0"/>
    <n v="34.307913493010311"/>
  </r>
  <r>
    <x v="11"/>
    <s v="El Espejo I"/>
    <x v="0"/>
    <n v="105.5059593802621"/>
  </r>
  <r>
    <x v="12"/>
    <s v="El Espejo I"/>
    <x v="0"/>
    <n v="88.731012658227854"/>
  </r>
  <r>
    <x v="13"/>
    <s v="El Espejo I"/>
    <x v="0"/>
    <n v="62.344563833749312"/>
  </r>
  <r>
    <x v="14"/>
    <s v="El Espejo I"/>
    <x v="0"/>
    <n v="169.69524576125013"/>
  </r>
  <r>
    <x v="15"/>
    <s v="El Espejo I"/>
    <x v="0"/>
    <n v="11.805894736842106"/>
  </r>
  <r>
    <x v="16"/>
    <s v="El Espejo I"/>
    <x v="0"/>
    <n v="85.943295019157091"/>
  </r>
  <r>
    <x v="17"/>
    <s v="El Espejo I"/>
    <x v="0"/>
    <n v="38.37016763599042"/>
  </r>
  <r>
    <x v="0"/>
    <s v="El Espejo II"/>
    <x v="1"/>
    <n v="239.82741116751271"/>
  </r>
  <r>
    <x v="1"/>
    <s v="El Espejo II"/>
    <x v="1"/>
    <n v="51.410228509249187"/>
  </r>
  <r>
    <x v="2"/>
    <s v="El Espejo II"/>
    <x v="1"/>
    <n v="36.830371063299033"/>
  </r>
  <r>
    <x v="3"/>
    <s v="El Espejo II"/>
    <x v="1"/>
    <n v="2.9526224732721955"/>
  </r>
  <r>
    <x v="4"/>
    <s v="El Espejo II"/>
    <x v="1"/>
    <n v="63.715071744524771"/>
  </r>
  <r>
    <x v="5"/>
    <s v="El Espejo II"/>
    <x v="1"/>
    <n v="109.83865718138281"/>
  </r>
  <r>
    <x v="6"/>
    <s v="El Espejo II"/>
    <x v="1"/>
    <n v="44.13393589305273"/>
  </r>
  <r>
    <x v="7"/>
    <s v="El Espejo II"/>
    <x v="1"/>
    <n v="15.540118279357683"/>
  </r>
  <r>
    <x v="8"/>
    <s v="El Espejo II"/>
    <x v="1"/>
    <n v="4.9728391579244295"/>
  </r>
  <r>
    <x v="9"/>
    <s v="El Espejo II"/>
    <x v="1"/>
    <n v="134.98857142857145"/>
  </r>
  <r>
    <x v="10"/>
    <s v="El Espejo II"/>
    <x v="1"/>
    <n v="14.452295738888379"/>
  </r>
  <r>
    <x v="11"/>
    <s v="El Espejo II"/>
    <x v="1"/>
    <n v="44.444653490494147"/>
  </r>
  <r>
    <x v="12"/>
    <s v="El Espejo II"/>
    <x v="1"/>
    <n v="37.37816455696202"/>
  </r>
  <r>
    <x v="13"/>
    <s v="El Espejo II"/>
    <x v="1"/>
    <n v="26.262805938953953"/>
  </r>
  <r>
    <x v="14"/>
    <s v="El Espejo II"/>
    <x v="1"/>
    <n v="71.484553490103266"/>
  </r>
  <r>
    <x v="15"/>
    <s v="El Espejo II"/>
    <x v="1"/>
    <n v="4.9732631578947366"/>
  </r>
  <r>
    <x v="16"/>
    <s v="El Espejo II"/>
    <x v="1"/>
    <n v="36.203831417624521"/>
  </r>
  <r>
    <x v="17"/>
    <s v="El Espejo II"/>
    <x v="1"/>
    <n v="16.163530619226819"/>
  </r>
  <r>
    <x v="0"/>
    <s v="El Espejo II"/>
    <x v="0"/>
    <n v="244.71065989847716"/>
  </r>
  <r>
    <x v="1"/>
    <s v="El Espejo II"/>
    <x v="0"/>
    <n v="52.457018498367788"/>
  </r>
  <r>
    <x v="2"/>
    <s v="El Espejo II"/>
    <x v="0"/>
    <n v="37.580293108824449"/>
  </r>
  <r>
    <x v="3"/>
    <s v="El Espejo II"/>
    <x v="0"/>
    <n v="3.0127423314461752"/>
  </r>
  <r>
    <x v="4"/>
    <s v="El Espejo II"/>
    <x v="0"/>
    <n v="65.012406947890824"/>
  </r>
  <r>
    <x v="5"/>
    <s v="El Espejo II"/>
    <x v="0"/>
    <n v="112.07513832705631"/>
  </r>
  <r>
    <x v="6"/>
    <s v="El Espejo II"/>
    <x v="0"/>
    <n v="45.032569562127712"/>
  </r>
  <r>
    <x v="7"/>
    <s v="El Espejo II"/>
    <x v="0"/>
    <n v="15.856538585515711"/>
  </r>
  <r>
    <x v="8"/>
    <s v="El Espejo II"/>
    <x v="0"/>
    <n v="5.0740936825386473"/>
  </r>
  <r>
    <x v="9"/>
    <s v="El Espejo II"/>
    <x v="0"/>
    <n v="137.73714285714286"/>
  </r>
  <r>
    <x v="10"/>
    <s v="El Espejo II"/>
    <x v="0"/>
    <n v="14.746566333241566"/>
  </r>
  <r>
    <x v="11"/>
    <s v="El Espejo II"/>
    <x v="0"/>
    <n v="45.349613839684679"/>
  </r>
  <r>
    <x v="12"/>
    <s v="El Espejo II"/>
    <x v="0"/>
    <n v="38.139240506329116"/>
  </r>
  <r>
    <x v="13"/>
    <s v="El Espejo II"/>
    <x v="0"/>
    <n v="26.797556379483815"/>
  </r>
  <r>
    <x v="14"/>
    <s v="El Espejo II"/>
    <x v="0"/>
    <n v="72.940087089931396"/>
  </r>
  <r>
    <x v="15"/>
    <s v="El Espejo II"/>
    <x v="0"/>
    <n v="5.0745263157894733"/>
  </r>
  <r>
    <x v="16"/>
    <s v="El Espejo II"/>
    <x v="0"/>
    <n v="36.940996168582373"/>
  </r>
  <r>
    <x v="17"/>
    <s v="El Espejo II"/>
    <x v="0"/>
    <n v="16.492644543277454"/>
  </r>
  <r>
    <x v="0"/>
    <s v="El Espejo II"/>
    <x v="2"/>
    <n v="489.42131979695432"/>
  </r>
  <r>
    <x v="1"/>
    <s v="El Espejo II"/>
    <x v="2"/>
    <n v="104.91403699673559"/>
  </r>
  <r>
    <x v="2"/>
    <s v="El Espejo II"/>
    <x v="2"/>
    <n v="75.160586217648884"/>
  </r>
  <r>
    <x v="3"/>
    <s v="El Espejo II"/>
    <x v="2"/>
    <n v="6.0254846628923513"/>
  </r>
  <r>
    <x v="4"/>
    <s v="El Espejo II"/>
    <x v="2"/>
    <n v="130.02481389578165"/>
  </r>
  <r>
    <x v="5"/>
    <s v="El Espejo II"/>
    <x v="2"/>
    <n v="224.15027665411259"/>
  </r>
  <r>
    <x v="6"/>
    <s v="El Espejo II"/>
    <x v="2"/>
    <n v="90.065139124255424"/>
  </r>
  <r>
    <x v="7"/>
    <s v="El Espejo II"/>
    <x v="2"/>
    <n v="31.713077171031419"/>
  </r>
  <r>
    <x v="8"/>
    <s v="El Espejo II"/>
    <x v="2"/>
    <n v="10.148187365077293"/>
  </r>
  <r>
    <x v="9"/>
    <s v="El Espejo II"/>
    <x v="2"/>
    <n v="275.47428571428571"/>
  </r>
  <r>
    <x v="10"/>
    <s v="El Espejo II"/>
    <x v="2"/>
    <n v="29.493132666483127"/>
  </r>
  <r>
    <x v="11"/>
    <s v="El Espejo II"/>
    <x v="2"/>
    <n v="90.699227679369358"/>
  </r>
  <r>
    <x v="12"/>
    <s v="El Espejo II"/>
    <x v="2"/>
    <n v="76.278481012658233"/>
  </r>
  <r>
    <x v="13"/>
    <s v="El Espejo II"/>
    <x v="2"/>
    <n v="53.595112758967623"/>
  </r>
  <r>
    <x v="14"/>
    <s v="El Espejo II"/>
    <x v="2"/>
    <n v="145.88017417986279"/>
  </r>
  <r>
    <x v="15"/>
    <s v="El Espejo II"/>
    <x v="2"/>
    <n v="10.149052631578947"/>
  </r>
  <r>
    <x v="16"/>
    <s v="El Espejo II"/>
    <x v="2"/>
    <n v="73.88199233716476"/>
  </r>
  <r>
    <x v="17"/>
    <s v="El Espejo II"/>
    <x v="2"/>
    <n v="32.985289086554907"/>
  </r>
  <r>
    <x v="0"/>
    <s v="El Espejo III"/>
    <x v="1"/>
    <n v="383.29320913739286"/>
  </r>
  <r>
    <x v="1"/>
    <s v="El Espejo III"/>
    <x v="1"/>
    <n v="81.934203317676008"/>
  </r>
  <r>
    <x v="2"/>
    <s v="El Espejo III"/>
    <x v="1"/>
    <n v="58.698099974906533"/>
  </r>
  <r>
    <x v="3"/>
    <s v="El Espejo III"/>
    <x v="1"/>
    <n v="4.7057245726429597"/>
  </r>
  <r>
    <x v="4"/>
    <s v="El Espejo III"/>
    <x v="1"/>
    <n v="101.5460991328933"/>
  </r>
  <r>
    <x v="5"/>
    <s v="El Espejo III"/>
    <x v="1"/>
    <n v="175.05435189324967"/>
  </r>
  <r>
    <x v="6"/>
    <s v="El Espejo III"/>
    <x v="1"/>
    <n v="70.338244705047842"/>
  </r>
  <r>
    <x v="7"/>
    <s v="El Espejo III"/>
    <x v="1"/>
    <n v="24.766931091962448"/>
  </r>
  <r>
    <x v="8"/>
    <s v="El Espejo III"/>
    <x v="1"/>
    <n v="7.9254265559300832"/>
  </r>
  <r>
    <x v="9"/>
    <s v="El Espejo III"/>
    <x v="1"/>
    <n v="215.13652967713489"/>
  </r>
  <r>
    <x v="10"/>
    <s v="El Espejo III"/>
    <x v="1"/>
    <n v="23.033185885394573"/>
  </r>
  <r>
    <x v="11"/>
    <s v="El Espejo III"/>
    <x v="1"/>
    <n v="70.833042168440826"/>
  </r>
  <r>
    <x v="12"/>
    <s v="El Espejo III"/>
    <x v="1"/>
    <n v="59.57124480054329"/>
  </r>
  <r>
    <x v="13"/>
    <s v="El Espejo III"/>
    <x v="1"/>
    <n v="41.856154453192374"/>
  </r>
  <r>
    <x v="14"/>
    <s v="El Espejo III"/>
    <x v="1"/>
    <n v="113.92776549073184"/>
  </r>
  <r>
    <x v="15"/>
    <s v="El Espejo III"/>
    <x v="1"/>
    <n v="7.9261151366661471"/>
  </r>
  <r>
    <x v="16"/>
    <s v="El Espejo III"/>
    <x v="1"/>
    <n v="57.699435199767258"/>
  </r>
  <r>
    <x v="17"/>
    <s v="El Espejo III"/>
    <x v="1"/>
    <n v="25.76050646779937"/>
  </r>
  <r>
    <x v="0"/>
    <s v="El Espejo III"/>
    <x v="0"/>
    <n v="216.41016591670132"/>
  </r>
  <r>
    <x v="1"/>
    <s v="El Espejo III"/>
    <x v="0"/>
    <n v="46.26065401507055"/>
  </r>
  <r>
    <x v="2"/>
    <s v="El Espejo III"/>
    <x v="0"/>
    <n v="33.141379110662143"/>
  </r>
  <r>
    <x v="3"/>
    <s v="El Espejo III"/>
    <x v="0"/>
    <n v="2.6568867155664218"/>
  </r>
  <r>
    <x v="4"/>
    <s v="El Espejo III"/>
    <x v="0"/>
    <n v="57.33367468471377"/>
  </r>
  <r>
    <x v="5"/>
    <s v="El Espejo III"/>
    <x v="0"/>
    <n v="98.836975022114942"/>
  </r>
  <r>
    <x v="6"/>
    <s v="El Espejo III"/>
    <x v="0"/>
    <n v="39.713490466387555"/>
  </r>
  <r>
    <x v="7"/>
    <s v="El Espejo III"/>
    <x v="0"/>
    <n v="13.983591514499954"/>
  </r>
  <r>
    <x v="8"/>
    <s v="El Espejo III"/>
    <x v="0"/>
    <n v="4.4747541439343923"/>
  </r>
  <r>
    <x v="9"/>
    <s v="El Espejo III"/>
    <x v="0"/>
    <n v="121.46766749912157"/>
  </r>
  <r>
    <x v="10"/>
    <s v="El Espejo III"/>
    <x v="0"/>
    <n v="13.004706215031611"/>
  </r>
  <r>
    <x v="11"/>
    <s v="El Espejo III"/>
    <x v="0"/>
    <n v="39.992856754637288"/>
  </r>
  <r>
    <x v="12"/>
    <s v="El Espejo III"/>
    <x v="0"/>
    <n v="33.634363103283896"/>
  </r>
  <r>
    <x v="13"/>
    <s v="El Espejo III"/>
    <x v="0"/>
    <n v="23.632292756336145"/>
  </r>
  <r>
    <x v="14"/>
    <s v="El Espejo III"/>
    <x v="0"/>
    <n v="64.32445460710106"/>
  </r>
  <r>
    <x v="15"/>
    <s v="El Espejo III"/>
    <x v="0"/>
    <n v="4.4751429216841299"/>
  </r>
  <r>
    <x v="16"/>
    <s v="El Espejo III"/>
    <x v="0"/>
    <n v="32.577525631051998"/>
  </r>
  <r>
    <x v="17"/>
    <s v="El Espejo III"/>
    <x v="0"/>
    <n v="14.544571481819288"/>
  </r>
  <r>
    <x v="0"/>
    <s v="El Espejo III"/>
    <x v="2"/>
    <n v="89.113528366336013"/>
  </r>
  <r>
    <x v="1"/>
    <s v="El Espejo III"/>
    <x v="2"/>
    <n v="19.049244227297628"/>
  </r>
  <r>
    <x v="2"/>
    <s v="El Espejo III"/>
    <x v="2"/>
    <n v="13.646980098958299"/>
  </r>
  <r>
    <x v="3"/>
    <s v="El Espejo III"/>
    <x v="2"/>
    <n v="1.094054656308997"/>
  </r>
  <r>
    <x v="4"/>
    <s v="El Espejo III"/>
    <x v="2"/>
    <n v="23.608900366210666"/>
  </r>
  <r>
    <x v="5"/>
    <s v="El Espejo III"/>
    <x v="2"/>
    <n v="40.699158193272069"/>
  </r>
  <r>
    <x v="6"/>
    <s v="El Espejo III"/>
    <x v="2"/>
    <n v="16.353248675780073"/>
  </r>
  <r>
    <x v="7"/>
    <s v="El Espejo III"/>
    <x v="2"/>
    <n v="5.7581730221042173"/>
  </r>
  <r>
    <x v="8"/>
    <s v="El Espejo III"/>
    <x v="2"/>
    <n v="1.8426173680369742"/>
  </r>
  <r>
    <x v="9"/>
    <s v="El Espejo III"/>
    <x v="2"/>
    <n v="50.01804045306298"/>
  </r>
  <r>
    <x v="10"/>
    <s v="El Espejo III"/>
    <x v="2"/>
    <n v="5.3550869538871719"/>
  </r>
  <r>
    <x v="11"/>
    <s v="El Espejo III"/>
    <x v="2"/>
    <n v="16.468286319908692"/>
  </r>
  <r>
    <x v="12"/>
    <s v="El Espejo III"/>
    <x v="2"/>
    <n v="13.849981389699687"/>
  </r>
  <r>
    <x v="13"/>
    <s v="El Espejo III"/>
    <x v="2"/>
    <n v="9.7313219181853228"/>
  </r>
  <r>
    <x v="14"/>
    <s v="El Espejo III"/>
    <x v="2"/>
    <n v="26.487568576077763"/>
  </r>
  <r>
    <x v="15"/>
    <s v="El Espejo III"/>
    <x v="2"/>
    <n v="1.8427774592086745"/>
  </r>
  <r>
    <x v="16"/>
    <s v="El Espejo III"/>
    <x v="2"/>
    <n v="13.414796121662905"/>
  </r>
  <r>
    <x v="17"/>
    <s v="El Espejo III"/>
    <x v="2"/>
    <n v="5.9891737425135325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x v="0"/>
    <s v="El Espejo I"/>
    <s v="Flame"/>
    <s v="2019"/>
    <n v="541.91666666666663"/>
    <x v="0"/>
  </r>
  <r>
    <x v="1"/>
    <s v="El Espejo I"/>
    <s v="Flame"/>
    <s v="2019"/>
    <n v="541.91666666666663"/>
    <x v="0"/>
  </r>
  <r>
    <x v="2"/>
    <s v="El Espejo I"/>
    <s v="Flame"/>
    <s v="2019"/>
    <n v="130.06"/>
    <x v="0"/>
  </r>
  <r>
    <x v="3"/>
    <s v="El Espejo I"/>
    <s v="Flame"/>
    <s v="2019"/>
    <n v="130.06"/>
    <x v="0"/>
  </r>
  <r>
    <x v="4"/>
    <s v="El Espejo I"/>
    <s v="Flame"/>
    <s v="2019"/>
    <n v="65.03"/>
    <x v="0"/>
  </r>
  <r>
    <x v="5"/>
    <s v="El Espejo I"/>
    <s v="Flame"/>
    <s v="2019"/>
    <n v="130.06"/>
    <x v="0"/>
  </r>
  <r>
    <x v="6"/>
    <s v="El Espejo I"/>
    <s v="Flame"/>
    <s v="2019"/>
    <n v="650.29999999999995"/>
    <x v="0"/>
  </r>
  <r>
    <x v="7"/>
    <s v="El Espejo I"/>
    <s v="Flame"/>
    <s v="2019"/>
    <n v="0.77644330937021289"/>
    <x v="0"/>
  </r>
  <r>
    <x v="8"/>
    <s v="El Espejo I"/>
    <s v="Flame"/>
    <s v="2019"/>
    <n v="8.5979850331861343"/>
    <x v="0"/>
  </r>
  <r>
    <x v="9"/>
    <s v="El Espejo I"/>
    <s v="Flame"/>
    <s v="2019"/>
    <n v="30.801049905342147"/>
    <x v="0"/>
  </r>
  <r>
    <x v="0"/>
    <s v="El Espejo I"/>
    <s v="Flame"/>
    <s v="2020"/>
    <n v="88.412522471978647"/>
    <x v="1"/>
  </r>
  <r>
    <x v="1"/>
    <s v="El Espejo I"/>
    <s v="Flame"/>
    <s v="2020"/>
    <n v="58.94168164798576"/>
    <x v="1"/>
  </r>
  <r>
    <x v="2"/>
    <s v="El Espejo I"/>
    <s v="Flame"/>
    <s v="2020"/>
    <n v="581.80246913580243"/>
    <x v="1"/>
  </r>
  <r>
    <x v="3"/>
    <s v="El Espejo I"/>
    <s v="Flame"/>
    <s v="2020"/>
    <n v="175.18959107806691"/>
    <x v="1"/>
  </r>
  <r>
    <x v="4"/>
    <s v="El Espejo I"/>
    <s v="Flame"/>
    <s v="2020"/>
    <n v="0"/>
    <x v="1"/>
  </r>
  <r>
    <x v="5"/>
    <s v="El Espejo I"/>
    <s v="Flame"/>
    <s v="2020"/>
    <n v="235.63"/>
    <x v="1"/>
  </r>
  <r>
    <x v="6"/>
    <s v="El Espejo I"/>
    <s v="Flame"/>
    <s v="2020"/>
    <n v="0"/>
    <x v="1"/>
  </r>
  <r>
    <x v="7"/>
    <s v="El Espejo I"/>
    <s v="Flame"/>
    <s v="2020"/>
    <n v="0.56267364904475858"/>
    <x v="1"/>
  </r>
  <r>
    <x v="8"/>
    <s v="El Espejo I"/>
    <s v="Flame"/>
    <s v="2020"/>
    <n v="6.2307956739032706"/>
    <x v="1"/>
  </r>
  <r>
    <x v="9"/>
    <s v="El Espejo I"/>
    <s v="Flame"/>
    <s v="2020"/>
    <n v="22.32093307456795"/>
    <x v="1"/>
  </r>
  <r>
    <x v="0"/>
    <s v="El Espejo II"/>
    <s v="Fiesta"/>
    <s v="2020"/>
    <n v="393.7166666666667"/>
    <x v="2"/>
  </r>
  <r>
    <x v="1"/>
    <s v="El Espejo II"/>
    <s v="Fiesta"/>
    <s v="2020"/>
    <n v="393.7166666666667"/>
    <x v="2"/>
  </r>
  <r>
    <x v="2"/>
    <s v="El Espejo II"/>
    <s v="Fiesta"/>
    <s v="2020"/>
    <n v="363.43076923076922"/>
    <x v="2"/>
  </r>
  <r>
    <x v="3"/>
    <s v="El Espejo II"/>
    <s v="Fiesta"/>
    <s v="2020"/>
    <n v="168.92780952380951"/>
    <x v="2"/>
  </r>
  <r>
    <x v="4"/>
    <s v="El Espejo II"/>
    <s v="Fiesta"/>
    <s v="2020"/>
    <n v="47.245999999999995"/>
    <x v="2"/>
  </r>
  <r>
    <x v="5"/>
    <s v="El Espejo II"/>
    <s v="Fiesta"/>
    <s v="2020"/>
    <n v="94.49199999999999"/>
    <x v="2"/>
  </r>
  <r>
    <x v="6"/>
    <s v="El Espejo II"/>
    <s v="Fiesta"/>
    <s v="2020"/>
    <n v="472.46000000000004"/>
    <x v="2"/>
  </r>
  <r>
    <x v="7"/>
    <s v="El Espejo II"/>
    <s v="Fiesta"/>
    <s v="2020"/>
    <n v="0.56410642156704727"/>
    <x v="2"/>
  </r>
  <r>
    <x v="8"/>
    <s v="El Espejo II"/>
    <s v="Fiesta"/>
    <s v="2020"/>
    <n v="6.2466615543274182"/>
    <x v="2"/>
  </r>
  <r>
    <x v="9"/>
    <s v="El Espejo II"/>
    <s v="Fiesta"/>
    <s v="2020"/>
    <n v="22.377770318742037"/>
    <x v="2"/>
  </r>
  <r>
    <x v="0"/>
    <s v="El Espejo II"/>
    <s v="Flame"/>
    <s v="2019"/>
    <n v="401.73333333333335"/>
    <x v="0"/>
  </r>
  <r>
    <x v="1"/>
    <s v="El Espejo II"/>
    <s v="Flame"/>
    <s v="2019"/>
    <n v="401.73333333333335"/>
    <x v="0"/>
  </r>
  <r>
    <x v="2"/>
    <s v="El Espejo II"/>
    <s v="Flame"/>
    <s v="2019"/>
    <n v="370.83076923076925"/>
    <x v="0"/>
  </r>
  <r>
    <x v="3"/>
    <s v="El Espejo II"/>
    <s v="Flame"/>
    <s v="2019"/>
    <n v="192.83199999999999"/>
    <x v="0"/>
  </r>
  <r>
    <x v="4"/>
    <s v="El Espejo II"/>
    <s v="Flame"/>
    <s v="2019"/>
    <n v="48.207999999999998"/>
    <x v="0"/>
  </r>
  <r>
    <x v="5"/>
    <s v="El Espejo II"/>
    <s v="Flame"/>
    <s v="2019"/>
    <n v="96.415999999999997"/>
    <x v="0"/>
  </r>
  <r>
    <x v="6"/>
    <s v="El Espejo II"/>
    <s v="Flame"/>
    <s v="2019"/>
    <n v="482.08"/>
    <x v="0"/>
  </r>
  <r>
    <x v="7"/>
    <s v="El Espejo II"/>
    <s v="Flame"/>
    <s v="2019"/>
    <n v="0.57559248128739393"/>
    <x v="0"/>
  </r>
  <r>
    <x v="8"/>
    <s v="El Espejo II"/>
    <s v="Flame"/>
    <s v="2019"/>
    <n v="6.3738530290610047"/>
    <x v="0"/>
  </r>
  <r>
    <x v="9"/>
    <s v="El Espejo II"/>
    <s v="Flame"/>
    <s v="2019"/>
    <n v="22.833415559537659"/>
    <x v="0"/>
  </r>
  <r>
    <x v="0"/>
    <s v="El Espejo II"/>
    <s v="Selma"/>
    <s v="2019"/>
    <n v="803.4666666666667"/>
    <x v="3"/>
  </r>
  <r>
    <x v="1"/>
    <s v="El Espejo II"/>
    <s v="Selma"/>
    <s v="2019"/>
    <n v="803.4666666666667"/>
    <x v="3"/>
  </r>
  <r>
    <x v="2"/>
    <s v="El Espejo II"/>
    <s v="Selma"/>
    <s v="2019"/>
    <n v="741.66153846153861"/>
    <x v="3"/>
  </r>
  <r>
    <x v="3"/>
    <s v="El Espejo II"/>
    <s v="Selma"/>
    <s v="2019"/>
    <n v="385.66399999999999"/>
    <x v="3"/>
  </r>
  <r>
    <x v="4"/>
    <s v="El Espejo II"/>
    <s v="Selma"/>
    <s v="2019"/>
    <n v="96.415999999999997"/>
    <x v="3"/>
  </r>
  <r>
    <x v="5"/>
    <s v="El Espejo II"/>
    <s v="Selma"/>
    <s v="2019"/>
    <n v="192.83199999999999"/>
    <x v="3"/>
  </r>
  <r>
    <x v="6"/>
    <s v="El Espejo II"/>
    <s v="Selma"/>
    <s v="2019"/>
    <n v="964.16"/>
    <x v="3"/>
  </r>
  <r>
    <x v="7"/>
    <s v="El Espejo II"/>
    <s v="Selma"/>
    <s v="2019"/>
    <n v="1.1511849625747879"/>
    <x v="3"/>
  </r>
  <r>
    <x v="8"/>
    <s v="El Espejo II"/>
    <s v="Selma"/>
    <s v="2019"/>
    <n v="12.747706058122008"/>
    <x v="3"/>
  </r>
  <r>
    <x v="9"/>
    <s v="El Espejo II"/>
    <s v="Selma"/>
    <s v="2019"/>
    <n v="45.666831119075319"/>
    <x v="3"/>
  </r>
  <r>
    <x v="0"/>
    <s v="El Espejo III"/>
    <s v="Fiesta"/>
    <s v="2021"/>
    <n v="461.89333333333326"/>
    <x v="4"/>
  </r>
  <r>
    <x v="1"/>
    <s v="El Espejo III"/>
    <s v="Fiesta"/>
    <s v="2021"/>
    <n v="307.92888888888888"/>
    <x v="4"/>
  </r>
  <r>
    <x v="2"/>
    <s v="El Espejo III"/>
    <s v="Fiesta"/>
    <s v="2021"/>
    <n v="701.75384615384598"/>
    <x v="4"/>
  </r>
  <r>
    <x v="3"/>
    <s v="El Espejo III"/>
    <s v="Fiesta"/>
    <s v="2021"/>
    <n v="182.45600000000002"/>
    <x v="4"/>
  </r>
  <r>
    <x v="4"/>
    <s v="El Espejo III"/>
    <s v="Fiesta"/>
    <s v="2021"/>
    <n v="11.972"/>
    <x v="4"/>
  </r>
  <r>
    <x v="5"/>
    <s v="El Espejo III"/>
    <s v="Fiesta"/>
    <s v="2021"/>
    <n v="182.45600000000002"/>
    <x v="4"/>
  </r>
  <r>
    <x v="6"/>
    <s v="El Espejo III"/>
    <s v="Fiesta"/>
    <s v="2021"/>
    <n v="552.46400000000006"/>
    <x v="4"/>
  </r>
  <r>
    <x v="7"/>
    <s v="El Espejo III"/>
    <s v="Fiesta"/>
    <s v="2021"/>
    <n v="0.90701596865601464"/>
    <x v="4"/>
  </r>
  <r>
    <x v="8"/>
    <s v="El Espejo III"/>
    <s v="Fiesta"/>
    <s v="2021"/>
    <n v="9.9549219727829517"/>
    <x v="4"/>
  </r>
  <r>
    <x v="9"/>
    <s v="El Espejo III"/>
    <s v="Fiesta"/>
    <s v="2021"/>
    <n v="35.662977559649548"/>
    <x v="4"/>
  </r>
  <r>
    <x v="0"/>
    <s v="El Espejo III"/>
    <s v="Flame"/>
    <s v="2021"/>
    <n v="228.83166666666665"/>
    <x v="5"/>
  </r>
  <r>
    <x v="1"/>
    <s v="El Espejo III"/>
    <s v="Flame"/>
    <s v="2021"/>
    <n v="152.55444444444444"/>
    <x v="5"/>
  </r>
  <r>
    <x v="2"/>
    <s v="El Espejo III"/>
    <s v="Flame"/>
    <s v="2021"/>
    <n v="396.21538461538461"/>
    <x v="5"/>
  </r>
  <r>
    <x v="3"/>
    <s v="El Espejo III"/>
    <s v="Flame"/>
    <s v="2021"/>
    <n v="103.01599999999999"/>
    <x v="5"/>
  </r>
  <r>
    <x v="4"/>
    <s v="El Espejo III"/>
    <s v="Flame"/>
    <s v="2021"/>
    <n v="0"/>
    <x v="5"/>
  </r>
  <r>
    <x v="5"/>
    <s v="El Espejo III"/>
    <s v="Flame"/>
    <s v="2021"/>
    <n v="103.01599999999999"/>
    <x v="5"/>
  </r>
  <r>
    <x v="6"/>
    <s v="El Espejo III"/>
    <s v="Flame"/>
    <s v="2021"/>
    <n v="263.00333333333333"/>
    <x v="5"/>
  </r>
  <r>
    <x v="7"/>
    <s v="El Espejo III"/>
    <s v="Flame"/>
    <s v="2021"/>
    <n v="0.51210788917365269"/>
    <x v="5"/>
  </r>
  <r>
    <x v="8"/>
    <s v="El Espejo III"/>
    <s v="Flame"/>
    <s v="2021"/>
    <n v="5.6206221880793663"/>
    <x v="5"/>
  </r>
  <r>
    <x v="9"/>
    <s v="El Espejo III"/>
    <s v="Flame"/>
    <s v="2021"/>
    <n v="20.135579516622403"/>
    <x v="5"/>
  </r>
  <r>
    <x v="0"/>
    <s v="El Espejo III"/>
    <s v="Selma"/>
    <s v="2021"/>
    <n v="70.7"/>
    <x v="6"/>
  </r>
  <r>
    <x v="1"/>
    <s v="El Espejo III"/>
    <s v="Selma"/>
    <s v="2021"/>
    <n v="47.133333333333333"/>
    <x v="6"/>
  </r>
  <r>
    <x v="2"/>
    <s v="El Espejo III"/>
    <s v="Selma"/>
    <s v="2021"/>
    <n v="163.15384615384613"/>
    <x v="6"/>
  </r>
  <r>
    <x v="3"/>
    <s v="El Espejo III"/>
    <s v="Selma"/>
    <s v="2021"/>
    <n v="42.42"/>
    <x v="6"/>
  </r>
  <r>
    <x v="4"/>
    <s v="El Espejo III"/>
    <s v="Selma"/>
    <s v="2021"/>
    <n v="0"/>
    <x v="6"/>
  </r>
  <r>
    <x v="5"/>
    <s v="El Espejo III"/>
    <s v="Selma"/>
    <s v="2021"/>
    <n v="42.42"/>
    <x v="6"/>
  </r>
  <r>
    <x v="6"/>
    <s v="El Espejo III"/>
    <s v="Selma"/>
    <s v="2021"/>
    <n v="42.42"/>
    <x v="6"/>
  </r>
  <r>
    <x v="7"/>
    <s v="El Espejo III"/>
    <s v="Selma"/>
    <s v="2021"/>
    <n v="0.21087614214050585"/>
    <x v="6"/>
  </r>
  <r>
    <x v="8"/>
    <s v="El Espejo III"/>
    <s v="Selma"/>
    <s v="2021"/>
    <n v="2.3144637067865834"/>
    <x v="6"/>
  </r>
  <r>
    <x v="9"/>
    <s v="El Espejo III"/>
    <s v="Selma"/>
    <s v="2021"/>
    <n v="8.2914429127040705"/>
    <x v="6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4">
  <r>
    <x v="0"/>
    <x v="0"/>
    <n v="2837.4809224850992"/>
    <x v="0"/>
    <x v="0"/>
    <n v="3197840.9996407069"/>
  </r>
  <r>
    <x v="0"/>
    <x v="1"/>
    <n v="8014.3943811013069"/>
    <x v="0"/>
    <x v="0"/>
    <n v="9122544.6921761837"/>
  </r>
  <r>
    <x v="0"/>
    <x v="2"/>
    <n v="5604.4874688482205"/>
    <x v="0"/>
    <x v="0"/>
    <n v="6443214.1506775226"/>
  </r>
  <r>
    <x v="0"/>
    <x v="3"/>
    <n v="8076.4774048821519"/>
    <x v="0"/>
    <x v="0"/>
    <n v="9377995.4955618773"/>
  </r>
  <r>
    <x v="0"/>
    <x v="4"/>
    <n v="1965.2233812542279"/>
    <x v="0"/>
    <x v="0"/>
    <n v="2304736.78612593"/>
  </r>
  <r>
    <x v="0"/>
    <x v="5"/>
    <n v="2116.0944848195732"/>
    <x v="0"/>
    <x v="0"/>
    <n v="2506489.2149608857"/>
  </r>
  <r>
    <x v="0"/>
    <x v="6"/>
    <n v="2705.0098072276742"/>
    <x v="0"/>
    <x v="0"/>
    <n v="3236093.0650245817"/>
  </r>
  <r>
    <x v="0"/>
    <x v="7"/>
    <n v="1767.4623877772551"/>
    <x v="0"/>
    <x v="0"/>
    <n v="2135618.690956308"/>
  </r>
  <r>
    <x v="0"/>
    <x v="8"/>
    <n v="1253.9970642520209"/>
    <x v="0"/>
    <x v="0"/>
    <n v="1530352.3193558571"/>
  </r>
  <r>
    <x v="0"/>
    <x v="9"/>
    <n v="5914.3557528967758"/>
    <x v="0"/>
    <x v="0"/>
    <n v="7289936.1449728506"/>
  </r>
  <r>
    <x v="0"/>
    <x v="10"/>
    <n v="5416.7660184316546"/>
    <x v="0"/>
    <x v="0"/>
    <n v="6743381.5003363276"/>
  </r>
  <r>
    <x v="0"/>
    <x v="11"/>
    <n v="2045.6973406909235"/>
    <x v="0"/>
    <x v="0"/>
    <n v="2572174.3806392946"/>
  </r>
  <r>
    <x v="1"/>
    <x v="0"/>
    <n v="1127"/>
    <x v="0"/>
    <x v="1"/>
    <n v="1270129"/>
  </r>
  <r>
    <x v="1"/>
    <x v="1"/>
    <n v="1138.27"/>
    <x v="0"/>
    <x v="1"/>
    <n v="1295658.5929"/>
  </r>
  <r>
    <x v="1"/>
    <x v="2"/>
    <n v="1149.6527000000001"/>
    <x v="0"/>
    <x v="1"/>
    <n v="1321701.3306172902"/>
  </r>
  <r>
    <x v="1"/>
    <x v="3"/>
    <n v="1161.1492270000001"/>
    <x v="0"/>
    <x v="1"/>
    <n v="1348267.5273626978"/>
  </r>
  <r>
    <x v="1"/>
    <x v="4"/>
    <n v="1172.7607192700002"/>
    <x v="0"/>
    <x v="1"/>
    <n v="1375367.7046626883"/>
  </r>
  <r>
    <x v="1"/>
    <x v="5"/>
    <n v="1184.4883264626999"/>
    <x v="0"/>
    <x v="1"/>
    <n v="1403012.5955264077"/>
  </r>
  <r>
    <x v="1"/>
    <x v="6"/>
    <n v="1196.3332097273271"/>
    <x v="0"/>
    <x v="1"/>
    <n v="1431213.1486964889"/>
  </r>
  <r>
    <x v="1"/>
    <x v="7"/>
    <n v="1208.2965418246004"/>
    <x v="0"/>
    <x v="1"/>
    <n v="1459980.5329852882"/>
  </r>
  <r>
    <x v="1"/>
    <x v="8"/>
    <n v="1220.3795072428463"/>
    <x v="0"/>
    <x v="1"/>
    <n v="1489326.1416982925"/>
  </r>
  <r>
    <x v="1"/>
    <x v="9"/>
    <n v="1232.5833023152748"/>
    <x v="0"/>
    <x v="1"/>
    <n v="1519261.597146428"/>
  </r>
  <r>
    <x v="1"/>
    <x v="10"/>
    <n v="1244.9091353384274"/>
    <x v="0"/>
    <x v="1"/>
    <n v="1549798.7552490709"/>
  </r>
  <r>
    <x v="1"/>
    <x v="11"/>
    <n v="1257.3582266918118"/>
    <x v="0"/>
    <x v="1"/>
    <n v="1580949.7102295775"/>
  </r>
  <r>
    <x v="0"/>
    <x v="0"/>
    <n v="2837.7217527657804"/>
    <x v="1"/>
    <x v="0"/>
    <n v="3198112.4153670343"/>
  </r>
  <r>
    <x v="0"/>
    <x v="1"/>
    <n v="4625.1426358417584"/>
    <x v="1"/>
    <x v="0"/>
    <n v="5264661.1080995984"/>
  </r>
  <r>
    <x v="0"/>
    <x v="2"/>
    <n v="3802.7777375880569"/>
    <x v="1"/>
    <x v="0"/>
    <n v="4371873.6935180016"/>
  </r>
  <r>
    <x v="0"/>
    <x v="3"/>
    <n v="4577.0280006001649"/>
    <x v="1"/>
    <x v="0"/>
    <n v="5314612.5248542372"/>
  </r>
  <r>
    <x v="0"/>
    <x v="4"/>
    <n v="1210.4122753542283"/>
    <x v="1"/>
    <x v="0"/>
    <n v="1419523.9706576623"/>
  </r>
  <r>
    <x v="0"/>
    <x v="5"/>
    <n v="4189.9486526567061"/>
    <x v="1"/>
    <x v="0"/>
    <n v="4962945.267549987"/>
  </r>
  <r>
    <x v="0"/>
    <x v="6"/>
    <n v="6209.1928450665328"/>
    <x v="1"/>
    <x v="0"/>
    <n v="7428263.606154399"/>
  </r>
  <r>
    <x v="0"/>
    <x v="7"/>
    <n v="4774.5487607920977"/>
    <x v="1"/>
    <x v="0"/>
    <n v="5769070.7564380225"/>
  </r>
  <r>
    <x v="0"/>
    <x v="8"/>
    <n v="772.93901179744739"/>
    <x v="1"/>
    <x v="0"/>
    <n v="943278.93034614145"/>
  </r>
  <r>
    <x v="0"/>
    <x v="9"/>
    <n v="3512.8238979494954"/>
    <x v="1"/>
    <x v="0"/>
    <n v="4329848.0805866048"/>
  </r>
  <r>
    <x v="0"/>
    <x v="10"/>
    <n v="3662.0176055248858"/>
    <x v="1"/>
    <x v="0"/>
    <n v="4558879.170888084"/>
  </r>
  <r>
    <x v="0"/>
    <x v="11"/>
    <n v="433.97841109027161"/>
    <x v="1"/>
    <x v="0"/>
    <n v="545666.32539099397"/>
  </r>
  <r>
    <x v="1"/>
    <x v="0"/>
    <n v="76.302567817958135"/>
    <x v="1"/>
    <x v="1"/>
    <n v="85992.993930838813"/>
  </r>
  <r>
    <x v="1"/>
    <x v="1"/>
    <n v="73.474579755821367"/>
    <x v="1"/>
    <x v="1"/>
    <n v="83633.909898658792"/>
  </r>
  <r>
    <x v="1"/>
    <x v="2"/>
    <n v="55.962477052930275"/>
    <x v="1"/>
    <x v="1"/>
    <n v="64337.412842589336"/>
  </r>
  <r>
    <x v="1"/>
    <x v="3"/>
    <n v="339.191834259568"/>
    <x v="1"/>
    <x v="1"/>
    <n v="393852.33615520952"/>
  </r>
  <r>
    <x v="1"/>
    <x v="4"/>
    <n v="458.35813631386623"/>
    <x v="1"/>
    <x v="1"/>
    <n v="537544.41762670653"/>
  </r>
  <r>
    <x v="1"/>
    <x v="5"/>
    <n v="399.49461994460506"/>
    <x v="1"/>
    <x v="1"/>
    <n v="473196.7138090377"/>
  </r>
  <r>
    <x v="1"/>
    <x v="6"/>
    <n v="440.80657411585611"/>
    <x v="1"/>
    <x v="1"/>
    <n v="527351.54368092911"/>
  </r>
  <r>
    <x v="1"/>
    <x v="7"/>
    <n v="145.93230839661973"/>
    <x v="1"/>
    <x v="1"/>
    <n v="176329.50357611672"/>
  </r>
  <r>
    <x v="1"/>
    <x v="8"/>
    <n v="120.28680771427398"/>
    <x v="1"/>
    <x v="1"/>
    <n v="146795.55512616067"/>
  </r>
  <r>
    <x v="1"/>
    <x v="9"/>
    <n v="584.5185212375568"/>
    <x v="1"/>
    <x v="1"/>
    <n v="720467.76917142887"/>
  </r>
  <r>
    <x v="1"/>
    <x v="10"/>
    <n v="196.9634235757772"/>
    <x v="1"/>
    <x v="1"/>
    <n v="245201.56533701721"/>
  </r>
  <r>
    <x v="1"/>
    <x v="11"/>
    <n v="115.47893485938263"/>
    <x v="1"/>
    <x v="1"/>
    <n v="145198.38875505258"/>
  </r>
  <r>
    <x v="0"/>
    <x v="0"/>
    <n v="2621.7962228210909"/>
    <x v="2"/>
    <x v="0"/>
    <n v="2954764.3431193694"/>
  </r>
  <r>
    <x v="0"/>
    <x v="1"/>
    <n v="2941.6714042450376"/>
    <x v="2"/>
    <x v="0"/>
    <n v="3348416.309309999"/>
  </r>
  <r>
    <x v="0"/>
    <x v="2"/>
    <n v="2762.1808658266077"/>
    <x v="2"/>
    <x v="0"/>
    <n v="3175548.6902858973"/>
  </r>
  <r>
    <x v="0"/>
    <x v="3"/>
    <n v="4135.9622526684125"/>
    <x v="2"/>
    <x v="0"/>
    <n v="4802469.3725871062"/>
  </r>
  <r>
    <x v="0"/>
    <x v="4"/>
    <n v="646.1945750987968"/>
    <x v="2"/>
    <x v="0"/>
    <n v="757831.61468123714"/>
  </r>
  <r>
    <x v="0"/>
    <x v="5"/>
    <n v="4951.2245746736726"/>
    <x v="2"/>
    <x v="0"/>
    <n v="5864667.7103962125"/>
  </r>
  <r>
    <x v="0"/>
    <x v="6"/>
    <n v="2984.0683723515431"/>
    <x v="2"/>
    <x v="0"/>
    <n v="3569940.0939411223"/>
  </r>
  <r>
    <x v="0"/>
    <x v="7"/>
    <n v="2994.587335219283"/>
    <x v="2"/>
    <x v="0"/>
    <n v="3618349.5213372051"/>
  </r>
  <r>
    <x v="0"/>
    <x v="8"/>
    <n v="394.61821531168249"/>
    <x v="2"/>
    <x v="0"/>
    <n v="481583.98315112252"/>
  </r>
  <r>
    <x v="0"/>
    <x v="9"/>
    <n v="1555.658647686407"/>
    <x v="2"/>
    <x v="0"/>
    <n v="1917478.8732406262"/>
  </r>
  <r>
    <x v="0"/>
    <x v="10"/>
    <n v="2026.3185428455213"/>
    <x v="2"/>
    <x v="0"/>
    <n v="2522582.4650940401"/>
  </r>
  <r>
    <x v="0"/>
    <x v="11"/>
    <n v="561.08574110272116"/>
    <x v="2"/>
    <x v="0"/>
    <n v="705485.77245497843"/>
  </r>
  <r>
    <x v="1"/>
    <x v="0"/>
    <n v="39.883577774227199"/>
    <x v="2"/>
    <x v="1"/>
    <n v="44948.792151554051"/>
  </r>
  <r>
    <x v="1"/>
    <x v="1"/>
    <n v="39.1242967232117"/>
    <x v="2"/>
    <x v="1"/>
    <n v="44534.013231130179"/>
  </r>
  <r>
    <x v="1"/>
    <x v="2"/>
    <n v="34.422506102604956"/>
    <x v="2"/>
    <x v="1"/>
    <n v="39573.927081626265"/>
  </r>
  <r>
    <x v="1"/>
    <x v="3"/>
    <n v="258.16990080578177"/>
    <x v="2"/>
    <x v="1"/>
    <n v="299773.78075530019"/>
  </r>
  <r>
    <x v="1"/>
    <x v="4"/>
    <n v="305.87933411669889"/>
    <x v="2"/>
    <x v="1"/>
    <n v="358723.26788852853"/>
  </r>
  <r>
    <x v="1"/>
    <x v="5"/>
    <n v="283.55713792295899"/>
    <x v="2"/>
    <x v="1"/>
    <n v="335870.11975491873"/>
  </r>
  <r>
    <x v="1"/>
    <x v="6"/>
    <n v="192.94707802712571"/>
    <x v="2"/>
    <x v="1"/>
    <n v="230828.99716370035"/>
  </r>
  <r>
    <x v="1"/>
    <x v="7"/>
    <n v="50.686387889794922"/>
    <x v="2"/>
    <x v="1"/>
    <n v="61244.187204819507"/>
  </r>
  <r>
    <x v="1"/>
    <x v="8"/>
    <n v="61.065750329504922"/>
    <x v="2"/>
    <x v="1"/>
    <n v="74523.390296535901"/>
  </r>
  <r>
    <x v="1"/>
    <x v="9"/>
    <n v="250.27787898222385"/>
    <x v="2"/>
    <x v="1"/>
    <n v="308488.3345723722"/>
  </r>
  <r>
    <x v="1"/>
    <x v="10"/>
    <n v="91.025435744679868"/>
    <x v="2"/>
    <x v="1"/>
    <n v="113318.39650671299"/>
  </r>
  <r>
    <x v="1"/>
    <x v="11"/>
    <n v="311.46695263015698"/>
    <x v="2"/>
    <x v="1"/>
    <n v="391625.53523215669"/>
  </r>
  <r>
    <x v="0"/>
    <x v="0"/>
    <n v="3183.9696044591574"/>
    <x v="3"/>
    <x v="0"/>
    <n v="3588333.7442254703"/>
  </r>
  <r>
    <x v="0"/>
    <x v="1"/>
    <n v="23511.989343094931"/>
    <x v="3"/>
    <x v="0"/>
    <n v="26762992.109564666"/>
  </r>
  <r>
    <x v="0"/>
    <x v="2"/>
    <n v="23024.231973970014"/>
    <x v="3"/>
    <x v="0"/>
    <n v="26469870.454300959"/>
  </r>
  <r>
    <x v="0"/>
    <x v="3"/>
    <n v="27309.879192169265"/>
    <x v="3"/>
    <x v="0"/>
    <n v="31710845.113450728"/>
  </r>
  <r>
    <x v="0"/>
    <x v="4"/>
    <n v="19691.150177463609"/>
    <x v="3"/>
    <x v="0"/>
    <n v="23093007.445375815"/>
  </r>
  <r>
    <x v="0"/>
    <x v="5"/>
    <n v="22856.588779142709"/>
    <x v="3"/>
    <x v="0"/>
    <n v="27073362.591652878"/>
  </r>
  <r>
    <x v="0"/>
    <x v="6"/>
    <n v="33693.482063275966"/>
    <x v="3"/>
    <x v="0"/>
    <n v="40308631.543649063"/>
  </r>
  <r>
    <x v="0"/>
    <x v="7"/>
    <n v="32636.924102461799"/>
    <x v="3"/>
    <x v="0"/>
    <n v="39435082.528796539"/>
  </r>
  <r>
    <x v="0"/>
    <x v="8"/>
    <n v="5074.8080984299095"/>
    <x v="3"/>
    <x v="0"/>
    <n v="6193191.806513899"/>
  </r>
  <r>
    <x v="0"/>
    <x v="9"/>
    <n v="17593.756607000541"/>
    <x v="3"/>
    <x v="0"/>
    <n v="21685770.618787911"/>
  </r>
  <r>
    <x v="0"/>
    <x v="10"/>
    <n v="18360.166239842682"/>
    <x v="3"/>
    <x v="0"/>
    <n v="22856738.678312339"/>
  </r>
  <r>
    <x v="0"/>
    <x v="11"/>
    <n v="7871.0573362712994"/>
    <x v="3"/>
    <x v="0"/>
    <n v="9896738.6945236567"/>
  </r>
  <r>
    <x v="1"/>
    <x v="0"/>
    <n v="99.858739633780331"/>
    <x v="3"/>
    <x v="1"/>
    <n v="112540.79956727043"/>
  </r>
  <r>
    <x v="1"/>
    <x v="1"/>
    <n v="1431.4006763067905"/>
    <x v="3"/>
    <x v="1"/>
    <n v="1629320.4478197305"/>
  </r>
  <r>
    <x v="1"/>
    <x v="2"/>
    <n v="1345.4258139303281"/>
    <x v="3"/>
    <x v="1"/>
    <n v="1546772.4196346994"/>
  </r>
  <r>
    <x v="1"/>
    <x v="3"/>
    <n v="2253.5351429439411"/>
    <x v="3"/>
    <x v="1"/>
    <n v="2616690.5892466921"/>
  </r>
  <r>
    <x v="1"/>
    <x v="4"/>
    <n v="952.99064035755714"/>
    <x v="3"/>
    <x v="1"/>
    <n v="1117629.9888433069"/>
  </r>
  <r>
    <x v="1"/>
    <x v="5"/>
    <n v="1209.6974928188813"/>
    <x v="3"/>
    <x v="1"/>
    <n v="1432872.5587951608"/>
  </r>
  <r>
    <x v="1"/>
    <x v="6"/>
    <n v="873.34103933629922"/>
    <x v="3"/>
    <x v="1"/>
    <n v="1044806.8887757947"/>
  </r>
  <r>
    <x v="1"/>
    <x v="7"/>
    <n v="539.29856539660352"/>
    <x v="3"/>
    <x v="1"/>
    <n v="651632.59157968417"/>
  </r>
  <r>
    <x v="1"/>
    <x v="8"/>
    <n v="215.95566324875881"/>
    <x v="3"/>
    <x v="1"/>
    <n v="263547.86590182234"/>
  </r>
  <r>
    <x v="1"/>
    <x v="9"/>
    <n v="1042.8484208237719"/>
    <x v="3"/>
    <x v="1"/>
    <n v="1285397.5503532342"/>
  </r>
  <r>
    <x v="1"/>
    <x v="10"/>
    <n v="1029.538888134103"/>
    <x v="3"/>
    <x v="1"/>
    <n v="1281682.367024312"/>
  </r>
  <r>
    <x v="1"/>
    <x v="11"/>
    <n v="109.11465780532562"/>
    <x v="3"/>
    <x v="1"/>
    <n v="137196.21264418808"/>
  </r>
  <r>
    <x v="0"/>
    <x v="0"/>
    <n v="1338.0034118160738"/>
    <x v="4"/>
    <x v="0"/>
    <n v="1507929.8451167152"/>
  </r>
  <r>
    <x v="0"/>
    <x v="1"/>
    <n v="9880.4718222138799"/>
    <x v="4"/>
    <x v="0"/>
    <n v="11246644.661071394"/>
  </r>
  <r>
    <x v="0"/>
    <x v="2"/>
    <n v="9675.5009509111005"/>
    <x v="4"/>
    <x v="0"/>
    <n v="11123465.792067515"/>
  </r>
  <r>
    <x v="0"/>
    <x v="3"/>
    <n v="11476.463683645698"/>
    <x v="4"/>
    <x v="0"/>
    <n v="13325886.934958775"/>
  </r>
  <r>
    <x v="0"/>
    <x v="4"/>
    <n v="8274.8359416277726"/>
    <x v="4"/>
    <x v="0"/>
    <n v="9704402.550744636"/>
  </r>
  <r>
    <x v="0"/>
    <x v="5"/>
    <n v="9605.0520476513011"/>
    <x v="4"/>
    <x v="0"/>
    <n v="11377072.02550962"/>
  </r>
  <r>
    <x v="0"/>
    <x v="6"/>
    <n v="14159.052867052967"/>
    <x v="4"/>
    <x v="0"/>
    <n v="16938945.16314039"/>
  </r>
  <r>
    <x v="0"/>
    <x v="7"/>
    <n v="13715.054232653025"/>
    <x v="4"/>
    <x v="0"/>
    <n v="16571852.600251498"/>
  </r>
  <r>
    <x v="0"/>
    <x v="8"/>
    <n v="2132.5927673748815"/>
    <x v="4"/>
    <x v="0"/>
    <n v="2602572.5105986157"/>
  </r>
  <r>
    <x v="0"/>
    <x v="9"/>
    <n v="7393.4456955430032"/>
    <x v="4"/>
    <x v="0"/>
    <n v="9113037.710901048"/>
  </r>
  <r>
    <x v="0"/>
    <x v="10"/>
    <n v="7715.5149458760861"/>
    <x v="4"/>
    <x v="0"/>
    <n v="9605115.039961312"/>
  </r>
  <r>
    <x v="0"/>
    <x v="11"/>
    <n v="3307.6639788839502"/>
    <x v="4"/>
    <x v="0"/>
    <n v="4158918.5149819059"/>
  </r>
  <r>
    <x v="1"/>
    <x v="0"/>
    <n v="41.96375937211463"/>
    <x v="4"/>
    <x v="1"/>
    <n v="47293.156812373185"/>
  </r>
  <r>
    <x v="1"/>
    <x v="1"/>
    <n v="601.51924374279565"/>
    <x v="4"/>
    <x v="1"/>
    <n v="684691.30957511195"/>
  </r>
  <r>
    <x v="1"/>
    <x v="2"/>
    <n v="565.38992296378524"/>
    <x v="4"/>
    <x v="1"/>
    <n v="650002.05148810777"/>
  </r>
  <r>
    <x v="1"/>
    <x v="3"/>
    <n v="947.00580862441916"/>
    <x v="4"/>
    <x v="1"/>
    <n v="1099615.0626487543"/>
  </r>
  <r>
    <x v="1"/>
    <x v="4"/>
    <n v="400.47641360690409"/>
    <x v="4"/>
    <x v="1"/>
    <n v="469663.00687230291"/>
  </r>
  <r>
    <x v="1"/>
    <x v="5"/>
    <n v="508.3526458262005"/>
    <x v="4"/>
    <x v="1"/>
    <n v="602137.77470756194"/>
  </r>
  <r>
    <x v="1"/>
    <x v="6"/>
    <n v="367.00516508525408"/>
    <x v="4"/>
    <x v="1"/>
    <n v="439060.46713294956"/>
  </r>
  <r>
    <x v="1"/>
    <x v="7"/>
    <n v="226.63009077649176"/>
    <x v="4"/>
    <x v="1"/>
    <n v="273836.35495863023"/>
  </r>
  <r>
    <x v="1"/>
    <x v="8"/>
    <n v="90.751310509738531"/>
    <x v="4"/>
    <x v="1"/>
    <n v="110751.03960151724"/>
  </r>
  <r>
    <x v="1"/>
    <x v="9"/>
    <n v="438.23745776814008"/>
    <x v="4"/>
    <x v="1"/>
    <n v="540164.17289410485"/>
  </r>
  <r>
    <x v="1"/>
    <x v="10"/>
    <n v="432.64437668988035"/>
    <x v="4"/>
    <x v="1"/>
    <n v="538602.93689403182"/>
  </r>
  <r>
    <x v="1"/>
    <x v="11"/>
    <n v="45.853385100850723"/>
    <x v="4"/>
    <x v="1"/>
    <n v="57654.130978222405"/>
  </r>
  <r>
    <x v="2"/>
    <x v="11"/>
    <n v="93702.81"/>
    <x v="3"/>
    <x v="2"/>
    <n v="117817999.01763976"/>
  </r>
  <r>
    <x v="2"/>
    <x v="11"/>
    <n v="30457.290000000005"/>
    <x v="3"/>
    <x v="2"/>
    <n v="38295724.144238256"/>
  </r>
  <r>
    <x v="2"/>
    <x v="11"/>
    <n v="30729.9"/>
    <x v="3"/>
    <x v="2"/>
    <n v="38638492.570416711"/>
  </r>
  <r>
    <x v="2"/>
    <x v="11"/>
    <n v="44489.144"/>
    <x v="4"/>
    <x v="2"/>
    <n v="55938791.206876658"/>
  </r>
  <r>
    <x v="2"/>
    <x v="11"/>
    <n v="48580"/>
    <x v="1"/>
    <x v="2"/>
    <n v="61082462.652688213"/>
  </r>
  <r>
    <x v="2"/>
    <x v="11"/>
    <n v="40485"/>
    <x v="0"/>
    <x v="2"/>
    <n v="50904147.807618"/>
  </r>
  <r>
    <x v="2"/>
    <x v="11"/>
    <n v="26459.65"/>
    <x v="0"/>
    <x v="2"/>
    <n v="33269258.602885999"/>
  </r>
  <r>
    <x v="2"/>
    <x v="11"/>
    <n v="26686.82"/>
    <x v="2"/>
    <x v="2"/>
    <n v="33554892.671243578"/>
  </r>
  <r>
    <x v="3"/>
    <x v="0"/>
    <n v="851.01123751765749"/>
    <x v="0"/>
    <x v="0"/>
    <n v="959089.66468239995"/>
  </r>
  <r>
    <x v="3"/>
    <x v="1"/>
    <n v="1210.6493248240752"/>
    <x v="0"/>
    <x v="0"/>
    <n v="1378045.8069675001"/>
  </r>
  <r>
    <x v="3"/>
    <x v="2"/>
    <n v="866.89070666732641"/>
    <x v="0"/>
    <x v="0"/>
    <n v="996623.24152499984"/>
  </r>
  <r>
    <x v="3"/>
    <x v="3"/>
    <n v="884.40538793899555"/>
    <x v="0"/>
    <x v="0"/>
    <n v="1026926.6325599999"/>
  </r>
  <r>
    <x v="3"/>
    <x v="4"/>
    <n v="843.3383787503019"/>
    <x v="0"/>
    <x v="0"/>
    <n v="989034.12365119986"/>
  </r>
  <r>
    <x v="3"/>
    <x v="5"/>
    <n v="894.07149544090396"/>
    <x v="0"/>
    <x v="0"/>
    <n v="1059017.2493727999"/>
  </r>
  <r>
    <x v="3"/>
    <x v="6"/>
    <n v="852.67927282475296"/>
    <x v="0"/>
    <x v="0"/>
    <n v="1020088.5313264"/>
  </r>
  <r>
    <x v="3"/>
    <x v="7"/>
    <n v="1294.0647810767125"/>
    <x v="0"/>
    <x v="0"/>
    <n v="1563613.9998720002"/>
  </r>
  <r>
    <x v="3"/>
    <x v="8"/>
    <n v="574.2363482284768"/>
    <x v="0"/>
    <x v="0"/>
    <n v="700786.27169199998"/>
  </r>
  <r>
    <x v="3"/>
    <x v="9"/>
    <n v="249.21215473275143"/>
    <x v="0"/>
    <x v="0"/>
    <n v="307174.74065759999"/>
  </r>
  <r>
    <x v="3"/>
    <x v="10"/>
    <n v="258.6750438054238"/>
    <x v="0"/>
    <x v="0"/>
    <n v="322026.92511744"/>
  </r>
  <r>
    <x v="3"/>
    <x v="11"/>
    <n v="258.65599263090098"/>
    <x v="0"/>
    <x v="0"/>
    <n v="325223.24021759996"/>
  </r>
  <r>
    <x v="4"/>
    <x v="0"/>
    <n v="6963.6492407975165"/>
    <x v="0"/>
    <x v="0"/>
    <n v="7848032.6943788007"/>
  </r>
  <r>
    <x v="4"/>
    <x v="1"/>
    <n v="9936.4788411053614"/>
    <x v="0"/>
    <x v="0"/>
    <n v="11310395.770465"/>
  </r>
  <r>
    <x v="4"/>
    <x v="2"/>
    <n v="7134.0471558062691"/>
    <x v="0"/>
    <x v="0"/>
    <n v="8201676.574599999"/>
  </r>
  <r>
    <x v="4"/>
    <x v="3"/>
    <n v="7276.7626670822365"/>
    <x v="0"/>
    <x v="0"/>
    <n v="8449407.3459449988"/>
  </r>
  <r>
    <x v="4"/>
    <x v="4"/>
    <n v="6933.2840594649997"/>
    <x v="0"/>
    <x v="0"/>
    <n v="8131083.2004813999"/>
  </r>
  <r>
    <x v="4"/>
    <x v="5"/>
    <n v="7360.9771055613373"/>
    <x v="0"/>
    <x v="0"/>
    <n v="8718991.4528965987"/>
  </r>
  <r>
    <x v="4"/>
    <x v="6"/>
    <n v="7014.7366487602803"/>
    <x v="0"/>
    <x v="0"/>
    <n v="8391962.4104033001"/>
  </r>
  <r>
    <x v="4"/>
    <x v="7"/>
    <n v="10650.7046850856"/>
    <x v="0"/>
    <x v="0"/>
    <n v="12869209.638984"/>
  </r>
  <r>
    <x v="4"/>
    <x v="8"/>
    <n v="4729.4499680636809"/>
    <x v="0"/>
    <x v="0"/>
    <n v="5771723.8215552503"/>
  </r>
  <r>
    <x v="4"/>
    <x v="9"/>
    <n v="2050.3557538241539"/>
    <x v="0"/>
    <x v="0"/>
    <n v="2527234.2659697002"/>
  </r>
  <r>
    <x v="4"/>
    <x v="10"/>
    <n v="2130.2785485614863"/>
    <x v="0"/>
    <x v="0"/>
    <n v="2652003.2259196802"/>
  </r>
  <r>
    <x v="4"/>
    <x v="11"/>
    <n v="2130.5420359601376"/>
    <x v="0"/>
    <x v="0"/>
    <n v="2678854.5562272007"/>
  </r>
  <r>
    <x v="5"/>
    <x v="0"/>
    <n v="1089.4159916451429"/>
    <x v="0"/>
    <x v="0"/>
    <n v="1227771.8225840761"/>
  </r>
  <r>
    <x v="5"/>
    <x v="1"/>
    <n v="1845.6531779010911"/>
    <x v="0"/>
    <x v="0"/>
    <n v="2100851.6428094748"/>
  </r>
  <r>
    <x v="5"/>
    <x v="2"/>
    <n v="1112.0686079445989"/>
    <x v="0"/>
    <x v="0"/>
    <n v="1278492.6777087497"/>
  </r>
  <r>
    <x v="5"/>
    <x v="3"/>
    <n v="1164.2624941058932"/>
    <x v="0"/>
    <x v="0"/>
    <n v="1351882.49505615"/>
  </r>
  <r>
    <x v="5"/>
    <x v="4"/>
    <n v="1082.8744889588356"/>
    <x v="0"/>
    <x v="0"/>
    <n v="1269952.6645504979"/>
  </r>
  <r>
    <x v="5"/>
    <x v="5"/>
    <n v="1199.9001170120168"/>
    <x v="0"/>
    <x v="0"/>
    <n v="1421267.6815219619"/>
  </r>
  <r>
    <x v="5"/>
    <x v="6"/>
    <n v="1117.6630270947569"/>
    <x v="0"/>
    <x v="0"/>
    <n v="1337097.396597831"/>
  </r>
  <r>
    <x v="5"/>
    <x v="7"/>
    <n v="2062.3042694254491"/>
    <x v="0"/>
    <x v="0"/>
    <n v="2491875.1169368792"/>
  </r>
  <r>
    <x v="5"/>
    <x v="8"/>
    <n v="1198.4784024523151"/>
    <x v="0"/>
    <x v="0"/>
    <n v="1462598.4822259499"/>
  </r>
  <r>
    <x v="5"/>
    <x v="9"/>
    <n v="1091.5064179060291"/>
    <x v="0"/>
    <x v="0"/>
    <n v="1345372.5850809298"/>
  </r>
  <r>
    <x v="5"/>
    <x v="10"/>
    <n v="1166.6839138962173"/>
    <x v="0"/>
    <x v="0"/>
    <n v="1452415.4624617922"/>
  </r>
  <r>
    <x v="5"/>
    <x v="11"/>
    <n v="1173.4539602844025"/>
    <x v="0"/>
    <x v="0"/>
    <n v="1475451.9906076801"/>
  </r>
  <r>
    <x v="6"/>
    <x v="0"/>
    <n v="606.89060189145835"/>
    <x v="0"/>
    <x v="0"/>
    <n v="683965.70833167352"/>
  </r>
  <r>
    <x v="6"/>
    <x v="1"/>
    <n v="613.43399046943216"/>
    <x v="0"/>
    <x v="0"/>
    <n v="698253.50833164051"/>
  </r>
  <r>
    <x v="6"/>
    <x v="2"/>
    <n v="619.97250357863743"/>
    <x v="0"/>
    <x v="0"/>
    <n v="712753.06266494025"/>
  </r>
  <r>
    <x v="6"/>
    <x v="3"/>
    <n v="622.21813566394565"/>
    <x v="0"/>
    <x v="0"/>
    <n v="722488.10725157172"/>
  </r>
  <r>
    <x v="6"/>
    <x v="4"/>
    <n v="657.78935085329192"/>
    <x v="0"/>
    <x v="0"/>
    <n v="771429.51223485311"/>
  </r>
  <r>
    <x v="6"/>
    <x v="5"/>
    <n v="659.95776143022522"/>
    <x v="0"/>
    <x v="0"/>
    <n v="781712.2643725574"/>
  </r>
  <r>
    <x v="6"/>
    <x v="6"/>
    <n v="662.20662410633497"/>
    <x v="0"/>
    <x v="0"/>
    <n v="792219.77611982927"/>
  </r>
  <r>
    <x v="6"/>
    <x v="7"/>
    <n v="664.43926625789095"/>
    <x v="0"/>
    <x v="0"/>
    <n v="802839.66767188453"/>
  </r>
  <r>
    <x v="6"/>
    <x v="8"/>
    <n v="666.74695371756195"/>
    <x v="0"/>
    <x v="0"/>
    <n v="813684.31883350713"/>
  </r>
  <r>
    <x v="6"/>
    <x v="9"/>
    <n v="669.03498388377773"/>
    <x v="0"/>
    <x v="0"/>
    <n v="824641.34979991335"/>
  </r>
  <r>
    <x v="6"/>
    <x v="10"/>
    <n v="671.43802431094355"/>
    <x v="0"/>
    <x v="0"/>
    <n v="835879.33027827868"/>
  </r>
  <r>
    <x v="6"/>
    <x v="11"/>
    <n v="673.81727225863244"/>
    <x v="0"/>
    <x v="0"/>
    <n v="847229.69056142785"/>
  </r>
  <r>
    <x v="3"/>
    <x v="0"/>
    <n v="711.62071650328312"/>
    <x v="2"/>
    <x v="0"/>
    <n v="801996.5474992001"/>
  </r>
  <r>
    <x v="3"/>
    <x v="1"/>
    <n v="1008.0254880476514"/>
    <x v="2"/>
    <x v="0"/>
    <n v="1147405.1722800001"/>
  </r>
  <r>
    <x v="3"/>
    <x v="2"/>
    <n v="728.86405346588572"/>
    <x v="2"/>
    <x v="0"/>
    <n v="837940.52699999989"/>
  </r>
  <r>
    <x v="3"/>
    <x v="3"/>
    <n v="745.7664226477583"/>
    <x v="2"/>
    <x v="0"/>
    <n v="865946.10517999995"/>
  </r>
  <r>
    <x v="3"/>
    <x v="4"/>
    <n v="708.32630237707656"/>
    <x v="2"/>
    <x v="0"/>
    <n v="830697.26385360002"/>
  </r>
  <r>
    <x v="3"/>
    <x v="5"/>
    <n v="756.27409591580204"/>
    <x v="2"/>
    <x v="0"/>
    <n v="895797.83821839991"/>
  </r>
  <r>
    <x v="3"/>
    <x v="6"/>
    <n v="718.51644219182049"/>
    <x v="2"/>
    <x v="0"/>
    <n v="859585.08152920008"/>
  </r>
  <r>
    <x v="3"/>
    <x v="7"/>
    <n v="1092.8798336391255"/>
    <x v="2"/>
    <x v="0"/>
    <n v="1320522.923616"/>
  </r>
  <r>
    <x v="3"/>
    <x v="8"/>
    <n v="561.45219731934867"/>
    <x v="2"/>
    <x v="0"/>
    <n v="685184.75590500003"/>
  </r>
  <r>
    <x v="3"/>
    <x v="9"/>
    <n v="210.08202807583265"/>
    <x v="2"/>
    <x v="0"/>
    <n v="258943.59992280009"/>
  </r>
  <r>
    <x v="3"/>
    <x v="10"/>
    <n v="219.0999937984796"/>
    <x v="2"/>
    <x v="0"/>
    <n v="272759.58383232006"/>
  </r>
  <r>
    <x v="3"/>
    <x v="11"/>
    <n v="730.98473184864372"/>
    <x v="2"/>
    <x v="0"/>
    <n v="919109.66617600014"/>
  </r>
  <r>
    <x v="4"/>
    <x v="0"/>
    <n v="1297.9187317401952"/>
    <x v="2"/>
    <x v="0"/>
    <n v="1462754.4106711999"/>
  </r>
  <r>
    <x v="4"/>
    <x v="1"/>
    <n v="1846.6497605840441"/>
    <x v="2"/>
    <x v="0"/>
    <n v="2101986.0229799999"/>
  </r>
  <r>
    <x v="4"/>
    <x v="2"/>
    <n v="1329.6094670590517"/>
    <x v="2"/>
    <x v="0"/>
    <n v="1528589.11375"/>
  </r>
  <r>
    <x v="4"/>
    <x v="3"/>
    <n v="1357.1478111615709"/>
    <x v="2"/>
    <x v="0"/>
    <n v="1575851.131855"/>
  </r>
  <r>
    <x v="4"/>
    <x v="4"/>
    <n v="1292.1815052928207"/>
    <x v="2"/>
    <x v="0"/>
    <n v="1515419.7115746001"/>
  </r>
  <r>
    <x v="4"/>
    <x v="5"/>
    <n v="1373.6138970877698"/>
    <x v="2"/>
    <x v="0"/>
    <n v="1627029.6261674"/>
  </r>
  <r>
    <x v="4"/>
    <x v="6"/>
    <n v="1308.1185363778279"/>
    <x v="2"/>
    <x v="0"/>
    <n v="1564945.6473287002"/>
  </r>
  <r>
    <x v="4"/>
    <x v="7"/>
    <n v="1986.9416201014908"/>
    <x v="2"/>
    <x v="0"/>
    <n v="2400814.6883760002"/>
  </r>
  <r>
    <x v="4"/>
    <x v="8"/>
    <n v="1018.6473982956478"/>
    <x v="2"/>
    <x v="0"/>
    <n v="1243136.4099862501"/>
  </r>
  <r>
    <x v="4"/>
    <x v="9"/>
    <n v="382.37969501370486"/>
    <x v="2"/>
    <x v="0"/>
    <n v="471314.82721829996"/>
  </r>
  <r>
    <x v="4"/>
    <x v="10"/>
    <n v="397.62039828951407"/>
    <x v="2"/>
    <x v="0"/>
    <n v="495001.26622752007"/>
  </r>
  <r>
    <x v="4"/>
    <x v="11"/>
    <n v="1325.7923813183861"/>
    <x v="2"/>
    <x v="0"/>
    <n v="1666995.9575360003"/>
  </r>
  <r>
    <x v="5"/>
    <x v="0"/>
    <n v="289.60856051095249"/>
    <x v="2"/>
    <x v="0"/>
    <n v="326388.84769584343"/>
  </r>
  <r>
    <x v="5"/>
    <x v="1"/>
    <n v="481.47534766483449"/>
    <x v="2"/>
    <x v="0"/>
    <n v="548048.94398645114"/>
  </r>
  <r>
    <x v="5"/>
    <x v="2"/>
    <n v="295.90230314686983"/>
    <x v="2"/>
    <x v="0"/>
    <n v="340184.8817490174"/>
  </r>
  <r>
    <x v="5"/>
    <x v="3"/>
    <n v="310.005130722758"/>
    <x v="2"/>
    <x v="0"/>
    <n v="359962.21790476446"/>
  </r>
  <r>
    <x v="5"/>
    <x v="4"/>
    <n v="288.55504204787127"/>
    <x v="2"/>
    <x v="0"/>
    <n v="338406.01866104663"/>
  </r>
  <r>
    <x v="5"/>
    <x v="5"/>
    <n v="320.09098272265737"/>
    <x v="2"/>
    <x v="0"/>
    <n v="379144.03244096151"/>
  </r>
  <r>
    <x v="5"/>
    <x v="6"/>
    <n v="298.1046162372308"/>
    <x v="2"/>
    <x v="0"/>
    <n v="356632.4523776194"/>
  </r>
  <r>
    <x v="5"/>
    <x v="7"/>
    <n v="542.08194414895729"/>
    <x v="2"/>
    <x v="0"/>
    <n v="654995.73850074119"/>
  </r>
  <r>
    <x v="5"/>
    <x v="8"/>
    <n v="320.01494651630844"/>
    <x v="2"/>
    <x v="0"/>
    <n v="390539.68273991829"/>
  </r>
  <r>
    <x v="5"/>
    <x v="9"/>
    <n v="291.38270548127514"/>
    <x v="2"/>
    <x v="0"/>
    <n v="359153.45735966921"/>
  </r>
  <r>
    <x v="5"/>
    <x v="10"/>
    <n v="311.67632507221043"/>
    <x v="2"/>
    <x v="0"/>
    <n v="388008.7043511041"/>
  </r>
  <r>
    <x v="5"/>
    <x v="11"/>
    <n v="313.59461531051107"/>
    <x v="2"/>
    <x v="0"/>
    <n v="394300.76940692507"/>
  </r>
  <r>
    <x v="6"/>
    <x v="0"/>
    <n v="169.06053128267823"/>
    <x v="2"/>
    <x v="0"/>
    <n v="190531.21875557836"/>
  </r>
  <r>
    <x v="6"/>
    <x v="1"/>
    <n v="169.22511529449153"/>
    <x v="2"/>
    <x v="0"/>
    <n v="192623.87198626087"/>
  </r>
  <r>
    <x v="6"/>
    <x v="2"/>
    <n v="169.36994656956205"/>
    <x v="2"/>
    <x v="0"/>
    <n v="194716.61637255276"/>
  </r>
  <r>
    <x v="6"/>
    <x v="3"/>
    <n v="168.25121708494748"/>
    <x v="2"/>
    <x v="0"/>
    <n v="195364.77065999599"/>
  </r>
  <r>
    <x v="6"/>
    <x v="4"/>
    <n v="165.50147954965237"/>
    <x v="2"/>
    <x v="0"/>
    <n v="194093.63419689954"/>
  </r>
  <r>
    <x v="6"/>
    <x v="5"/>
    <n v="164.97790861041321"/>
    <x v="2"/>
    <x v="0"/>
    <n v="195414.40687326461"/>
  </r>
  <r>
    <x v="6"/>
    <x v="6"/>
    <n v="164.46021168685911"/>
    <x v="2"/>
    <x v="0"/>
    <n v="196749.21291977583"/>
  </r>
  <r>
    <x v="6"/>
    <x v="7"/>
    <n v="163.95390942459963"/>
    <x v="2"/>
    <x v="0"/>
    <n v="198104.94177636749"/>
  </r>
  <r>
    <x v="6"/>
    <x v="8"/>
    <n v="163.45361140779804"/>
    <x v="2"/>
    <x v="0"/>
    <n v="199475.43774691224"/>
  </r>
  <r>
    <x v="6"/>
    <x v="9"/>
    <n v="162.96446267728896"/>
    <x v="2"/>
    <x v="0"/>
    <n v="200867.27556680716"/>
  </r>
  <r>
    <x v="6"/>
    <x v="10"/>
    <n v="162.47900496422574"/>
    <x v="2"/>
    <x v="0"/>
    <n v="202271.59758066232"/>
  </r>
  <r>
    <x v="6"/>
    <x v="11"/>
    <n v="162.00457611117974"/>
    <x v="2"/>
    <x v="0"/>
    <n v="203697.78653511161"/>
  </r>
  <r>
    <x v="3"/>
    <x v="0"/>
    <n v="742.7592410669032"/>
    <x v="1"/>
    <x v="0"/>
    <n v="837089.66468239995"/>
  </r>
  <r>
    <x v="3"/>
    <x v="1"/>
    <n v="1049.8790330655297"/>
    <x v="1"/>
    <x v="0"/>
    <n v="1195045.8069675006"/>
  </r>
  <r>
    <x v="3"/>
    <x v="2"/>
    <n v="760.77170220623998"/>
    <x v="1"/>
    <x v="0"/>
    <n v="874623.24152499984"/>
  </r>
  <r>
    <x v="3"/>
    <x v="3"/>
    <n v="780.5427687375103"/>
    <x v="1"/>
    <x v="0"/>
    <n v="906326.63255999994"/>
  </r>
  <r>
    <x v="3"/>
    <x v="4"/>
    <n v="740.50410231318779"/>
    <x v="1"/>
    <x v="0"/>
    <n v="868434.12365119997"/>
  </r>
  <r>
    <x v="3"/>
    <x v="5"/>
    <n v="792.25538015663244"/>
    <x v="1"/>
    <x v="0"/>
    <n v="938417.24937279988"/>
  </r>
  <r>
    <x v="3"/>
    <x v="6"/>
    <n v="751.87123788983092"/>
    <x v="1"/>
    <x v="0"/>
    <n v="899488.53132640012"/>
  </r>
  <r>
    <x v="3"/>
    <x v="7"/>
    <n v="1144.3498777080158"/>
    <x v="1"/>
    <x v="0"/>
    <n v="1382713.9998719997"/>
  </r>
  <r>
    <x v="3"/>
    <x v="8"/>
    <n v="588.83285076091011"/>
    <x v="1"/>
    <x v="0"/>
    <n v="718599.54426"/>
  </r>
  <r>
    <x v="3"/>
    <x v="9"/>
    <n v="220.29727333442801"/>
    <x v="1"/>
    <x v="0"/>
    <n v="271534.74065759999"/>
  </r>
  <r>
    <x v="3"/>
    <x v="10"/>
    <n v="230.05512369349199"/>
    <x v="1"/>
    <x v="0"/>
    <n v="286397.7251174401"/>
  </r>
  <r>
    <x v="3"/>
    <x v="11"/>
    <n v="767.76009167402901"/>
    <x v="1"/>
    <x v="0"/>
    <n v="965349.4673919999"/>
  </r>
  <r>
    <x v="4"/>
    <x v="0"/>
    <n v="1907.0027261259984"/>
    <x v="1"/>
    <x v="0"/>
    <n v="2149192.072344"/>
  </r>
  <r>
    <x v="4"/>
    <x v="1"/>
    <n v="2716.074103617771"/>
    <x v="1"/>
    <x v="0"/>
    <n v="3091625.6699250001"/>
  </r>
  <r>
    <x v="4"/>
    <x v="2"/>
    <n v="1953.6492827355601"/>
    <x v="1"/>
    <x v="0"/>
    <n v="2246018.1727500004"/>
  </r>
  <r>
    <x v="4"/>
    <x v="3"/>
    <n v="1992.9631435736203"/>
    <x v="1"/>
    <x v="0"/>
    <n v="2314127.6135999993"/>
  </r>
  <r>
    <x v="4"/>
    <x v="4"/>
    <n v="1898.6680963001793"/>
    <x v="1"/>
    <x v="0"/>
    <n v="2226683.3622720004"/>
  </r>
  <r>
    <x v="4"/>
    <x v="5"/>
    <n v="2016.2147906513828"/>
    <x v="1"/>
    <x v="0"/>
    <n v="2388182.8831679998"/>
  </r>
  <r>
    <x v="4"/>
    <x v="6"/>
    <n v="1921.1598919901655"/>
    <x v="1"/>
    <x v="0"/>
    <n v="2298347.3799839998"/>
  </r>
  <r>
    <x v="4"/>
    <x v="7"/>
    <n v="2917.1525882192482"/>
    <x v="1"/>
    <x v="0"/>
    <n v="3524785.3843200002"/>
  </r>
  <r>
    <x v="4"/>
    <x v="8"/>
    <n v="1494.7986505618974"/>
    <x v="1"/>
    <x v="0"/>
    <n v="1824221.6406"/>
  </r>
  <r>
    <x v="4"/>
    <x v="9"/>
    <n v="561.54733051783501"/>
    <x v="1"/>
    <x v="0"/>
    <n v="692153.86305600009"/>
  </r>
  <r>
    <x v="4"/>
    <x v="10"/>
    <n v="583.51900091802383"/>
    <x v="1"/>
    <x v="0"/>
    <n v="726428.13488640008"/>
  </r>
  <r>
    <x v="4"/>
    <x v="11"/>
    <n v="1945.3598056582616"/>
    <x v="1"/>
    <x v="0"/>
    <n v="2446014.1555199996"/>
  </r>
  <r>
    <x v="5"/>
    <x v="0"/>
    <n v="383.3677470971939"/>
    <x v="1"/>
    <x v="0"/>
    <n v="432055.4509785375"/>
  </r>
  <r>
    <x v="5"/>
    <x v="1"/>
    <n v="626.77378801626594"/>
    <x v="1"/>
    <x v="0"/>
    <n v="713437.79968527507"/>
  </r>
  <r>
    <x v="5"/>
    <x v="2"/>
    <n v="381.60112639517121"/>
    <x v="1"/>
    <x v="0"/>
    <n v="438708.7652832499"/>
  </r>
  <r>
    <x v="5"/>
    <x v="3"/>
    <n v="400.30430698189662"/>
    <x v="1"/>
    <x v="0"/>
    <n v="464813.0366168"/>
  </r>
  <r>
    <x v="5"/>
    <x v="4"/>
    <n v="371.76004840417983"/>
    <x v="1"/>
    <x v="0"/>
    <n v="435985.58176233602"/>
  </r>
  <r>
    <x v="5"/>
    <x v="5"/>
    <n v="413.02778554634386"/>
    <x v="1"/>
    <x v="0"/>
    <n v="489226.59048438387"/>
  </r>
  <r>
    <x v="5"/>
    <x v="6"/>
    <n v="384.18294824913227"/>
    <x v="1"/>
    <x v="0"/>
    <n v="459610.81960139202"/>
  </r>
  <r>
    <x v="5"/>
    <x v="7"/>
    <n v="705.81466456597673"/>
    <x v="1"/>
    <x v="0"/>
    <n v="852833.41836416"/>
  </r>
  <r>
    <x v="5"/>
    <x v="8"/>
    <n v="412.91012648094744"/>
    <x v="1"/>
    <x v="0"/>
    <n v="503907.0566904"/>
  </r>
  <r>
    <x v="5"/>
    <x v="9"/>
    <n v="375.58231451309109"/>
    <x v="1"/>
    <x v="0"/>
    <n v="462936.48951375997"/>
  </r>
  <r>
    <x v="5"/>
    <x v="10"/>
    <n v="402.12443767380182"/>
    <x v="1"/>
    <x v="0"/>
    <n v="500608.38600294397"/>
  </r>
  <r>
    <x v="5"/>
    <x v="11"/>
    <n v="404.59606695240689"/>
    <x v="1"/>
    <x v="0"/>
    <n v="508722.19326975988"/>
  </r>
  <r>
    <x v="6"/>
    <x v="0"/>
    <n v="364.13436113487506"/>
    <x v="1"/>
    <x v="0"/>
    <n v="410379.42499900417"/>
  </r>
  <r>
    <x v="6"/>
    <x v="1"/>
    <n v="368.06039428165928"/>
    <x v="1"/>
    <x v="0"/>
    <n v="418952.10499898432"/>
  </r>
  <r>
    <x v="6"/>
    <x v="2"/>
    <n v="371.98350214718249"/>
    <x v="1"/>
    <x v="0"/>
    <n v="427651.83759896416"/>
  </r>
  <r>
    <x v="6"/>
    <x v="3"/>
    <n v="373.33088139836747"/>
    <x v="1"/>
    <x v="0"/>
    <n v="433492.86435094313"/>
  </r>
  <r>
    <x v="6"/>
    <x v="4"/>
    <n v="394.67361051197503"/>
    <x v="1"/>
    <x v="0"/>
    <n v="462857.70734091173"/>
  </r>
  <r>
    <x v="6"/>
    <x v="5"/>
    <n v="395.97465685813518"/>
    <x v="1"/>
    <x v="0"/>
    <n v="469027.3586235345"/>
  </r>
  <r>
    <x v="6"/>
    <x v="6"/>
    <n v="397.32397446380094"/>
    <x v="1"/>
    <x v="0"/>
    <n v="475331.86567189754"/>
  </r>
  <r>
    <x v="6"/>
    <x v="7"/>
    <n v="398.66355975473454"/>
    <x v="1"/>
    <x v="0"/>
    <n v="481703.80060313066"/>
  </r>
  <r>
    <x v="6"/>
    <x v="8"/>
    <n v="400.04817223053715"/>
    <x v="1"/>
    <x v="0"/>
    <n v="488210.59130010422"/>
  </r>
  <r>
    <x v="6"/>
    <x v="9"/>
    <n v="401.42099033026653"/>
    <x v="1"/>
    <x v="0"/>
    <n v="494784.80987994792"/>
  </r>
  <r>
    <x v="6"/>
    <x v="10"/>
    <n v="402.86281458656617"/>
    <x v="1"/>
    <x v="0"/>
    <n v="501527.59816696728"/>
  </r>
  <r>
    <x v="6"/>
    <x v="11"/>
    <n v="404.29036335517947"/>
    <x v="1"/>
    <x v="0"/>
    <n v="508337.81433685671"/>
  </r>
  <r>
    <x v="3"/>
    <x v="0"/>
    <n v="795.33710176067052"/>
    <x v="3"/>
    <x v="0"/>
    <n v="896344.9136842757"/>
  </r>
  <r>
    <x v="3"/>
    <x v="1"/>
    <n v="1146.3603971423718"/>
    <x v="3"/>
    <x v="0"/>
    <n v="1304867.6492552476"/>
  </r>
  <r>
    <x v="3"/>
    <x v="2"/>
    <n v="801.63607225354883"/>
    <x v="3"/>
    <x v="0"/>
    <n v="921603.07488368754"/>
  </r>
  <r>
    <x v="3"/>
    <x v="3"/>
    <n v="810.85816675402975"/>
    <x v="3"/>
    <x v="0"/>
    <n v="941527.33353307878"/>
  </r>
  <r>
    <x v="3"/>
    <x v="4"/>
    <n v="790.77686059166683"/>
    <x v="3"/>
    <x v="0"/>
    <n v="927392.03980955586"/>
  </r>
  <r>
    <x v="3"/>
    <x v="5"/>
    <n v="833.08890863047202"/>
    <x v="3"/>
    <x v="0"/>
    <n v="986784.08717834507"/>
  </r>
  <r>
    <x v="3"/>
    <x v="6"/>
    <n v="810.9115479203839"/>
    <x v="3"/>
    <x v="0"/>
    <n v="970120.41492854815"/>
  </r>
  <r>
    <x v="3"/>
    <x v="7"/>
    <n v="1237.6218753584944"/>
    <x v="3"/>
    <x v="0"/>
    <n v="1495414.2320821453"/>
  </r>
  <r>
    <x v="3"/>
    <x v="8"/>
    <n v="846.8989654767654"/>
    <x v="3"/>
    <x v="0"/>
    <n v="1033538.1421730113"/>
  </r>
  <r>
    <x v="3"/>
    <x v="9"/>
    <n v="812.58632734799698"/>
    <x v="3"/>
    <x v="0"/>
    <n v="1001580.338778835"/>
  </r>
  <r>
    <x v="3"/>
    <x v="10"/>
    <n v="842.82650856921884"/>
    <x v="3"/>
    <x v="0"/>
    <n v="1049242.420023212"/>
  </r>
  <r>
    <x v="3"/>
    <x v="11"/>
    <n v="849.12132004840805"/>
    <x v="3"/>
    <x v="0"/>
    <n v="1067649.6772222768"/>
  </r>
  <r>
    <x v="4"/>
    <x v="0"/>
    <n v="9308.4805010177442"/>
    <x v="3"/>
    <x v="0"/>
    <n v="10490657.524646997"/>
  </r>
  <r>
    <x v="4"/>
    <x v="1"/>
    <n v="13253.0666171416"/>
    <x v="3"/>
    <x v="0"/>
    <n v="15085568.138293769"/>
  </r>
  <r>
    <x v="4"/>
    <x v="2"/>
    <n v="9536.0350254426012"/>
    <x v="3"/>
    <x v="0"/>
    <n v="10963128.414294656"/>
  </r>
  <r>
    <x v="4"/>
    <x v="3"/>
    <n v="9708.3154403553035"/>
    <x v="3"/>
    <x v="0"/>
    <n v="11272802.969040727"/>
  </r>
  <r>
    <x v="4"/>
    <x v="4"/>
    <n v="9267.6420571094168"/>
    <x v="3"/>
    <x v="0"/>
    <n v="10868726.564832544"/>
  </r>
  <r>
    <x v="4"/>
    <x v="5"/>
    <n v="9844.8686713359621"/>
    <x v="3"/>
    <x v="0"/>
    <n v="11661132.016755799"/>
  </r>
  <r>
    <x v="4"/>
    <x v="6"/>
    <n v="9378.9502371052913"/>
    <x v="3"/>
    <x v="0"/>
    <n v="11220349.641029049"/>
  </r>
  <r>
    <x v="4"/>
    <x v="7"/>
    <n v="14242.882501689488"/>
    <x v="3"/>
    <x v="0"/>
    <n v="17209625.672405522"/>
  </r>
  <r>
    <x v="4"/>
    <x v="8"/>
    <n v="9732.6879076038949"/>
    <x v="3"/>
    <x v="0"/>
    <n v="11877572.87283005"/>
  </r>
  <r>
    <x v="4"/>
    <x v="9"/>
    <n v="9138.2749309096234"/>
    <x v="3"/>
    <x v="0"/>
    <n v="11263685.091805473"/>
  </r>
  <r>
    <x v="4"/>
    <x v="10"/>
    <n v="9498.0799550161191"/>
    <x v="3"/>
    <x v="0"/>
    <n v="11824246.504174367"/>
  </r>
  <r>
    <x v="4"/>
    <x v="11"/>
    <n v="9499.9847971301388"/>
    <x v="3"/>
    <x v="0"/>
    <n v="11944884.038118722"/>
  </r>
  <r>
    <x v="5"/>
    <x v="0"/>
    <n v="1537.7860208190027"/>
    <x v="3"/>
    <x v="0"/>
    <n v="1733084.8454630161"/>
  </r>
  <r>
    <x v="5"/>
    <x v="1"/>
    <n v="2594.6804429288791"/>
    <x v="3"/>
    <x v="0"/>
    <n v="2953446.9077726551"/>
  </r>
  <r>
    <x v="5"/>
    <x v="2"/>
    <n v="1568.3807276454174"/>
    <x v="3"/>
    <x v="0"/>
    <n v="1803093.1381655189"/>
  </r>
  <r>
    <x v="5"/>
    <x v="3"/>
    <n v="1635.1447089070016"/>
    <x v="3"/>
    <x v="0"/>
    <n v="1898647.0147805051"/>
  </r>
  <r>
    <x v="5"/>
    <x v="4"/>
    <n v="1529.5711844127627"/>
    <x v="3"/>
    <x v="0"/>
    <n v="1793821.0024065778"/>
  </r>
  <r>
    <x v="5"/>
    <x v="5"/>
    <n v="1693.2936585547084"/>
    <x v="3"/>
    <x v="0"/>
    <n v="2005686.5718313693"/>
  </r>
  <r>
    <x v="5"/>
    <x v="6"/>
    <n v="1581.1652198811034"/>
    <x v="3"/>
    <x v="0"/>
    <n v="1891600.4626095754"/>
  </r>
  <r>
    <x v="5"/>
    <x v="7"/>
    <n v="2908.7594347112627"/>
    <x v="3"/>
    <x v="0"/>
    <n v="3514643.965961298"/>
  </r>
  <r>
    <x v="5"/>
    <x v="8"/>
    <n v="1696.6678175961576"/>
    <x v="3"/>
    <x v="0"/>
    <n v="2070578.6351927943"/>
  </r>
  <r>
    <x v="5"/>
    <x v="9"/>
    <n v="1549.3279794950299"/>
    <x v="3"/>
    <x v="0"/>
    <n v="1909675.7973354363"/>
  </r>
  <r>
    <x v="5"/>
    <x v="10"/>
    <n v="1655.4236507488918"/>
    <x v="3"/>
    <x v="0"/>
    <n v="2060852.0256725857"/>
  </r>
  <r>
    <x v="5"/>
    <x v="11"/>
    <n v="1666.3993382586664"/>
    <x v="3"/>
    <x v="0"/>
    <n v="2095260.9169133254"/>
  </r>
  <r>
    <x v="3"/>
    <x v="0"/>
    <n v="333.98415767798269"/>
    <x v="4"/>
    <x v="0"/>
    <n v="376400.14570308651"/>
  </r>
  <r>
    <x v="3"/>
    <x v="1"/>
    <n v="481.38859709603133"/>
    <x v="4"/>
    <x v="0"/>
    <n v="547950.19841649954"/>
  </r>
  <r>
    <x v="3"/>
    <x v="2"/>
    <n v="336.62927048567792"/>
    <x v="4"/>
    <x v="0"/>
    <n v="387006.74971288996"/>
  </r>
  <r>
    <x v="3"/>
    <x v="3"/>
    <n v="340.50188432068137"/>
    <x v="4"/>
    <x v="0"/>
    <n v="395373.49977100262"/>
  </r>
  <r>
    <x v="3"/>
    <x v="4"/>
    <n v="332.06918564629137"/>
    <x v="4"/>
    <x v="0"/>
    <n v="389437.69700594788"/>
  </r>
  <r>
    <x v="3"/>
    <x v="5"/>
    <n v="349.83719080107039"/>
    <x v="4"/>
    <x v="0"/>
    <n v="414378.06866637216"/>
  </r>
  <r>
    <x v="3"/>
    <x v="6"/>
    <n v="340.52430055631424"/>
    <x v="4"/>
    <x v="0"/>
    <n v="407380.52947468846"/>
  </r>
  <r>
    <x v="3"/>
    <x v="7"/>
    <n v="519.71182867039738"/>
    <x v="4"/>
    <x v="0"/>
    <n v="627966.00532778038"/>
  </r>
  <r>
    <x v="3"/>
    <x v="8"/>
    <n v="355.63641756049583"/>
    <x v="4"/>
    <x v="0"/>
    <n v="434011.39602008904"/>
  </r>
  <r>
    <x v="3"/>
    <x v="9"/>
    <n v="341.2275869932094"/>
    <x v="4"/>
    <x v="0"/>
    <n v="420591.42601716274"/>
  </r>
  <r>
    <x v="3"/>
    <x v="10"/>
    <n v="353.92627969953622"/>
    <x v="4"/>
    <x v="0"/>
    <n v="440606.05883429607"/>
  </r>
  <r>
    <x v="3"/>
    <x v="11"/>
    <n v="356.56964602177197"/>
    <x v="4"/>
    <x v="0"/>
    <n v="448335.77781406225"/>
  </r>
  <r>
    <x v="4"/>
    <x v="0"/>
    <n v="3908.8897179725054"/>
    <x v="4"/>
    <x v="0"/>
    <n v="4405318.7121550133"/>
  </r>
  <r>
    <x v="4"/>
    <x v="1"/>
    <n v="5565.3310790827118"/>
    <x v="4"/>
    <x v="0"/>
    <n v="6334849.4073874783"/>
  </r>
  <r>
    <x v="4"/>
    <x v="2"/>
    <n v="4004.4461883013842"/>
    <x v="4"/>
    <x v="0"/>
    <n v="4603722.3723853948"/>
  </r>
  <r>
    <x v="4"/>
    <x v="3"/>
    <n v="4076.7915235455921"/>
    <x v="4"/>
    <x v="0"/>
    <n v="4733763.3262051167"/>
  </r>
  <r>
    <x v="4"/>
    <x v="4"/>
    <n v="3891.7405201551169"/>
    <x v="4"/>
    <x v="0"/>
    <n v="4564080.4116293192"/>
  </r>
  <r>
    <x v="4"/>
    <x v="5"/>
    <n v="4134.1340211184088"/>
    <x v="4"/>
    <x v="0"/>
    <n v="4896833.4880470568"/>
  </r>
  <r>
    <x v="4"/>
    <x v="6"/>
    <n v="3938.4819190616881"/>
    <x v="4"/>
    <x v="0"/>
    <n v="4711736.7156841122"/>
  </r>
  <r>
    <x v="4"/>
    <x v="7"/>
    <n v="5980.9822837419533"/>
    <x v="4"/>
    <x v="0"/>
    <n v="7226800.2101596026"/>
  </r>
  <r>
    <x v="4"/>
    <x v="8"/>
    <n v="4087.026200045073"/>
    <x v="4"/>
    <x v="0"/>
    <n v="4987723.0200996092"/>
  </r>
  <r>
    <x v="4"/>
    <x v="9"/>
    <n v="3837.4156677379328"/>
    <x v="4"/>
    <x v="0"/>
    <n v="4729934.4760967968"/>
  </r>
  <r>
    <x v="4"/>
    <x v="10"/>
    <n v="3988.5077991605599"/>
    <x v="4"/>
    <x v="0"/>
    <n v="4965329.7955435468"/>
  </r>
  <r>
    <x v="4"/>
    <x v="11"/>
    <n v="3989.3076953147206"/>
    <x v="4"/>
    <x v="0"/>
    <n v="5015988.8495089151"/>
  </r>
  <r>
    <x v="5"/>
    <x v="0"/>
    <n v="645.75909726233363"/>
    <x v="4"/>
    <x v="0"/>
    <n v="727770.50261464994"/>
  </r>
  <r>
    <x v="5"/>
    <x v="1"/>
    <n v="1089.5784444819033"/>
    <x v="4"/>
    <x v="0"/>
    <n v="1240234.4560004161"/>
  </r>
  <r>
    <x v="5"/>
    <x v="2"/>
    <n v="658.60666512532475"/>
    <x v="4"/>
    <x v="0"/>
    <n v="757168.93079932546"/>
  </r>
  <r>
    <x v="5"/>
    <x v="3"/>
    <n v="686.64271675112786"/>
    <x v="4"/>
    <x v="0"/>
    <n v="797294.65978075215"/>
  </r>
  <r>
    <x v="5"/>
    <x v="4"/>
    <n v="642.30945910069534"/>
    <x v="4"/>
    <x v="0"/>
    <n v="753275.30324885622"/>
  </r>
  <r>
    <x v="5"/>
    <x v="5"/>
    <n v="711.06107712304572"/>
    <x v="4"/>
    <x v="0"/>
    <n v="842243.54525424133"/>
  </r>
  <r>
    <x v="5"/>
    <x v="6"/>
    <n v="663.9752287962815"/>
    <x v="4"/>
    <x v="0"/>
    <n v="794335.6166452918"/>
  </r>
  <r>
    <x v="5"/>
    <x v="7"/>
    <n v="1221.4689438469825"/>
    <x v="4"/>
    <x v="0"/>
    <n v="1475896.7007964558"/>
  </r>
  <r>
    <x v="5"/>
    <x v="8"/>
    <n v="712.47798029886303"/>
    <x v="4"/>
    <x v="0"/>
    <n v="869493.52651850483"/>
  </r>
  <r>
    <x v="5"/>
    <x v="9"/>
    <n v="650.6058865518479"/>
    <x v="4"/>
    <x v="0"/>
    <n v="801925.95215183368"/>
  </r>
  <r>
    <x v="5"/>
    <x v="10"/>
    <n v="695.15840814119531"/>
    <x v="4"/>
    <x v="0"/>
    <n v="865409.0528022931"/>
  </r>
  <r>
    <x v="5"/>
    <x v="11"/>
    <n v="699.76740442688833"/>
    <x v="4"/>
    <x v="0"/>
    <n v="879858.30272692419"/>
  </r>
  <r>
    <x v="7"/>
    <x v="5"/>
    <n v="66.416815382399989"/>
    <x v="0"/>
    <x v="3"/>
    <n v="78669.942501281083"/>
  </r>
  <r>
    <x v="7"/>
    <x v="6"/>
    <n v="79.700178458879989"/>
    <x v="0"/>
    <x v="3"/>
    <n v="95347.970311552679"/>
  </r>
  <r>
    <x v="7"/>
    <x v="7"/>
    <n v="66.416815382399989"/>
    <x v="0"/>
    <x v="3"/>
    <n v="80251.208345556821"/>
  </r>
  <r>
    <x v="7"/>
    <x v="9"/>
    <n v="119.55026768831998"/>
    <x v="0"/>
    <x v="3"/>
    <n v="147355.66373994452"/>
  </r>
  <r>
    <x v="7"/>
    <x v="5"/>
    <n v="101.82368908799999"/>
    <x v="0"/>
    <x v="3"/>
    <n v="120608.97108210341"/>
  </r>
  <r>
    <x v="7"/>
    <x v="6"/>
    <n v="122.18842690559998"/>
    <x v="0"/>
    <x v="3"/>
    <n v="146178.07295150933"/>
  </r>
  <r>
    <x v="7"/>
    <x v="7"/>
    <n v="101.82368908799999"/>
    <x v="0"/>
    <x v="3"/>
    <n v="123033.21140085369"/>
  </r>
  <r>
    <x v="7"/>
    <x v="9"/>
    <n v="183.28264035839999"/>
    <x v="0"/>
    <x v="3"/>
    <n v="225911.1221100195"/>
  </r>
  <r>
    <x v="8"/>
    <x v="5"/>
    <n v="19.7140743"/>
    <x v="0"/>
    <x v="3"/>
    <n v="23351.090875368325"/>
  </r>
  <r>
    <x v="8"/>
    <x v="6"/>
    <n v="23.656889159999999"/>
    <x v="0"/>
    <x v="3"/>
    <n v="28301.52214094641"/>
  </r>
  <r>
    <x v="8"/>
    <x v="7"/>
    <n v="19.7140743"/>
    <x v="0"/>
    <x v="3"/>
    <n v="23820.44780196323"/>
  </r>
  <r>
    <x v="8"/>
    <x v="9"/>
    <n v="35.485333739999994"/>
    <x v="0"/>
    <x v="3"/>
    <n v="43738.629845008829"/>
  </r>
  <r>
    <x v="8"/>
    <x v="5"/>
    <n v="209.22675839999999"/>
    <x v="0"/>
    <x v="3"/>
    <n v="247826.65290843169"/>
  </r>
  <r>
    <x v="8"/>
    <x v="6"/>
    <n v="251.07211007999999"/>
    <x v="0"/>
    <x v="3"/>
    <n v="300365.90332501917"/>
  </r>
  <r>
    <x v="8"/>
    <x v="7"/>
    <n v="209.22675839999999"/>
    <x v="0"/>
    <x v="3"/>
    <n v="252807.96863189116"/>
  </r>
  <r>
    <x v="8"/>
    <x v="9"/>
    <n v="376.60816512000002"/>
    <x v="0"/>
    <x v="3"/>
    <n v="464200.93584250589"/>
  </r>
  <r>
    <x v="8"/>
    <x v="5"/>
    <n v="125.3181105"/>
    <x v="0"/>
    <x v="3"/>
    <n v="148437.83898161273"/>
  </r>
  <r>
    <x v="8"/>
    <x v="6"/>
    <n v="150.38173259999999"/>
    <x v="0"/>
    <x v="3"/>
    <n v="179906.66084571462"/>
  </r>
  <r>
    <x v="8"/>
    <x v="7"/>
    <n v="125.3181105"/>
    <x v="0"/>
    <x v="3"/>
    <n v="151421.43954514313"/>
  </r>
  <r>
    <x v="8"/>
    <x v="9"/>
    <n v="225.57259889999995"/>
    <x v="0"/>
    <x v="3"/>
    <n v="278037.01886400086"/>
  </r>
  <r>
    <x v="8"/>
    <x v="5"/>
    <n v="74.116994112000015"/>
    <x v="0"/>
    <x v="3"/>
    <n v="87790.714318168699"/>
  </r>
  <r>
    <x v="8"/>
    <x v="6"/>
    <n v="88.940392934400009"/>
    <x v="0"/>
    <x v="3"/>
    <n v="106402.34575362045"/>
  </r>
  <r>
    <x v="8"/>
    <x v="7"/>
    <n v="74.116994112000015"/>
    <x v="0"/>
    <x v="3"/>
    <n v="89555.307675963879"/>
  </r>
  <r>
    <x v="8"/>
    <x v="9"/>
    <n v="133.41058940160002"/>
    <x v="0"/>
    <x v="3"/>
    <n v="164439.66484845136"/>
  </r>
  <r>
    <x v="8"/>
    <x v="5"/>
    <n v="115.906869"/>
    <x v="0"/>
    <x v="3"/>
    <n v="137290.3332873414"/>
  </r>
  <r>
    <x v="8"/>
    <x v="6"/>
    <n v="139.08824279999999"/>
    <x v="0"/>
    <x v="3"/>
    <n v="166395.88394425777"/>
  </r>
  <r>
    <x v="8"/>
    <x v="7"/>
    <n v="115.906869"/>
    <x v="0"/>
    <x v="3"/>
    <n v="140049.86898641699"/>
  </r>
  <r>
    <x v="8"/>
    <x v="9"/>
    <n v="208.63236420000001"/>
    <x v="0"/>
    <x v="3"/>
    <n v="257156.76843547911"/>
  </r>
  <r>
    <x v="8"/>
    <x v="5"/>
    <n v="520.11576539999999"/>
    <x v="0"/>
    <x v="3"/>
    <n v="616071.05252551229"/>
  </r>
  <r>
    <x v="8"/>
    <x v="6"/>
    <n v="624.13891847999992"/>
    <x v="0"/>
    <x v="3"/>
    <n v="746678.11566092086"/>
  </r>
  <r>
    <x v="8"/>
    <x v="7"/>
    <n v="520.11576539999999"/>
    <x v="0"/>
    <x v="3"/>
    <n v="628454.08068127511"/>
  </r>
  <r>
    <x v="8"/>
    <x v="9"/>
    <n v="936.20837772000004"/>
    <x v="0"/>
    <x v="3"/>
    <n v="1153954.8138653438"/>
  </r>
  <r>
    <x v="9"/>
    <x v="5"/>
    <n v="809.96116319999965"/>
    <x v="0"/>
    <x v="3"/>
    <n v="959389.54269854946"/>
  </r>
  <r>
    <x v="9"/>
    <x v="6"/>
    <n v="971.95339583999964"/>
    <x v="0"/>
    <x v="3"/>
    <n v="1162780.125750642"/>
  </r>
  <r>
    <x v="9"/>
    <x v="7"/>
    <n v="809.96116319999965"/>
    <x v="0"/>
    <x v="3"/>
    <n v="978673.27250679035"/>
  </r>
  <r>
    <x v="9"/>
    <x v="9"/>
    <n v="1457.9300937599994"/>
    <x v="0"/>
    <x v="3"/>
    <n v="1797020.2895115183"/>
  </r>
  <r>
    <x v="9"/>
    <x v="5"/>
    <n v="679.98696480000001"/>
    <x v="0"/>
    <x v="3"/>
    <n v="805436.62195240299"/>
  </r>
  <r>
    <x v="9"/>
    <x v="6"/>
    <n v="815.98435775999997"/>
    <x v="0"/>
    <x v="3"/>
    <n v="976189.18580631237"/>
  </r>
  <r>
    <x v="9"/>
    <x v="7"/>
    <n v="679.98696480000001"/>
    <x v="0"/>
    <x v="3"/>
    <n v="821625.8980536462"/>
  </r>
  <r>
    <x v="9"/>
    <x v="9"/>
    <n v="1223.9765366399999"/>
    <x v="0"/>
    <x v="3"/>
    <n v="1508653.0414881441"/>
  </r>
  <r>
    <x v="10"/>
    <x v="5"/>
    <n v="604.5746295072114"/>
    <x v="0"/>
    <x v="3"/>
    <n v="716111.59112680377"/>
  </r>
  <r>
    <x v="10"/>
    <x v="6"/>
    <n v="725.48955540865359"/>
    <x v="0"/>
    <x v="3"/>
    <n v="867927.24844568607"/>
  </r>
  <r>
    <x v="10"/>
    <x v="7"/>
    <n v="604.5746295072114"/>
    <x v="0"/>
    <x v="3"/>
    <n v="730505.43410845252"/>
  </r>
  <r>
    <x v="10"/>
    <x v="9"/>
    <n v="1088.2343331129805"/>
    <x v="0"/>
    <x v="3"/>
    <n v="1341339.4680012583"/>
  </r>
  <r>
    <x v="10"/>
    <x v="5"/>
    <n v="209.8285978441869"/>
    <x v="0"/>
    <x v="3"/>
    <n v="248539.52470447586"/>
  </r>
  <r>
    <x v="10"/>
    <x v="6"/>
    <n v="251.79431741302423"/>
    <x v="0"/>
    <x v="3"/>
    <n v="301229.90394182468"/>
  </r>
  <r>
    <x v="10"/>
    <x v="7"/>
    <n v="209.8285978441869"/>
    <x v="0"/>
    <x v="3"/>
    <n v="253535.16915103584"/>
  </r>
  <r>
    <x v="10"/>
    <x v="9"/>
    <n v="377.69147611953639"/>
    <x v="0"/>
    <x v="3"/>
    <n v="465536.20689174888"/>
  </r>
  <r>
    <x v="10"/>
    <x v="5"/>
    <n v="123.2367782451923"/>
    <x v="0"/>
    <x v="3"/>
    <n v="145972.52522230271"/>
  </r>
  <r>
    <x v="10"/>
    <x v="6"/>
    <n v="147.88413389423076"/>
    <x v="0"/>
    <x v="3"/>
    <n v="176918.70056943089"/>
  </r>
  <r>
    <x v="10"/>
    <x v="7"/>
    <n v="123.2367782451923"/>
    <x v="0"/>
    <x v="3"/>
    <n v="148906.572979271"/>
  </r>
  <r>
    <x v="10"/>
    <x v="9"/>
    <n v="221.82620084134612"/>
    <x v="0"/>
    <x v="3"/>
    <n v="273419.27117307775"/>
  </r>
  <r>
    <x v="10"/>
    <x v="5"/>
    <n v="0"/>
    <x v="0"/>
    <x v="3"/>
    <n v="0"/>
  </r>
  <r>
    <x v="10"/>
    <x v="6"/>
    <n v="0"/>
    <x v="0"/>
    <x v="3"/>
    <n v="0"/>
  </r>
  <r>
    <x v="10"/>
    <x v="7"/>
    <n v="0"/>
    <x v="0"/>
    <x v="3"/>
    <n v="0"/>
  </r>
  <r>
    <x v="10"/>
    <x v="9"/>
    <n v="0"/>
    <x v="0"/>
    <x v="3"/>
    <n v="0"/>
  </r>
  <r>
    <x v="11"/>
    <x v="5"/>
    <n v="6.0251696623999997"/>
    <x v="0"/>
    <x v="3"/>
    <n v="7136.7431300700073"/>
  </r>
  <r>
    <x v="11"/>
    <x v="6"/>
    <n v="7.230203594879999"/>
    <x v="0"/>
    <x v="3"/>
    <n v="8649.7326736448485"/>
  </r>
  <r>
    <x v="11"/>
    <x v="7"/>
    <n v="6.0251696623999997"/>
    <x v="0"/>
    <x v="3"/>
    <n v="7280.191666984414"/>
  </r>
  <r>
    <x v="11"/>
    <x v="9"/>
    <n v="10.845305392319998"/>
    <x v="0"/>
    <x v="3"/>
    <n v="13367.74233508344"/>
  </r>
  <r>
    <x v="11"/>
    <x v="5"/>
    <n v="153.33120000000002"/>
    <x v="0"/>
    <x v="3"/>
    <n v="181619.01648251759"/>
  </r>
  <r>
    <x v="11"/>
    <x v="6"/>
    <n v="183.99744000000001"/>
    <x v="0"/>
    <x v="3"/>
    <n v="220122.24797681131"/>
  </r>
  <r>
    <x v="11"/>
    <x v="7"/>
    <n v="153.33120000000002"/>
    <x v="0"/>
    <x v="3"/>
    <n v="185269.55871381619"/>
  </r>
  <r>
    <x v="11"/>
    <x v="9"/>
    <n v="275.99616000000003"/>
    <x v="0"/>
    <x v="3"/>
    <n v="340188.258319135"/>
  </r>
  <r>
    <x v="12"/>
    <x v="5"/>
    <n v="35.720805288461541"/>
    <x v="0"/>
    <x v="3"/>
    <n v="42310.876876029775"/>
  </r>
  <r>
    <x v="12"/>
    <x v="6"/>
    <n v="42.864966346153842"/>
    <x v="0"/>
    <x v="3"/>
    <n v="51280.782773748084"/>
  </r>
  <r>
    <x v="12"/>
    <x v="7"/>
    <n v="35.720805288461541"/>
    <x v="0"/>
    <x v="3"/>
    <n v="43161.325501237974"/>
  </r>
  <r>
    <x v="12"/>
    <x v="9"/>
    <n v="64.297449519230767"/>
    <x v="0"/>
    <x v="3"/>
    <n v="79251.962658863136"/>
  </r>
  <r>
    <x v="12"/>
    <x v="5"/>
    <n v="160.48643399999995"/>
    <x v="0"/>
    <x v="3"/>
    <n v="190094.3076286265"/>
  </r>
  <r>
    <x v="12"/>
    <x v="6"/>
    <n v="192.58372079999992"/>
    <x v="0"/>
    <x v="3"/>
    <n v="230394.30084589531"/>
  </r>
  <r>
    <x v="12"/>
    <x v="7"/>
    <n v="160.48643399999995"/>
    <x v="0"/>
    <x v="3"/>
    <n v="193915.2032119619"/>
  </r>
  <r>
    <x v="12"/>
    <x v="9"/>
    <n v="288.87558119999989"/>
    <x v="0"/>
    <x v="3"/>
    <n v="356063.21783374017"/>
  </r>
  <r>
    <x v="12"/>
    <x v="5"/>
    <n v="200.07308771999996"/>
    <x v="0"/>
    <x v="3"/>
    <n v="236984.23684368774"/>
  </r>
  <r>
    <x v="12"/>
    <x v="6"/>
    <n v="240.08770526399991"/>
    <x v="0"/>
    <x v="3"/>
    <n v="287224.8950545495"/>
  </r>
  <r>
    <x v="12"/>
    <x v="7"/>
    <n v="200.07308771999996"/>
    <x v="0"/>
    <x v="3"/>
    <n v="241747.62000424587"/>
  </r>
  <r>
    <x v="12"/>
    <x v="9"/>
    <n v="360.13155789599989"/>
    <x v="0"/>
    <x v="3"/>
    <n v="443892.14489939611"/>
  </r>
  <r>
    <x v="12"/>
    <x v="5"/>
    <n v="210.99144873600005"/>
    <x v="0"/>
    <x v="3"/>
    <n v="249916.90801124528"/>
  </r>
  <r>
    <x v="12"/>
    <x v="6"/>
    <n v="253.18973848319999"/>
    <x v="0"/>
    <x v="3"/>
    <n v="302899.29250962922"/>
  </r>
  <r>
    <x v="12"/>
    <x v="7"/>
    <n v="210.99144873600005"/>
    <x v="0"/>
    <x v="3"/>
    <n v="254940.23786227131"/>
  </r>
  <r>
    <x v="12"/>
    <x v="9"/>
    <n v="379.78460772480003"/>
    <x v="0"/>
    <x v="3"/>
    <n v="468116.16595794522"/>
  </r>
  <r>
    <x v="12"/>
    <x v="5"/>
    <n v="74.451385216346139"/>
    <x v="0"/>
    <x v="3"/>
    <n v="88186.79667773965"/>
  </r>
  <r>
    <x v="12"/>
    <x v="6"/>
    <n v="89.341662259615362"/>
    <x v="0"/>
    <x v="3"/>
    <n v="106882.39757342046"/>
  </r>
  <r>
    <x v="12"/>
    <x v="7"/>
    <n v="74.451385216346139"/>
    <x v="0"/>
    <x v="3"/>
    <n v="89959.351290962222"/>
  </r>
  <r>
    <x v="12"/>
    <x v="9"/>
    <n v="134.01249338942304"/>
    <x v="0"/>
    <x v="3"/>
    <n v="165181.56165343898"/>
  </r>
  <r>
    <x v="12"/>
    <x v="5"/>
    <n v="0"/>
    <x v="0"/>
    <x v="3"/>
    <n v="0"/>
  </r>
  <r>
    <x v="12"/>
    <x v="6"/>
    <n v="0"/>
    <x v="0"/>
    <x v="3"/>
    <n v="0"/>
  </r>
  <r>
    <x v="12"/>
    <x v="7"/>
    <n v="0"/>
    <x v="0"/>
    <x v="3"/>
    <n v="0"/>
  </r>
  <r>
    <x v="12"/>
    <x v="9"/>
    <n v="0"/>
    <x v="0"/>
    <x v="3"/>
    <n v="0"/>
  </r>
  <r>
    <x v="7"/>
    <x v="5"/>
    <n v="40.527614399999997"/>
    <x v="1"/>
    <x v="3"/>
    <n v="48004.486156181621"/>
  </r>
  <r>
    <x v="7"/>
    <x v="6"/>
    <n v="48.63313728"/>
    <x v="1"/>
    <x v="3"/>
    <n v="58181.43722129213"/>
  </r>
  <r>
    <x v="7"/>
    <x v="7"/>
    <n v="40.527614399999997"/>
    <x v="1"/>
    <x v="3"/>
    <n v="48969.376327920872"/>
  </r>
  <r>
    <x v="7"/>
    <x v="9"/>
    <n v="72.94970592"/>
    <x v="1"/>
    <x v="3"/>
    <n v="89916.589425801751"/>
  </r>
  <r>
    <x v="7"/>
    <x v="5"/>
    <n v="62.132928000000007"/>
    <x v="1"/>
    <x v="3"/>
    <n v="73595.727904947445"/>
  </r>
  <r>
    <x v="7"/>
    <x v="6"/>
    <n v="74.559513600000002"/>
    <x v="1"/>
    <x v="3"/>
    <n v="89198.022220796309"/>
  </r>
  <r>
    <x v="7"/>
    <x v="7"/>
    <n v="62.132928000000007"/>
    <x v="1"/>
    <x v="3"/>
    <n v="75075.002035836893"/>
  </r>
  <r>
    <x v="7"/>
    <x v="9"/>
    <n v="111.8392704"/>
    <x v="1"/>
    <x v="3"/>
    <n v="137851.21723816296"/>
  </r>
  <r>
    <x v="8"/>
    <x v="5"/>
    <n v="12.02955"/>
    <x v="1"/>
    <x v="3"/>
    <n v="14248.861547599374"/>
  </r>
  <r>
    <x v="8"/>
    <x v="6"/>
    <n v="14.435460000000001"/>
    <x v="1"/>
    <x v="3"/>
    <n v="17269.620195690444"/>
  </r>
  <r>
    <x v="8"/>
    <x v="7"/>
    <n v="12.02955"/>
    <x v="1"/>
    <x v="3"/>
    <n v="14535.263664706121"/>
  </r>
  <r>
    <x v="8"/>
    <x v="9"/>
    <n v="21.653189999999999"/>
    <x v="1"/>
    <x v="3"/>
    <n v="26689.360435860082"/>
  </r>
  <r>
    <x v="8"/>
    <x v="5"/>
    <n v="127.6704"/>
    <x v="1"/>
    <x v="3"/>
    <n v="151224.09843482351"/>
  </r>
  <r>
    <x v="8"/>
    <x v="6"/>
    <n v="153.20447999999999"/>
    <x v="1"/>
    <x v="3"/>
    <n v="183283.60730300608"/>
  </r>
  <r>
    <x v="8"/>
    <x v="7"/>
    <n v="127.6704"/>
    <x v="1"/>
    <x v="3"/>
    <n v="154263.70281336346"/>
  </r>
  <r>
    <x v="8"/>
    <x v="9"/>
    <n v="229.80672000000001"/>
    <x v="1"/>
    <x v="3"/>
    <n v="283255.92583184171"/>
  </r>
  <r>
    <x v="8"/>
    <x v="5"/>
    <n v="76.469250000000002"/>
    <x v="1"/>
    <x v="3"/>
    <n v="90576.93395835784"/>
  </r>
  <r>
    <x v="8"/>
    <x v="6"/>
    <n v="91.763099999999994"/>
    <x v="1"/>
    <x v="3"/>
    <n v="109779.24395752969"/>
  </r>
  <r>
    <x v="8"/>
    <x v="7"/>
    <n v="76.469250000000002"/>
    <x v="1"/>
    <x v="3"/>
    <n v="92397.530330920825"/>
  </r>
  <r>
    <x v="8"/>
    <x v="9"/>
    <n v="137.64464999999998"/>
    <x v="1"/>
    <x v="3"/>
    <n v="169658.49724303017"/>
  </r>
  <r>
    <x v="8"/>
    <x v="5"/>
    <n v="45.226272000000009"/>
    <x v="1"/>
    <x v="3"/>
    <n v="53569.991233426881"/>
  </r>
  <r>
    <x v="8"/>
    <x v="6"/>
    <n v="54.271526400000006"/>
    <x v="1"/>
    <x v="3"/>
    <n v="64926.829374913381"/>
  </r>
  <r>
    <x v="8"/>
    <x v="7"/>
    <n v="45.226272000000009"/>
    <x v="1"/>
    <x v="3"/>
    <n v="54646.748057218763"/>
  </r>
  <r>
    <x v="8"/>
    <x v="9"/>
    <n v="81.407289600000013"/>
    <x v="1"/>
    <x v="3"/>
    <n v="100341.26584770394"/>
  </r>
  <r>
    <x v="8"/>
    <x v="5"/>
    <n v="70.726500000000016"/>
    <x v="1"/>
    <x v="3"/>
    <n v="83774.71362156418"/>
  </r>
  <r>
    <x v="8"/>
    <x v="6"/>
    <n v="84.871799999999993"/>
    <x v="1"/>
    <x v="3"/>
    <n v="101534.95290933576"/>
  </r>
  <r>
    <x v="8"/>
    <x v="7"/>
    <n v="70.726500000000016"/>
    <x v="1"/>
    <x v="3"/>
    <n v="85458.58536535762"/>
  </r>
  <r>
    <x v="8"/>
    <x v="9"/>
    <n v="127.3077"/>
    <x v="1"/>
    <x v="3"/>
    <n v="156917.34527616229"/>
  </r>
  <r>
    <x v="8"/>
    <x v="5"/>
    <n v="316.83850000000001"/>
    <x v="1"/>
    <x v="3"/>
    <n v="375291.50462395221"/>
  </r>
  <r>
    <x v="8"/>
    <x v="6"/>
    <n v="380.20620000000002"/>
    <x v="1"/>
    <x v="3"/>
    <n v="454853.30360423011"/>
  </r>
  <r>
    <x v="8"/>
    <x v="7"/>
    <n v="316.83850000000001"/>
    <x v="1"/>
    <x v="3"/>
    <n v="382834.86386689363"/>
  </r>
  <r>
    <x v="8"/>
    <x v="9"/>
    <n v="570.30929999999989"/>
    <x v="1"/>
    <x v="3"/>
    <n v="702953.72033511254"/>
  </r>
  <r>
    <x v="9"/>
    <x v="5"/>
    <n v="494.23919999999993"/>
    <x v="1"/>
    <x v="3"/>
    <n v="585420.56288026366"/>
  </r>
  <r>
    <x v="9"/>
    <x v="6"/>
    <n v="593.08703999999989"/>
    <x v="1"/>
    <x v="3"/>
    <n v="709529.72221087955"/>
  </r>
  <r>
    <x v="9"/>
    <x v="7"/>
    <n v="494.23919999999993"/>
    <x v="1"/>
    <x v="3"/>
    <n v="597187.51619415695"/>
  </r>
  <r>
    <x v="9"/>
    <x v="9"/>
    <n v="889.63055999999972"/>
    <x v="1"/>
    <x v="3"/>
    <n v="1096543.7734853867"/>
  </r>
  <r>
    <x v="9"/>
    <x v="5"/>
    <n v="414.92880000000008"/>
    <x v="1"/>
    <x v="3"/>
    <n v="491478.31991317647"/>
  </r>
  <r>
    <x v="9"/>
    <x v="6"/>
    <n v="497.91456000000011"/>
    <x v="1"/>
    <x v="3"/>
    <n v="595671.72373476997"/>
  </r>
  <r>
    <x v="9"/>
    <x v="7"/>
    <n v="414.92880000000008"/>
    <x v="1"/>
    <x v="3"/>
    <n v="501357.03414343135"/>
  </r>
  <r>
    <x v="9"/>
    <x v="9"/>
    <n v="746.87184000000002"/>
    <x v="1"/>
    <x v="3"/>
    <n v="920581.75895348552"/>
  </r>
  <r>
    <x v="10"/>
    <x v="5"/>
    <n v="368.912109375"/>
    <x v="1"/>
    <x v="3"/>
    <n v="436972.08704541833"/>
  </r>
  <r>
    <x v="10"/>
    <x v="6"/>
    <n v="442.6945312499999"/>
    <x v="1"/>
    <x v="3"/>
    <n v="529610.16949904687"/>
  </r>
  <r>
    <x v="10"/>
    <x v="7"/>
    <n v="368.912109375"/>
    <x v="1"/>
    <x v="3"/>
    <n v="445755.22599503124"/>
  </r>
  <r>
    <x v="10"/>
    <x v="9"/>
    <n v="664.04179687499993"/>
    <x v="1"/>
    <x v="3"/>
    <n v="818486.83086755627"/>
  </r>
  <r>
    <x v="10"/>
    <x v="5"/>
    <n v="128.03764309625936"/>
    <x v="1"/>
    <x v="3"/>
    <n v="151659.09359531675"/>
  </r>
  <r>
    <x v="10"/>
    <x v="6"/>
    <n v="153.64517171551122"/>
    <x v="1"/>
    <x v="3"/>
    <n v="183810.82143752387"/>
  </r>
  <r>
    <x v="10"/>
    <x v="7"/>
    <n v="128.03764309625936"/>
    <x v="1"/>
    <x v="3"/>
    <n v="154707.4413765826"/>
  </r>
  <r>
    <x v="10"/>
    <x v="9"/>
    <n v="230.46775757326679"/>
    <x v="1"/>
    <x v="3"/>
    <n v="284070.70970685338"/>
  </r>
  <r>
    <x v="10"/>
    <x v="5"/>
    <n v="75.199218749999986"/>
    <x v="1"/>
    <x v="3"/>
    <n v="89072.596768489981"/>
  </r>
  <r>
    <x v="10"/>
    <x v="6"/>
    <n v="90.239062499999989"/>
    <x v="1"/>
    <x v="3"/>
    <n v="107955.98728340986"/>
  </r>
  <r>
    <x v="10"/>
    <x v="7"/>
    <n v="75.199218749999986"/>
    <x v="1"/>
    <x v="3"/>
    <n v="90862.955963536631"/>
  </r>
  <r>
    <x v="10"/>
    <x v="9"/>
    <n v="135.35859374999998"/>
    <x v="1"/>
    <x v="3"/>
    <n v="166840.74248112668"/>
  </r>
  <r>
    <x v="10"/>
    <x v="5"/>
    <n v="0"/>
    <x v="1"/>
    <x v="3"/>
    <n v="0"/>
  </r>
  <r>
    <x v="10"/>
    <x v="6"/>
    <n v="0"/>
    <x v="1"/>
    <x v="3"/>
    <n v="0"/>
  </r>
  <r>
    <x v="10"/>
    <x v="7"/>
    <n v="0"/>
    <x v="1"/>
    <x v="3"/>
    <n v="0"/>
  </r>
  <r>
    <x v="10"/>
    <x v="9"/>
    <n v="0"/>
    <x v="1"/>
    <x v="3"/>
    <n v="0"/>
  </r>
  <r>
    <x v="11"/>
    <x v="5"/>
    <n v="4.7048648000000011"/>
    <x v="1"/>
    <x v="3"/>
    <n v="5572.8574331852678"/>
  </r>
  <r>
    <x v="11"/>
    <x v="6"/>
    <n v="5.6458377600000009"/>
    <x v="1"/>
    <x v="3"/>
    <n v="6754.3032090205443"/>
  </r>
  <r>
    <x v="11"/>
    <x v="7"/>
    <n v="4.7048648000000011"/>
    <x v="1"/>
    <x v="3"/>
    <n v="5684.871867592291"/>
  </r>
  <r>
    <x v="11"/>
    <x v="9"/>
    <n v="8.4687566400000005"/>
    <x v="1"/>
    <x v="3"/>
    <n v="10438.448025835611"/>
  </r>
  <r>
    <x v="11"/>
    <x v="5"/>
    <n v="94.864000000000004"/>
    <x v="1"/>
    <x v="3"/>
    <n v="112365.3006015576"/>
  </r>
  <r>
    <x v="11"/>
    <x v="6"/>
    <n v="113.8368"/>
    <x v="1"/>
    <x v="3"/>
    <n v="136186.74432908779"/>
  </r>
  <r>
    <x v="11"/>
    <x v="7"/>
    <n v="94.864000000000004"/>
    <x v="1"/>
    <x v="3"/>
    <n v="114623.84314364889"/>
  </r>
  <r>
    <x v="11"/>
    <x v="9"/>
    <n v="170.7552"/>
    <x v="1"/>
    <x v="3"/>
    <n v="210470.00830350519"/>
  </r>
  <r>
    <x v="12"/>
    <x v="5"/>
    <n v="21.796875"/>
    <x v="1"/>
    <x v="3"/>
    <n v="25818.143990866665"/>
  </r>
  <r>
    <x v="12"/>
    <x v="6"/>
    <n v="26.15625"/>
    <x v="1"/>
    <x v="3"/>
    <n v="31291.590516930399"/>
  </r>
  <r>
    <x v="12"/>
    <x v="7"/>
    <n v="21.796875"/>
    <x v="1"/>
    <x v="3"/>
    <n v="26337.088685083087"/>
  </r>
  <r>
    <x v="12"/>
    <x v="9"/>
    <n v="39.234375"/>
    <x v="1"/>
    <x v="3"/>
    <n v="48359.635501775854"/>
  </r>
  <r>
    <x v="12"/>
    <x v="5"/>
    <n v="97.929000000000002"/>
    <x v="1"/>
    <x v="3"/>
    <n v="115995.75732216577"/>
  </r>
  <r>
    <x v="12"/>
    <x v="6"/>
    <n v="117.51479999999999"/>
    <x v="1"/>
    <x v="3"/>
    <n v="140586.85787446488"/>
  </r>
  <r>
    <x v="12"/>
    <x v="7"/>
    <n v="97.929000000000002"/>
    <x v="1"/>
    <x v="3"/>
    <n v="118327.27204434128"/>
  </r>
  <r>
    <x v="12"/>
    <x v="9"/>
    <n v="176.2722"/>
    <x v="1"/>
    <x v="3"/>
    <n v="217270.17038237856"/>
  </r>
  <r>
    <x v="12"/>
    <x v="5"/>
    <n v="122.08482000000002"/>
    <x v="1"/>
    <x v="3"/>
    <n v="144608.04412830001"/>
  </r>
  <r>
    <x v="12"/>
    <x v="6"/>
    <n v="146.50178399999999"/>
    <x v="1"/>
    <x v="3"/>
    <n v="175264.94948349957"/>
  </r>
  <r>
    <x v="12"/>
    <x v="7"/>
    <n v="122.08482000000002"/>
    <x v="1"/>
    <x v="3"/>
    <n v="147514.66581527883"/>
  </r>
  <r>
    <x v="12"/>
    <x v="9"/>
    <n v="219.75267600000001"/>
    <x v="1"/>
    <x v="3"/>
    <n v="270863.47907669866"/>
  </r>
  <r>
    <x v="12"/>
    <x v="5"/>
    <n v="128.74721600000001"/>
    <x v="1"/>
    <x v="3"/>
    <n v="152499.57441657179"/>
  </r>
  <r>
    <x v="12"/>
    <x v="6"/>
    <n v="154.49665920000001"/>
    <x v="1"/>
    <x v="3"/>
    <n v="184829.48419288499"/>
  </r>
  <r>
    <x v="12"/>
    <x v="7"/>
    <n v="128.74721600000001"/>
    <x v="1"/>
    <x v="3"/>
    <n v="155564.81586234487"/>
  </r>
  <r>
    <x v="12"/>
    <x v="9"/>
    <n v="231.74498879999999"/>
    <x v="1"/>
    <x v="3"/>
    <n v="285645.00359012035"/>
  </r>
  <r>
    <x v="12"/>
    <x v="5"/>
    <n v="45.213281250000001"/>
    <x v="1"/>
    <x v="3"/>
    <n v="53554.603841699878"/>
  </r>
  <r>
    <x v="12"/>
    <x v="6"/>
    <n v="54.255937499999995"/>
    <x v="1"/>
    <x v="3"/>
    <n v="64908.179856140247"/>
  </r>
  <r>
    <x v="12"/>
    <x v="7"/>
    <n v="45.213281250000001"/>
    <x v="1"/>
    <x v="3"/>
    <n v="54631.051378918048"/>
  </r>
  <r>
    <x v="12"/>
    <x v="9"/>
    <n v="81.383906249999995"/>
    <x v="1"/>
    <x v="3"/>
    <n v="100312.44392094172"/>
  </r>
  <r>
    <x v="12"/>
    <x v="5"/>
    <n v="0"/>
    <x v="1"/>
    <x v="3"/>
    <n v="0"/>
  </r>
  <r>
    <x v="12"/>
    <x v="6"/>
    <n v="0"/>
    <x v="1"/>
    <x v="3"/>
    <n v="0"/>
  </r>
  <r>
    <x v="12"/>
    <x v="7"/>
    <n v="0"/>
    <x v="1"/>
    <x v="3"/>
    <n v="0"/>
  </r>
  <r>
    <x v="12"/>
    <x v="9"/>
    <n v="0"/>
    <x v="1"/>
    <x v="3"/>
    <n v="0"/>
  </r>
  <r>
    <x v="7"/>
    <x v="5"/>
    <n v="26.931253440000003"/>
    <x v="2"/>
    <x v="3"/>
    <n v="31899.755316688439"/>
  </r>
  <r>
    <x v="7"/>
    <x v="6"/>
    <n v="32.317504127999996"/>
    <x v="2"/>
    <x v="3"/>
    <n v="38662.503443826383"/>
  </r>
  <r>
    <x v="7"/>
    <x v="7"/>
    <n v="26.931253440000003"/>
    <x v="2"/>
    <x v="3"/>
    <n v="32540.940398553874"/>
  </r>
  <r>
    <x v="7"/>
    <x v="9"/>
    <n v="48.476256192000001"/>
    <x v="2"/>
    <x v="3"/>
    <n v="59751.023941016647"/>
  </r>
  <r>
    <x v="7"/>
    <x v="5"/>
    <n v="41.288332800000006"/>
    <x v="2"/>
    <x v="3"/>
    <n v="48905.548220707016"/>
  </r>
  <r>
    <x v="7"/>
    <x v="6"/>
    <n v="49.545999360000003"/>
    <x v="2"/>
    <x v="3"/>
    <n v="59273.524443496899"/>
  </r>
  <r>
    <x v="7"/>
    <x v="7"/>
    <n v="41.288332800000006"/>
    <x v="2"/>
    <x v="3"/>
    <n v="49888.549739943228"/>
  </r>
  <r>
    <x v="7"/>
    <x v="9"/>
    <n v="74.318999039999994"/>
    <x v="2"/>
    <x v="3"/>
    <n v="91604.357261488927"/>
  </r>
  <r>
    <x v="8"/>
    <x v="5"/>
    <n v="7.99383"/>
    <x v="2"/>
    <x v="3"/>
    <n v="9468.5983187273268"/>
  </r>
  <r>
    <x v="8"/>
    <x v="6"/>
    <n v="9.5925959999999986"/>
    <x v="2"/>
    <x v="3"/>
    <n v="11475.941162297517"/>
  </r>
  <r>
    <x v="8"/>
    <x v="7"/>
    <n v="7.99383"/>
    <x v="2"/>
    <x v="3"/>
    <n v="9658.9171449337446"/>
  </r>
  <r>
    <x v="8"/>
    <x v="9"/>
    <n v="14.388894000000001"/>
    <x v="2"/>
    <x v="3"/>
    <n v="17735.510483184444"/>
  </r>
  <r>
    <x v="8"/>
    <x v="5"/>
    <n v="84.839040000000011"/>
    <x v="2"/>
    <x v="3"/>
    <n v="100490.85250830209"/>
  </r>
  <r>
    <x v="8"/>
    <x v="6"/>
    <n v="101.806848"/>
    <x v="2"/>
    <x v="3"/>
    <n v="121794.91324006212"/>
  </r>
  <r>
    <x v="8"/>
    <x v="7"/>
    <n v="84.839040000000011"/>
    <x v="2"/>
    <x v="3"/>
    <n v="102510.71864371895"/>
  </r>
  <r>
    <x v="8"/>
    <x v="9"/>
    <n v="152.710272"/>
    <x v="2"/>
    <x v="3"/>
    <n v="188228.13135922383"/>
  </r>
  <r>
    <x v="8"/>
    <x v="5"/>
    <n v="50.815049999999999"/>
    <x v="2"/>
    <x v="3"/>
    <n v="60189.833533618432"/>
  </r>
  <r>
    <x v="8"/>
    <x v="6"/>
    <n v="60.978059999999992"/>
    <x v="2"/>
    <x v="3"/>
    <n v="72950.078242745527"/>
  </r>
  <r>
    <x v="8"/>
    <x v="7"/>
    <n v="50.815049999999999"/>
    <x v="2"/>
    <x v="3"/>
    <n v="61399.649187644158"/>
  </r>
  <r>
    <x v="8"/>
    <x v="9"/>
    <n v="91.467089999999985"/>
    <x v="2"/>
    <x v="3"/>
    <n v="112740.80784536843"/>
  </r>
  <r>
    <x v="8"/>
    <x v="5"/>
    <n v="30.05358720000001"/>
    <x v="2"/>
    <x v="3"/>
    <n v="35598.123206728837"/>
  </r>
  <r>
    <x v="8"/>
    <x v="6"/>
    <n v="36.064304640000003"/>
    <x v="2"/>
    <x v="3"/>
    <n v="43144.925326555342"/>
  </r>
  <r>
    <x v="8"/>
    <x v="7"/>
    <n v="30.05358720000001"/>
    <x v="2"/>
    <x v="3"/>
    <n v="36313.645483184082"/>
  </r>
  <r>
    <x v="8"/>
    <x v="9"/>
    <n v="54.096456960000005"/>
    <x v="2"/>
    <x v="3"/>
    <n v="66678.389563312929"/>
  </r>
  <r>
    <x v="8"/>
    <x v="5"/>
    <n v="46.998899999999992"/>
    <x v="2"/>
    <x v="3"/>
    <n v="55669.648406587788"/>
  </r>
  <r>
    <x v="8"/>
    <x v="6"/>
    <n v="56.398679999999992"/>
    <x v="2"/>
    <x v="3"/>
    <n v="67471.613868784407"/>
  </r>
  <r>
    <x v="8"/>
    <x v="7"/>
    <n v="46.998899999999992"/>
    <x v="2"/>
    <x v="3"/>
    <n v="56788.608339560196"/>
  </r>
  <r>
    <x v="8"/>
    <x v="9"/>
    <n v="84.598019999999977"/>
    <x v="2"/>
    <x v="3"/>
    <n v="104274.10686093364"/>
  </r>
  <r>
    <x v="8"/>
    <x v="5"/>
    <n v="211.47170000000003"/>
    <x v="2"/>
    <x v="3"/>
    <n v="250485.76002722222"/>
  </r>
  <r>
    <x v="8"/>
    <x v="6"/>
    <n v="253.76604"/>
    <x v="2"/>
    <x v="3"/>
    <n v="303588.74115299329"/>
  </r>
  <r>
    <x v="8"/>
    <x v="7"/>
    <n v="211.47170000000003"/>
    <x v="2"/>
    <x v="3"/>
    <n v="255520.52380376938"/>
  </r>
  <r>
    <x v="8"/>
    <x v="9"/>
    <n v="380.64906000000002"/>
    <x v="2"/>
    <x v="3"/>
    <n v="469181.67539800517"/>
  </r>
  <r>
    <x v="9"/>
    <x v="5"/>
    <n v="328.42991999999998"/>
    <x v="2"/>
    <x v="3"/>
    <n v="389021.40630107844"/>
  </r>
  <r>
    <x v="9"/>
    <x v="6"/>
    <n v="394.11590399999994"/>
    <x v="2"/>
    <x v="3"/>
    <n v="471493.94443690707"/>
  </r>
  <r>
    <x v="9"/>
    <x v="7"/>
    <n v="328.42991999999998"/>
    <x v="2"/>
    <x v="3"/>
    <n v="396840.73656773014"/>
  </r>
  <r>
    <x v="9"/>
    <x v="9"/>
    <n v="591.17385599999989"/>
    <x v="2"/>
    <x v="3"/>
    <n v="728671.02367093461"/>
  </r>
  <r>
    <x v="9"/>
    <x v="5"/>
    <n v="275.72688000000005"/>
    <x v="2"/>
    <x v="3"/>
    <n v="326595.27065198182"/>
  </r>
  <r>
    <x v="9"/>
    <x v="6"/>
    <n v="330.87225600000005"/>
    <x v="2"/>
    <x v="3"/>
    <n v="395833.46803020191"/>
  </r>
  <r>
    <x v="9"/>
    <x v="7"/>
    <n v="275.72688000000005"/>
    <x v="2"/>
    <x v="3"/>
    <n v="333159.8355920866"/>
  </r>
  <r>
    <x v="9"/>
    <x v="9"/>
    <n v="496.3083840000001"/>
    <x v="2"/>
    <x v="3"/>
    <n v="611741.42691747763"/>
  </r>
  <r>
    <x v="10"/>
    <x v="5"/>
    <n v="245.14804687500001"/>
    <x v="2"/>
    <x v="3"/>
    <n v="290374.99977856834"/>
  </r>
  <r>
    <x v="10"/>
    <x v="6"/>
    <n v="294.17765624999993"/>
    <x v="2"/>
    <x v="3"/>
    <n v="351934.49973162473"/>
  </r>
  <r>
    <x v="10"/>
    <x v="7"/>
    <n v="245.14804687500001"/>
    <x v="2"/>
    <x v="3"/>
    <n v="296211.53727411752"/>
  </r>
  <r>
    <x v="10"/>
    <x v="9"/>
    <n v="441.26648437499995"/>
    <x v="2"/>
    <x v="3"/>
    <n v="543897.70051198907"/>
  </r>
  <r>
    <x v="10"/>
    <x v="5"/>
    <n v="85.083078960740067"/>
    <x v="2"/>
    <x v="3"/>
    <n v="100779.91380850077"/>
  </r>
  <r>
    <x v="10"/>
    <x v="6"/>
    <n v="102.09969475288808"/>
    <x v="2"/>
    <x v="3"/>
    <n v="122145.25553590294"/>
  </r>
  <r>
    <x v="10"/>
    <x v="7"/>
    <n v="85.083078960740067"/>
    <x v="2"/>
    <x v="3"/>
    <n v="102805.59007605164"/>
  </r>
  <r>
    <x v="10"/>
    <x v="9"/>
    <n v="153.1495421293321"/>
    <x v="2"/>
    <x v="3"/>
    <n v="188769.56838584447"/>
  </r>
  <r>
    <x v="10"/>
    <x v="5"/>
    <n v="49.971093749999994"/>
    <x v="2"/>
    <x v="3"/>
    <n v="59190.177207448185"/>
  </r>
  <r>
    <x v="10"/>
    <x v="6"/>
    <n v="59.965312499999989"/>
    <x v="2"/>
    <x v="3"/>
    <n v="71738.4947754272"/>
  </r>
  <r>
    <x v="10"/>
    <x v="7"/>
    <n v="49.971093749999994"/>
    <x v="2"/>
    <x v="3"/>
    <n v="60379.89976931789"/>
  </r>
  <r>
    <x v="10"/>
    <x v="9"/>
    <n v="89.947968749999987"/>
    <x v="2"/>
    <x v="3"/>
    <n v="110868.36435842612"/>
  </r>
  <r>
    <x v="10"/>
    <x v="5"/>
    <n v="0"/>
    <x v="2"/>
    <x v="3"/>
    <n v="0"/>
  </r>
  <r>
    <x v="10"/>
    <x v="6"/>
    <n v="0"/>
    <x v="2"/>
    <x v="3"/>
    <n v="0"/>
  </r>
  <r>
    <x v="10"/>
    <x v="7"/>
    <n v="0"/>
    <x v="2"/>
    <x v="3"/>
    <n v="0"/>
  </r>
  <r>
    <x v="10"/>
    <x v="9"/>
    <n v="0"/>
    <x v="2"/>
    <x v="3"/>
    <n v="0"/>
  </r>
  <r>
    <x v="11"/>
    <x v="5"/>
    <n v="3.6160950400000007"/>
    <x v="2"/>
    <x v="3"/>
    <n v="4283.2223622596712"/>
  </r>
  <r>
    <x v="11"/>
    <x v="6"/>
    <n v="4.3393140480000003"/>
    <x v="2"/>
    <x v="3"/>
    <n v="5191.2655030587212"/>
  </r>
  <r>
    <x v="11"/>
    <x v="7"/>
    <n v="3.6160950400000007"/>
    <x v="2"/>
    <x v="3"/>
    <n v="4369.3151317410911"/>
  </r>
  <r>
    <x v="11"/>
    <x v="9"/>
    <n v="6.5089710720000005"/>
    <x v="2"/>
    <x v="3"/>
    <n v="8022.8490586003545"/>
  </r>
  <r>
    <x v="11"/>
    <x v="5"/>
    <n v="60.790399999999991"/>
    <x v="2"/>
    <x v="3"/>
    <n v="72005.519160998112"/>
  </r>
  <r>
    <x v="11"/>
    <x v="6"/>
    <n v="72.948479999999989"/>
    <x v="2"/>
    <x v="3"/>
    <n v="87270.68922312971"/>
  </r>
  <r>
    <x v="11"/>
    <x v="7"/>
    <n v="60.790399999999991"/>
    <x v="2"/>
    <x v="3"/>
    <n v="73452.830096134174"/>
  </r>
  <r>
    <x v="11"/>
    <x v="9"/>
    <n v="109.42271999999996"/>
    <x v="2"/>
    <x v="3"/>
    <n v="134872.61756591962"/>
  </r>
  <r>
    <x v="12"/>
    <x v="5"/>
    <n v="14.484375"/>
    <x v="2"/>
    <x v="3"/>
    <n v="17156.573103608171"/>
  </r>
  <r>
    <x v="12"/>
    <x v="6"/>
    <n v="17.381249999999998"/>
    <x v="2"/>
    <x v="3"/>
    <n v="20793.766601573101"/>
  </r>
  <r>
    <x v="12"/>
    <x v="7"/>
    <n v="14.484375"/>
    <x v="2"/>
    <x v="3"/>
    <n v="17501.420222990695"/>
  </r>
  <r>
    <x v="12"/>
    <x v="9"/>
    <n v="26.071874999999999"/>
    <x v="2"/>
    <x v="3"/>
    <n v="32135.757785051053"/>
  </r>
  <r>
    <x v="12"/>
    <x v="5"/>
    <n v="65.075400000000002"/>
    <x v="2"/>
    <x v="3"/>
    <n v="77081.051639890793"/>
  </r>
  <r>
    <x v="12"/>
    <x v="6"/>
    <n v="78.090479999999999"/>
    <x v="2"/>
    <x v="3"/>
    <n v="93422.234587547646"/>
  </r>
  <r>
    <x v="12"/>
    <x v="7"/>
    <n v="65.075400000000002"/>
    <x v="2"/>
    <x v="3"/>
    <n v="78630.380777852595"/>
  </r>
  <r>
    <x v="12"/>
    <x v="9"/>
    <n v="117.13572000000001"/>
    <x v="2"/>
    <x v="3"/>
    <n v="144379.53257667739"/>
  </r>
  <r>
    <x v="12"/>
    <x v="5"/>
    <n v="81.127332000000038"/>
    <x v="2"/>
    <x v="3"/>
    <n v="96094.377711063906"/>
  </r>
  <r>
    <x v="12"/>
    <x v="6"/>
    <n v="97.352798400000012"/>
    <x v="2"/>
    <x v="3"/>
    <n v="116466.38578580941"/>
  </r>
  <r>
    <x v="12"/>
    <x v="7"/>
    <n v="81.127332000000038"/>
    <x v="2"/>
    <x v="3"/>
    <n v="98025.874703056281"/>
  </r>
  <r>
    <x v="12"/>
    <x v="9"/>
    <n v="146.0291976"/>
    <x v="2"/>
    <x v="3"/>
    <n v="179993.1506122578"/>
  </r>
  <r>
    <x v="12"/>
    <x v="5"/>
    <n v="85.554601599999998"/>
    <x v="2"/>
    <x v="3"/>
    <n v="101338.42687036704"/>
  </r>
  <r>
    <x v="12"/>
    <x v="6"/>
    <n v="102.66552192"/>
    <x v="2"/>
    <x v="3"/>
    <n v="122822.17336688486"/>
  </r>
  <r>
    <x v="12"/>
    <x v="7"/>
    <n v="85.554601599999998"/>
    <x v="2"/>
    <x v="3"/>
    <n v="103375.32925046142"/>
  </r>
  <r>
    <x v="12"/>
    <x v="9"/>
    <n v="153.99828287999998"/>
    <x v="2"/>
    <x v="3"/>
    <n v="189815.71206311221"/>
  </r>
  <r>
    <x v="12"/>
    <x v="5"/>
    <n v="29.419406250000005"/>
    <x v="2"/>
    <x v="3"/>
    <n v="34846.943274588804"/>
  </r>
  <r>
    <x v="12"/>
    <x v="6"/>
    <n v="35.303287500000003"/>
    <x v="2"/>
    <x v="3"/>
    <n v="42234.495248801628"/>
  </r>
  <r>
    <x v="12"/>
    <x v="7"/>
    <n v="29.419406250000005"/>
    <x v="2"/>
    <x v="3"/>
    <n v="35547.366834408043"/>
  </r>
  <r>
    <x v="12"/>
    <x v="9"/>
    <n v="52.954931250000001"/>
    <x v="2"/>
    <x v="3"/>
    <n v="65271.364034003345"/>
  </r>
  <r>
    <x v="12"/>
    <x v="5"/>
    <n v="0"/>
    <x v="2"/>
    <x v="3"/>
    <n v="0"/>
  </r>
  <r>
    <x v="12"/>
    <x v="6"/>
    <n v="0"/>
    <x v="2"/>
    <x v="3"/>
    <n v="0"/>
  </r>
  <r>
    <x v="12"/>
    <x v="7"/>
    <n v="0"/>
    <x v="2"/>
    <x v="3"/>
    <n v="0"/>
  </r>
  <r>
    <x v="12"/>
    <x v="9"/>
    <n v="0"/>
    <x v="2"/>
    <x v="3"/>
    <n v="0"/>
  </r>
  <r>
    <x v="7"/>
    <x v="5"/>
    <n v="173.44121932199999"/>
    <x v="3"/>
    <x v="3"/>
    <n v="205439.0996143659"/>
  </r>
  <r>
    <x v="7"/>
    <x v="6"/>
    <n v="208.12946318639996"/>
    <x v="3"/>
    <x v="3"/>
    <n v="248992.18873261142"/>
  </r>
  <r>
    <x v="7"/>
    <x v="7"/>
    <n v="173.44121932199999"/>
    <x v="3"/>
    <x v="3"/>
    <n v="209568.42551661466"/>
  </r>
  <r>
    <x v="7"/>
    <x v="9"/>
    <n v="312.19419477959997"/>
    <x v="3"/>
    <x v="3"/>
    <n v="384805.35156509746"/>
  </r>
  <r>
    <x v="7"/>
    <x v="5"/>
    <n v="265.90291464000001"/>
    <x v="3"/>
    <x v="3"/>
    <n v="314958.89836348779"/>
  </r>
  <r>
    <x v="7"/>
    <x v="6"/>
    <n v="319.08349756799998"/>
    <x v="3"/>
    <x v="3"/>
    <n v="381730.1848165472"/>
  </r>
  <r>
    <x v="7"/>
    <x v="7"/>
    <n v="265.90291464000001"/>
    <x v="3"/>
    <x v="3"/>
    <n v="321289.57222059392"/>
  </r>
  <r>
    <x v="7"/>
    <x v="9"/>
    <n v="478.62524635199998"/>
    <x v="3"/>
    <x v="3"/>
    <n v="589945.48672001006"/>
  </r>
  <r>
    <x v="8"/>
    <x v="5"/>
    <n v="51.4814368125"/>
    <x v="3"/>
    <x v="3"/>
    <n v="60979.160933933366"/>
  </r>
  <r>
    <x v="8"/>
    <x v="6"/>
    <n v="61.777724175000003"/>
    <x v="3"/>
    <x v="3"/>
    <n v="73906.743051927246"/>
  </r>
  <r>
    <x v="8"/>
    <x v="7"/>
    <n v="51.4814368125"/>
    <x v="3"/>
    <x v="3"/>
    <n v="62204.842068705424"/>
  </r>
  <r>
    <x v="8"/>
    <x v="9"/>
    <n v="92.666586262500005"/>
    <x v="3"/>
    <x v="3"/>
    <n v="114219.28690971553"/>
  </r>
  <r>
    <x v="8"/>
    <x v="5"/>
    <n v="546.37585200000012"/>
    <x v="3"/>
    <x v="3"/>
    <n v="647175.81855511211"/>
  </r>
  <r>
    <x v="8"/>
    <x v="6"/>
    <n v="655.6510224000001"/>
    <x v="3"/>
    <x v="3"/>
    <n v="784377.09208879573"/>
  </r>
  <r>
    <x v="8"/>
    <x v="7"/>
    <n v="546.37585200000012"/>
    <x v="3"/>
    <x v="3"/>
    <n v="660184.05250806978"/>
  </r>
  <r>
    <x v="8"/>
    <x v="9"/>
    <n v="983.47653360000015"/>
    <x v="3"/>
    <x v="3"/>
    <n v="1212216.7535342674"/>
  </r>
  <r>
    <x v="8"/>
    <x v="5"/>
    <n v="327.25636968749996"/>
    <x v="3"/>
    <x v="3"/>
    <n v="387631.3496554055"/>
  </r>
  <r>
    <x v="8"/>
    <x v="6"/>
    <n v="392.70764362499995"/>
    <x v="3"/>
    <x v="3"/>
    <n v="469809.19578235148"/>
  </r>
  <r>
    <x v="8"/>
    <x v="7"/>
    <n v="327.25636968749996"/>
    <x v="3"/>
    <x v="3"/>
    <n v="395422.73978347919"/>
  </r>
  <r>
    <x v="8"/>
    <x v="9"/>
    <n v="589.06146543749992"/>
    <x v="3"/>
    <x v="3"/>
    <n v="726067.32633562875"/>
  </r>
  <r>
    <x v="8"/>
    <x v="5"/>
    <n v="193.54950636000004"/>
    <x v="3"/>
    <x v="3"/>
    <n v="229257.13087603817"/>
  </r>
  <r>
    <x v="8"/>
    <x v="6"/>
    <n v="232.25940763200003"/>
    <x v="3"/>
    <x v="3"/>
    <n v="277859.64262175828"/>
  </r>
  <r>
    <x v="8"/>
    <x v="7"/>
    <n v="193.54950636000004"/>
    <x v="3"/>
    <x v="3"/>
    <n v="233865.19920664653"/>
  </r>
  <r>
    <x v="8"/>
    <x v="9"/>
    <n v="348.38911144800005"/>
    <x v="3"/>
    <x v="3"/>
    <n v="429418.60147926019"/>
  </r>
  <r>
    <x v="8"/>
    <x v="5"/>
    <n v="302.679804375"/>
    <x v="3"/>
    <x v="3"/>
    <n v="358520.69493820122"/>
  </r>
  <r>
    <x v="8"/>
    <x v="6"/>
    <n v="363.21576525"/>
    <x v="3"/>
    <x v="3"/>
    <n v="434527.08226509986"/>
  </r>
  <r>
    <x v="8"/>
    <x v="7"/>
    <n v="302.679804375"/>
    <x v="3"/>
    <x v="3"/>
    <n v="365726.96090645902"/>
  </r>
  <r>
    <x v="8"/>
    <x v="9"/>
    <n v="544.82364787500001"/>
    <x v="3"/>
    <x v="3"/>
    <n v="671540.53107722197"/>
  </r>
  <r>
    <x v="8"/>
    <x v="5"/>
    <n v="1136.6955379999995"/>
    <x v="3"/>
    <x v="3"/>
    <n v="1346402.595503238"/>
  </r>
  <r>
    <x v="8"/>
    <x v="6"/>
    <n v="1364.0346455999995"/>
    <x v="3"/>
    <x v="3"/>
    <n v="1631839.9457499245"/>
  </r>
  <r>
    <x v="8"/>
    <x v="7"/>
    <n v="1136.6955379999995"/>
    <x v="3"/>
    <x v="3"/>
    <n v="1373465.2876728531"/>
  </r>
  <r>
    <x v="8"/>
    <x v="9"/>
    <n v="2046.0519683999992"/>
    <x v="3"/>
    <x v="3"/>
    <n v="2521929.4919191389"/>
  </r>
  <r>
    <x v="9"/>
    <x v="5"/>
    <n v="2115.1368210000001"/>
    <x v="3"/>
    <x v="3"/>
    <n v="2505354.8733459259"/>
  </r>
  <r>
    <x v="9"/>
    <x v="6"/>
    <n v="2538.1641851999998"/>
    <x v="3"/>
    <x v="3"/>
    <n v="3036490.1064952617"/>
  </r>
  <r>
    <x v="9"/>
    <x v="7"/>
    <n v="2115.1368210000001"/>
    <x v="3"/>
    <x v="3"/>
    <n v="2555712.5063001788"/>
  </r>
  <r>
    <x v="9"/>
    <x v="9"/>
    <n v="3807.2462777999999"/>
    <x v="3"/>
    <x v="3"/>
    <n v="4692748.1898182621"/>
  </r>
  <r>
    <x v="9"/>
    <x v="5"/>
    <n v="1775.7215189999999"/>
    <x v="3"/>
    <x v="3"/>
    <n v="2103321.4103041138"/>
  </r>
  <r>
    <x v="9"/>
    <x v="6"/>
    <n v="2130.8658227999999"/>
    <x v="3"/>
    <x v="3"/>
    <n v="2549225.5492885858"/>
  </r>
  <r>
    <x v="9"/>
    <x v="7"/>
    <n v="1775.7215189999999"/>
    <x v="3"/>
    <x v="3"/>
    <n v="2145598.1706512263"/>
  </r>
  <r>
    <x v="9"/>
    <x v="9"/>
    <n v="3196.2987341999997"/>
    <x v="3"/>
    <x v="3"/>
    <n v="3939704.4489863683"/>
  </r>
  <r>
    <x v="10"/>
    <x v="5"/>
    <n v="187.56665642570283"/>
    <x v="3"/>
    <x v="3"/>
    <n v="222170.514969885"/>
  </r>
  <r>
    <x v="10"/>
    <x v="6"/>
    <n v="225.07998771084337"/>
    <x v="3"/>
    <x v="3"/>
    <n v="269270.66414350062"/>
  </r>
  <r>
    <x v="10"/>
    <x v="7"/>
    <n v="187.56665642570283"/>
    <x v="3"/>
    <x v="3"/>
    <n v="226636.14232077968"/>
  </r>
  <r>
    <x v="10"/>
    <x v="9"/>
    <n v="337.61998156626504"/>
    <x v="3"/>
    <x v="3"/>
    <n v="416144.75180656917"/>
  </r>
  <r>
    <x v="10"/>
    <x v="5"/>
    <n v="0"/>
    <x v="3"/>
    <x v="3"/>
    <n v="0"/>
  </r>
  <r>
    <x v="10"/>
    <x v="6"/>
    <n v="0"/>
    <x v="3"/>
    <x v="3"/>
    <n v="0"/>
  </r>
  <r>
    <x v="10"/>
    <x v="7"/>
    <n v="0"/>
    <x v="3"/>
    <x v="3"/>
    <n v="0"/>
  </r>
  <r>
    <x v="10"/>
    <x v="9"/>
    <n v="0"/>
    <x v="3"/>
    <x v="3"/>
    <n v="0"/>
  </r>
  <r>
    <x v="10"/>
    <x v="5"/>
    <n v="0"/>
    <x v="3"/>
    <x v="3"/>
    <n v="0"/>
  </r>
  <r>
    <x v="10"/>
    <x v="6"/>
    <n v="0"/>
    <x v="3"/>
    <x v="3"/>
    <n v="0"/>
  </r>
  <r>
    <x v="10"/>
    <x v="7"/>
    <n v="0"/>
    <x v="3"/>
    <x v="3"/>
    <n v="0"/>
  </r>
  <r>
    <x v="10"/>
    <x v="9"/>
    <n v="0"/>
    <x v="3"/>
    <x v="3"/>
    <n v="0"/>
  </r>
  <r>
    <x v="10"/>
    <x v="5"/>
    <n v="1291.3293719315559"/>
    <x v="3"/>
    <x v="3"/>
    <n v="1529564.5666713382"/>
  </r>
  <r>
    <x v="10"/>
    <x v="6"/>
    <n v="1549.5952463178671"/>
    <x v="3"/>
    <x v="3"/>
    <n v="1853832.254805662"/>
  </r>
  <r>
    <x v="10"/>
    <x v="7"/>
    <n v="1291.3293719315559"/>
    <x v="3"/>
    <x v="3"/>
    <n v="1560308.8144614322"/>
  </r>
  <r>
    <x v="10"/>
    <x v="9"/>
    <n v="2324.392869476801"/>
    <x v="3"/>
    <x v="3"/>
    <n v="2865007.8389377929"/>
  </r>
  <r>
    <x v="11"/>
    <x v="5"/>
    <n v="18.627569688000005"/>
    <x v="3"/>
    <x v="3"/>
    <n v="22064.138845806447"/>
  </r>
  <r>
    <x v="11"/>
    <x v="6"/>
    <n v="22.353083625600004"/>
    <x v="3"/>
    <x v="3"/>
    <n v="26741.73628111741"/>
  </r>
  <r>
    <x v="11"/>
    <x v="7"/>
    <n v="18.627569688000005"/>
    <x v="3"/>
    <x v="3"/>
    <n v="22507.628036607155"/>
  </r>
  <r>
    <x v="11"/>
    <x v="9"/>
    <n v="33.529625438400004"/>
    <x v="3"/>
    <x v="3"/>
    <n v="41328.056448257317"/>
  </r>
  <r>
    <x v="11"/>
    <x v="5"/>
    <n v="937.47049000000015"/>
    <x v="3"/>
    <x v="3"/>
    <n v="1110422.8518082676"/>
  </r>
  <r>
    <x v="11"/>
    <x v="6"/>
    <n v="1124.964588"/>
    <x v="3"/>
    <x v="3"/>
    <n v="1345832.4963916203"/>
  </r>
  <r>
    <x v="11"/>
    <x v="7"/>
    <n v="937.47049000000015"/>
    <x v="3"/>
    <x v="3"/>
    <n v="1132742.3511296138"/>
  </r>
  <r>
    <x v="11"/>
    <x v="9"/>
    <n v="1687.446882"/>
    <x v="3"/>
    <x v="3"/>
    <n v="2079918.8502971737"/>
  </r>
  <r>
    <x v="12"/>
    <x v="5"/>
    <n v="0"/>
    <x v="3"/>
    <x v="3"/>
    <n v="0"/>
  </r>
  <r>
    <x v="12"/>
    <x v="6"/>
    <n v="0"/>
    <x v="3"/>
    <x v="3"/>
    <n v="0"/>
  </r>
  <r>
    <x v="12"/>
    <x v="7"/>
    <n v="0"/>
    <x v="3"/>
    <x v="3"/>
    <n v="0"/>
  </r>
  <r>
    <x v="12"/>
    <x v="9"/>
    <n v="0"/>
    <x v="3"/>
    <x v="3"/>
    <n v="0"/>
  </r>
  <r>
    <x v="12"/>
    <x v="5"/>
    <n v="419.09511375000005"/>
    <x v="3"/>
    <x v="3"/>
    <n v="496413.26991443249"/>
  </r>
  <r>
    <x v="12"/>
    <x v="6"/>
    <n v="502.91413649999998"/>
    <x v="3"/>
    <x v="3"/>
    <n v="601652.8831362921"/>
  </r>
  <r>
    <x v="12"/>
    <x v="7"/>
    <n v="419.09511375000005"/>
    <x v="3"/>
    <x v="3"/>
    <n v="506391.17663971259"/>
  </r>
  <r>
    <x v="12"/>
    <x v="9"/>
    <n v="754.37120474999995"/>
    <x v="3"/>
    <x v="3"/>
    <n v="929825.35072230722"/>
  </r>
  <r>
    <x v="12"/>
    <x v="5"/>
    <n v="522.47190847500008"/>
    <x v="3"/>
    <x v="3"/>
    <n v="618861.87649332592"/>
  </r>
  <r>
    <x v="12"/>
    <x v="6"/>
    <n v="626.96629017000009"/>
    <x v="3"/>
    <x v="3"/>
    <n v="750060.59430991102"/>
  </r>
  <r>
    <x v="12"/>
    <x v="7"/>
    <n v="522.47190847500008"/>
    <x v="3"/>
    <x v="3"/>
    <n v="631301.00021084165"/>
  </r>
  <r>
    <x v="12"/>
    <x v="9"/>
    <n v="940.44943525500003"/>
    <x v="3"/>
    <x v="3"/>
    <n v="1159182.2705671431"/>
  </r>
  <r>
    <x v="12"/>
    <x v="5"/>
    <n v="550.98417357999995"/>
    <x v="3"/>
    <x v="3"/>
    <n v="652634.32167120802"/>
  </r>
  <r>
    <x v="12"/>
    <x v="6"/>
    <n v="661.18100829599996"/>
    <x v="3"/>
    <x v="3"/>
    <n v="790992.79786550417"/>
  </r>
  <r>
    <x v="12"/>
    <x v="7"/>
    <n v="550.98417357999995"/>
    <x v="3"/>
    <x v="3"/>
    <n v="665752.27153679926"/>
  </r>
  <r>
    <x v="12"/>
    <x v="9"/>
    <n v="991.77151244399988"/>
    <x v="3"/>
    <x v="3"/>
    <n v="1222441.00595044"/>
  </r>
  <r>
    <x v="12"/>
    <x v="5"/>
    <n v="195.89517871485947"/>
    <x v="3"/>
    <x v="3"/>
    <n v="232035.55239807544"/>
  </r>
  <r>
    <x v="12"/>
    <x v="6"/>
    <n v="235.07421445783137"/>
    <x v="3"/>
    <x v="3"/>
    <n v="281227.08950646746"/>
  </r>
  <r>
    <x v="12"/>
    <x v="7"/>
    <n v="195.89517871485947"/>
    <x v="3"/>
    <x v="3"/>
    <n v="236699.46700127676"/>
  </r>
  <r>
    <x v="12"/>
    <x v="9"/>
    <n v="352.61132168674703"/>
    <x v="3"/>
    <x v="3"/>
    <n v="434622.82731840434"/>
  </r>
  <r>
    <x v="12"/>
    <x v="5"/>
    <n v="0"/>
    <x v="3"/>
    <x v="3"/>
    <n v="0"/>
  </r>
  <r>
    <x v="12"/>
    <x v="6"/>
    <n v="0"/>
    <x v="3"/>
    <x v="3"/>
    <n v="0"/>
  </r>
  <r>
    <x v="12"/>
    <x v="7"/>
    <n v="0"/>
    <x v="3"/>
    <x v="3"/>
    <n v="0"/>
  </r>
  <r>
    <x v="12"/>
    <x v="9"/>
    <n v="0"/>
    <x v="3"/>
    <x v="3"/>
    <n v="0"/>
  </r>
  <r>
    <x v="7"/>
    <x v="5"/>
    <n v="72.83278928352"/>
    <x v="4"/>
    <x v="3"/>
    <n v="86269.58869004708"/>
  </r>
  <r>
    <x v="7"/>
    <x v="6"/>
    <n v="87.399347140223981"/>
    <x v="4"/>
    <x v="3"/>
    <n v="104558.74149233704"/>
  </r>
  <r>
    <x v="7"/>
    <x v="7"/>
    <n v="72.83278928352"/>
    <x v="4"/>
    <x v="3"/>
    <n v="88003.607422717032"/>
  </r>
  <r>
    <x v="7"/>
    <x v="9"/>
    <n v="131.09902071033599"/>
    <x v="4"/>
    <x v="3"/>
    <n v="161590.46387744453"/>
  </r>
  <r>
    <x v="7"/>
    <x v="5"/>
    <n v="111.66002538239999"/>
    <x v="4"/>
    <x v="3"/>
    <n v="132259.99659798158"/>
  </r>
  <r>
    <x v="7"/>
    <x v="6"/>
    <n v="133.99203045887998"/>
    <x v="4"/>
    <x v="3"/>
    <n v="160299.11587675367"/>
  </r>
  <r>
    <x v="7"/>
    <x v="7"/>
    <n v="111.66002538239999"/>
    <x v="4"/>
    <x v="3"/>
    <n v="134918.422529601"/>
  </r>
  <r>
    <x v="7"/>
    <x v="9"/>
    <n v="200.98804568832"/>
    <x v="4"/>
    <x v="3"/>
    <n v="247734.50908040279"/>
  </r>
  <r>
    <x v="8"/>
    <x v="5"/>
    <n v="21.618486390000001"/>
    <x v="4"/>
    <x v="3"/>
    <n v="25606.844764747759"/>
  </r>
  <r>
    <x v="8"/>
    <x v="6"/>
    <n v="25.942183667999998"/>
    <x v="4"/>
    <x v="3"/>
    <n v="31035.495854874283"/>
  </r>
  <r>
    <x v="8"/>
    <x v="7"/>
    <n v="21.618486390000001"/>
    <x v="4"/>
    <x v="3"/>
    <n v="26121.542344519188"/>
  </r>
  <r>
    <x v="8"/>
    <x v="9"/>
    <n v="38.913275501999998"/>
    <x v="4"/>
    <x v="3"/>
    <n v="47963.853622159237"/>
  </r>
  <r>
    <x v="8"/>
    <x v="5"/>
    <n v="229.43840832000009"/>
    <x v="4"/>
    <x v="3"/>
    <n v="271767.11629722256"/>
  </r>
  <r>
    <x v="8"/>
    <x v="6"/>
    <n v="275.32608998400008"/>
    <x v="4"/>
    <x v="3"/>
    <n v="329381.74495223368"/>
  </r>
  <r>
    <x v="8"/>
    <x v="7"/>
    <n v="229.43840832000009"/>
    <x v="4"/>
    <x v="3"/>
    <n v="277229.63533479674"/>
  </r>
  <r>
    <x v="8"/>
    <x v="9"/>
    <n v="412.98913497600006"/>
    <x v="4"/>
    <x v="3"/>
    <n v="509043.5118090469"/>
  </r>
  <r>
    <x v="8"/>
    <x v="5"/>
    <n v="137.42404664999998"/>
    <x v="4"/>
    <x v="3"/>
    <n v="162777.1790321905"/>
  </r>
  <r>
    <x v="8"/>
    <x v="6"/>
    <n v="164.90885597999997"/>
    <x v="4"/>
    <x v="3"/>
    <n v="197285.94098701488"/>
  </r>
  <r>
    <x v="8"/>
    <x v="7"/>
    <n v="137.42404664999998"/>
    <x v="4"/>
    <x v="3"/>
    <n v="166049.00033073753"/>
  </r>
  <r>
    <x v="8"/>
    <x v="9"/>
    <n v="247.36328396999991"/>
    <x v="4"/>
    <x v="3"/>
    <n v="304895.85342729354"/>
  </r>
  <r>
    <x v="8"/>
    <x v="5"/>
    <n v="81.276817977600018"/>
    <x v="4"/>
    <x v="3"/>
    <n v="96271.442106500937"/>
  </r>
  <r>
    <x v="8"/>
    <x v="6"/>
    <n v="97.532181573120013"/>
    <x v="4"/>
    <x v="3"/>
    <n v="116680.98783307914"/>
  </r>
  <r>
    <x v="8"/>
    <x v="7"/>
    <n v="81.276817977600018"/>
    <x v="4"/>
    <x v="3"/>
    <n v="98206.498092841604"/>
  </r>
  <r>
    <x v="8"/>
    <x v="9"/>
    <n v="146.29827235968003"/>
    <x v="4"/>
    <x v="3"/>
    <n v="180324.80766811388"/>
  </r>
  <r>
    <x v="8"/>
    <x v="5"/>
    <n v="127.10366370000004"/>
    <x v="4"/>
    <x v="3"/>
    <n v="150552.80590329089"/>
  </r>
  <r>
    <x v="8"/>
    <x v="6"/>
    <n v="152.52439644"/>
    <x v="4"/>
    <x v="3"/>
    <n v="182470.00075478852"/>
  </r>
  <r>
    <x v="8"/>
    <x v="7"/>
    <n v="127.10366370000004"/>
    <x v="4"/>
    <x v="3"/>
    <n v="153578.91730194705"/>
  </r>
  <r>
    <x v="8"/>
    <x v="9"/>
    <n v="228.78659465999999"/>
    <x v="4"/>
    <x v="3"/>
    <n v="281998.536371489"/>
  </r>
  <r>
    <x v="8"/>
    <x v="5"/>
    <n v="477.33005407999991"/>
    <x v="4"/>
    <x v="3"/>
    <n v="565391.87692756928"/>
  </r>
  <r>
    <x v="8"/>
    <x v="6"/>
    <n v="572.79606489599985"/>
    <x v="4"/>
    <x v="3"/>
    <n v="685254.95483621384"/>
  </r>
  <r>
    <x v="8"/>
    <x v="7"/>
    <n v="477.33005407999991"/>
    <x v="4"/>
    <x v="3"/>
    <n v="576756.25365381339"/>
  </r>
  <r>
    <x v="8"/>
    <x v="9"/>
    <n v="859.19409734399983"/>
    <x v="4"/>
    <x v="3"/>
    <n v="1059028.297834059"/>
  </r>
  <r>
    <x v="9"/>
    <x v="5"/>
    <n v="888.20474736000017"/>
    <x v="4"/>
    <x v="3"/>
    <n v="1052068.154756672"/>
  </r>
  <r>
    <x v="9"/>
    <x v="6"/>
    <n v="1065.8456968320002"/>
    <x v="4"/>
    <x v="3"/>
    <n v="1275106.6035650864"/>
  </r>
  <r>
    <x v="9"/>
    <x v="7"/>
    <n v="888.20474736000017"/>
    <x v="4"/>
    <x v="3"/>
    <n v="1073214.7246672811"/>
  </r>
  <r>
    <x v="9"/>
    <x v="9"/>
    <n v="1598.7685452480002"/>
    <x v="4"/>
    <x v="3"/>
    <n v="1970615.4131395679"/>
  </r>
  <r>
    <x v="9"/>
    <x v="5"/>
    <n v="745.67482703999997"/>
    <x v="4"/>
    <x v="3"/>
    <n v="883243.12796597288"/>
  </r>
  <r>
    <x v="9"/>
    <x v="6"/>
    <n v="894.80979244800005"/>
    <x v="4"/>
    <x v="3"/>
    <n v="1070490.6710947594"/>
  </r>
  <r>
    <x v="9"/>
    <x v="7"/>
    <n v="745.67482703999997"/>
    <x v="4"/>
    <x v="3"/>
    <n v="900996.31483808893"/>
  </r>
  <r>
    <x v="9"/>
    <x v="9"/>
    <n v="1342.214688672"/>
    <x v="4"/>
    <x v="3"/>
    <n v="1654391.4133794021"/>
  </r>
  <r>
    <x v="10"/>
    <x v="5"/>
    <n v="78.764452979919682"/>
    <x v="4"/>
    <x v="3"/>
    <n v="93295.575094935091"/>
  </r>
  <r>
    <x v="10"/>
    <x v="6"/>
    <n v="94.517343575903595"/>
    <x v="4"/>
    <x v="3"/>
    <n v="113074.23701506131"/>
  </r>
  <r>
    <x v="10"/>
    <x v="7"/>
    <n v="78.764452979919682"/>
    <x v="4"/>
    <x v="3"/>
    <n v="95170.816154343294"/>
  </r>
  <r>
    <x v="10"/>
    <x v="9"/>
    <n v="141.77601536385541"/>
    <x v="4"/>
    <x v="3"/>
    <n v="174750.74920628202"/>
  </r>
  <r>
    <x v="10"/>
    <x v="5"/>
    <n v="0"/>
    <x v="4"/>
    <x v="3"/>
    <n v="0"/>
  </r>
  <r>
    <x v="10"/>
    <x v="6"/>
    <n v="0"/>
    <x v="4"/>
    <x v="3"/>
    <n v="0"/>
  </r>
  <r>
    <x v="10"/>
    <x v="7"/>
    <n v="0"/>
    <x v="4"/>
    <x v="3"/>
    <n v="0"/>
  </r>
  <r>
    <x v="10"/>
    <x v="9"/>
    <n v="0"/>
    <x v="4"/>
    <x v="3"/>
    <n v="0"/>
  </r>
  <r>
    <x v="10"/>
    <x v="5"/>
    <n v="0"/>
    <x v="4"/>
    <x v="3"/>
    <n v="0"/>
  </r>
  <r>
    <x v="10"/>
    <x v="6"/>
    <n v="0"/>
    <x v="4"/>
    <x v="3"/>
    <n v="0"/>
  </r>
  <r>
    <x v="10"/>
    <x v="7"/>
    <n v="0"/>
    <x v="4"/>
    <x v="3"/>
    <n v="0"/>
  </r>
  <r>
    <x v="10"/>
    <x v="9"/>
    <n v="0"/>
    <x v="4"/>
    <x v="3"/>
    <n v="0"/>
  </r>
  <r>
    <x v="10"/>
    <x v="5"/>
    <n v="542.26509943349674"/>
    <x v="4"/>
    <x v="3"/>
    <n v="642306.68012711219"/>
  </r>
  <r>
    <x v="10"/>
    <x v="6"/>
    <n v="650.71811932019602"/>
    <x v="4"/>
    <x v="3"/>
    <n v="778475.6963140599"/>
  </r>
  <r>
    <x v="10"/>
    <x v="7"/>
    <n v="542.26509943349674"/>
    <x v="4"/>
    <x v="3"/>
    <n v="655217.04439766717"/>
  </r>
  <r>
    <x v="10"/>
    <x v="9"/>
    <n v="976.07717898029409"/>
    <x v="4"/>
    <x v="3"/>
    <n v="1203096.4325821083"/>
  </r>
  <r>
    <x v="11"/>
    <x v="5"/>
    <n v="7.8222343180800014"/>
    <x v="4"/>
    <x v="3"/>
    <n v="9265.3452366216807"/>
  </r>
  <r>
    <x v="11"/>
    <x v="6"/>
    <n v="9.3866811816960016"/>
    <x v="4"/>
    <x v="3"/>
    <n v="11229.598426785478"/>
  </r>
  <r>
    <x v="11"/>
    <x v="7"/>
    <n v="7.8222343180800014"/>
    <x v="4"/>
    <x v="3"/>
    <n v="9451.5786758777758"/>
  </r>
  <r>
    <x v="11"/>
    <x v="9"/>
    <n v="14.080021772544001"/>
    <x v="4"/>
    <x v="3"/>
    <n v="17354.799733073254"/>
  </r>
  <r>
    <x v="11"/>
    <x v="5"/>
    <n v="393.66991839999997"/>
    <x v="4"/>
    <x v="3"/>
    <n v="466297.4228243237"/>
  </r>
  <r>
    <x v="11"/>
    <x v="6"/>
    <n v="472.40390208000002"/>
    <x v="4"/>
    <x v="3"/>
    <n v="565152.47646308038"/>
  </r>
  <r>
    <x v="11"/>
    <x v="7"/>
    <n v="393.66991839999997"/>
    <x v="4"/>
    <x v="3"/>
    <n v="475670.0010230926"/>
  </r>
  <r>
    <x v="11"/>
    <x v="9"/>
    <n v="708.60585312000001"/>
    <x v="4"/>
    <x v="3"/>
    <n v="873415.74247858219"/>
  </r>
  <r>
    <x v="12"/>
    <x v="5"/>
    <n v="0"/>
    <x v="4"/>
    <x v="3"/>
    <n v="0"/>
  </r>
  <r>
    <x v="12"/>
    <x v="6"/>
    <n v="0"/>
    <x v="4"/>
    <x v="3"/>
    <n v="0"/>
  </r>
  <r>
    <x v="12"/>
    <x v="7"/>
    <n v="0"/>
    <x v="4"/>
    <x v="3"/>
    <n v="0"/>
  </r>
  <r>
    <x v="12"/>
    <x v="9"/>
    <n v="0"/>
    <x v="4"/>
    <x v="3"/>
    <n v="0"/>
  </r>
  <r>
    <x v="12"/>
    <x v="5"/>
    <n v="175.98968820000002"/>
    <x v="4"/>
    <x v="3"/>
    <n v="208457.73125071044"/>
  </r>
  <r>
    <x v="12"/>
    <x v="6"/>
    <n v="211.18762584000001"/>
    <x v="4"/>
    <x v="3"/>
    <n v="252650.77027586102"/>
  </r>
  <r>
    <x v="12"/>
    <x v="7"/>
    <n v="175.98968820000002"/>
    <x v="4"/>
    <x v="3"/>
    <n v="212647.7316488497"/>
  </r>
  <r>
    <x v="12"/>
    <x v="9"/>
    <n v="316.78143876000001"/>
    <x v="4"/>
    <x v="3"/>
    <n v="390459.51189898478"/>
  </r>
  <r>
    <x v="12"/>
    <x v="5"/>
    <n v="219.40047795600003"/>
    <x v="4"/>
    <x v="3"/>
    <n v="259877.30495921901"/>
  </r>
  <r>
    <x v="12"/>
    <x v="6"/>
    <n v="263.28057354720005"/>
    <x v="4"/>
    <x v="3"/>
    <n v="314971.29361057346"/>
  </r>
  <r>
    <x v="12"/>
    <x v="7"/>
    <n v="219.40047795600003"/>
    <x v="4"/>
    <x v="3"/>
    <n v="265100.8387888993"/>
  </r>
  <r>
    <x v="12"/>
    <x v="9"/>
    <n v="394.9208603208001"/>
    <x v="4"/>
    <x v="3"/>
    <n v="486772.85816740117"/>
  </r>
  <r>
    <x v="12"/>
    <x v="5"/>
    <n v="231.3735706528"/>
    <x v="4"/>
    <x v="3"/>
    <n v="274059.29349023435"/>
  </r>
  <r>
    <x v="12"/>
    <x v="6"/>
    <n v="277.64828478335994"/>
    <x v="4"/>
    <x v="3"/>
    <n v="332159.86371016398"/>
  </r>
  <r>
    <x v="12"/>
    <x v="7"/>
    <n v="231.3735706528"/>
    <x v="4"/>
    <x v="3"/>
    <n v="279567.88528938807"/>
  </r>
  <r>
    <x v="12"/>
    <x v="9"/>
    <n v="416.47242717504002"/>
    <x v="4"/>
    <x v="3"/>
    <n v="513336.95961066859"/>
  </r>
  <r>
    <x v="12"/>
    <x v="5"/>
    <n v="82.261831004016074"/>
    <x v="4"/>
    <x v="3"/>
    <n v="97438.178537704458"/>
  </r>
  <r>
    <x v="12"/>
    <x v="6"/>
    <n v="98.714197204819286"/>
    <x v="4"/>
    <x v="3"/>
    <n v="118095.0723876978"/>
  </r>
  <r>
    <x v="12"/>
    <x v="7"/>
    <n v="82.261831004016074"/>
    <x v="4"/>
    <x v="3"/>
    <n v="99396.685926312319"/>
  </r>
  <r>
    <x v="12"/>
    <x v="9"/>
    <n v="148.07129580722892"/>
    <x v="4"/>
    <x v="3"/>
    <n v="182510.20676417611"/>
  </r>
  <r>
    <x v="12"/>
    <x v="5"/>
    <n v="0"/>
    <x v="4"/>
    <x v="3"/>
    <n v="0"/>
  </r>
  <r>
    <x v="12"/>
    <x v="6"/>
    <n v="0"/>
    <x v="4"/>
    <x v="3"/>
    <n v="0"/>
  </r>
  <r>
    <x v="12"/>
    <x v="7"/>
    <n v="0"/>
    <x v="4"/>
    <x v="3"/>
    <n v="0"/>
  </r>
  <r>
    <x v="12"/>
    <x v="9"/>
    <n v="0"/>
    <x v="4"/>
    <x v="3"/>
    <n v="0"/>
  </r>
  <r>
    <x v="13"/>
    <x v="0"/>
    <n v="21.1864406779661"/>
    <x v="0"/>
    <x v="1"/>
    <n v="23877.118644067796"/>
  </r>
  <r>
    <x v="13"/>
    <x v="1"/>
    <n v="21.1864406779661"/>
    <x v="0"/>
    <x v="1"/>
    <n v="24115.889830508473"/>
  </r>
  <r>
    <x v="13"/>
    <x v="2"/>
    <n v="21.1864406779661"/>
    <x v="0"/>
    <x v="1"/>
    <n v="24357.048728813559"/>
  </r>
  <r>
    <x v="13"/>
    <x v="3"/>
    <n v="21.1864406779661"/>
    <x v="0"/>
    <x v="1"/>
    <n v="24600.619216101695"/>
  </r>
  <r>
    <x v="13"/>
    <x v="4"/>
    <n v="21.1864406779661"/>
    <x v="0"/>
    <x v="1"/>
    <n v="24846.625408262713"/>
  </r>
  <r>
    <x v="13"/>
    <x v="5"/>
    <n v="21.1864406779661"/>
    <x v="0"/>
    <x v="1"/>
    <n v="25095.091662345341"/>
  </r>
  <r>
    <x v="13"/>
    <x v="6"/>
    <n v="21.1864406779661"/>
    <x v="0"/>
    <x v="1"/>
    <n v="25346.042578968794"/>
  </r>
  <r>
    <x v="13"/>
    <x v="7"/>
    <n v="84.745762711864401"/>
    <x v="0"/>
    <x v="1"/>
    <n v="102398.01201903392"/>
  </r>
  <r>
    <x v="13"/>
    <x v="8"/>
    <n v="84.745762711864401"/>
    <x v="0"/>
    <x v="1"/>
    <n v="103421.99213922425"/>
  </r>
  <r>
    <x v="13"/>
    <x v="9"/>
    <n v="84.745762711864401"/>
    <x v="0"/>
    <x v="1"/>
    <n v="104456.2120606165"/>
  </r>
  <r>
    <x v="13"/>
    <x v="10"/>
    <n v="21.1864406779661"/>
    <x v="0"/>
    <x v="1"/>
    <n v="26375.193545305665"/>
  </r>
  <r>
    <x v="13"/>
    <x v="11"/>
    <n v="21.1864406779661"/>
    <x v="0"/>
    <x v="1"/>
    <n v="26638.945480758721"/>
  </r>
  <r>
    <x v="13"/>
    <x v="0"/>
    <n v="12.711864406779659"/>
    <x v="1"/>
    <x v="1"/>
    <n v="14326.271186440676"/>
  </r>
  <r>
    <x v="13"/>
    <x v="1"/>
    <n v="12.711864406779659"/>
    <x v="1"/>
    <x v="1"/>
    <n v="14469.533898305082"/>
  </r>
  <r>
    <x v="13"/>
    <x v="2"/>
    <n v="12.711864406779659"/>
    <x v="1"/>
    <x v="1"/>
    <n v="14614.229237288135"/>
  </r>
  <r>
    <x v="13"/>
    <x v="3"/>
    <n v="12.711864406779659"/>
    <x v="1"/>
    <x v="1"/>
    <n v="14760.371529661015"/>
  </r>
  <r>
    <x v="13"/>
    <x v="4"/>
    <n v="12.711864406779659"/>
    <x v="1"/>
    <x v="1"/>
    <n v="14907.975244957628"/>
  </r>
  <r>
    <x v="13"/>
    <x v="5"/>
    <n v="12.711864406779659"/>
    <x v="1"/>
    <x v="1"/>
    <n v="15057.054997407202"/>
  </r>
  <r>
    <x v="13"/>
    <x v="6"/>
    <n v="12.711864406779659"/>
    <x v="1"/>
    <x v="1"/>
    <n v="15207.625547381274"/>
  </r>
  <r>
    <x v="13"/>
    <x v="7"/>
    <n v="50.847457627118636"/>
    <x v="1"/>
    <x v="1"/>
    <n v="61438.807211420346"/>
  </r>
  <r>
    <x v="13"/>
    <x v="8"/>
    <n v="50.847457627118636"/>
    <x v="1"/>
    <x v="1"/>
    <n v="62053.195283534551"/>
  </r>
  <r>
    <x v="13"/>
    <x v="9"/>
    <n v="50.847457627118636"/>
    <x v="1"/>
    <x v="1"/>
    <n v="62673.727236369894"/>
  </r>
  <r>
    <x v="13"/>
    <x v="10"/>
    <n v="12.711864406779659"/>
    <x v="1"/>
    <x v="1"/>
    <n v="15825.116127183397"/>
  </r>
  <r>
    <x v="13"/>
    <x v="11"/>
    <n v="12.711864406779659"/>
    <x v="1"/>
    <x v="1"/>
    <n v="15983.367288455232"/>
  </r>
  <r>
    <x v="13"/>
    <x v="0"/>
    <n v="8.4745762711864412"/>
    <x v="2"/>
    <x v="1"/>
    <n v="9550.8474576271201"/>
  </r>
  <r>
    <x v="13"/>
    <x v="1"/>
    <n v="8.4745762711864412"/>
    <x v="2"/>
    <x v="1"/>
    <n v="9646.3559322033907"/>
  </r>
  <r>
    <x v="13"/>
    <x v="2"/>
    <n v="8.4745762711864412"/>
    <x v="2"/>
    <x v="1"/>
    <n v="9742.8194915254244"/>
  </r>
  <r>
    <x v="13"/>
    <x v="3"/>
    <n v="8.4745762711864412"/>
    <x v="2"/>
    <x v="1"/>
    <n v="9840.2476864406799"/>
  </r>
  <r>
    <x v="13"/>
    <x v="4"/>
    <n v="8.4745762711864412"/>
    <x v="2"/>
    <x v="1"/>
    <n v="9938.6501633050866"/>
  </r>
  <r>
    <x v="13"/>
    <x v="5"/>
    <n v="8.4745762711864412"/>
    <x v="2"/>
    <x v="1"/>
    <n v="10038.036664938138"/>
  </r>
  <r>
    <x v="13"/>
    <x v="6"/>
    <n v="8.4745762711864412"/>
    <x v="2"/>
    <x v="1"/>
    <n v="10138.417031587518"/>
  </r>
  <r>
    <x v="13"/>
    <x v="7"/>
    <n v="33.898305084745765"/>
    <x v="2"/>
    <x v="1"/>
    <n v="40959.204807613576"/>
  </r>
  <r>
    <x v="13"/>
    <x v="8"/>
    <n v="33.898305084745765"/>
    <x v="2"/>
    <x v="1"/>
    <n v="41368.79685568971"/>
  </r>
  <r>
    <x v="13"/>
    <x v="9"/>
    <n v="33.898305084745765"/>
    <x v="2"/>
    <x v="1"/>
    <n v="41782.484824246603"/>
  </r>
  <r>
    <x v="13"/>
    <x v="10"/>
    <n v="8.4745762711864412"/>
    <x v="2"/>
    <x v="1"/>
    <n v="10550.077418122266"/>
  </r>
  <r>
    <x v="13"/>
    <x v="11"/>
    <n v="8.4745762711864412"/>
    <x v="2"/>
    <x v="1"/>
    <n v="10655.57819230349"/>
  </r>
  <r>
    <x v="13"/>
    <x v="0"/>
    <n v="76.292372881355931"/>
    <x v="3"/>
    <x v="1"/>
    <n v="85981.504237288129"/>
  </r>
  <r>
    <x v="13"/>
    <x v="1"/>
    <n v="76.292372881355931"/>
    <x v="3"/>
    <x v="1"/>
    <n v="86841.319279661009"/>
  </r>
  <r>
    <x v="13"/>
    <x v="2"/>
    <n v="76.292372881355931"/>
    <x v="3"/>
    <x v="1"/>
    <n v="87709.732472457632"/>
  </r>
  <r>
    <x v="13"/>
    <x v="3"/>
    <n v="76.292372881355931"/>
    <x v="3"/>
    <x v="1"/>
    <n v="88586.829797182203"/>
  </r>
  <r>
    <x v="13"/>
    <x v="4"/>
    <n v="76.292372881355931"/>
    <x v="3"/>
    <x v="1"/>
    <n v="89472.698095154046"/>
  </r>
  <r>
    <x v="13"/>
    <x v="5"/>
    <n v="76.292372881355931"/>
    <x v="3"/>
    <x v="1"/>
    <n v="90367.425076105574"/>
  </r>
  <r>
    <x v="13"/>
    <x v="6"/>
    <n v="76.292372881355931"/>
    <x v="3"/>
    <x v="1"/>
    <n v="91271.099326866635"/>
  </r>
  <r>
    <x v="13"/>
    <x v="7"/>
    <n v="305.16949152542372"/>
    <x v="3"/>
    <x v="1"/>
    <n v="368735.24128054117"/>
  </r>
  <r>
    <x v="13"/>
    <x v="8"/>
    <n v="305.16949152542372"/>
    <x v="3"/>
    <x v="1"/>
    <n v="372422.5936933466"/>
  </r>
  <r>
    <x v="13"/>
    <x v="9"/>
    <n v="305.16949152542372"/>
    <x v="3"/>
    <x v="1"/>
    <n v="376146.81963028002"/>
  </r>
  <r>
    <x v="13"/>
    <x v="10"/>
    <n v="76.292372881355931"/>
    <x v="3"/>
    <x v="1"/>
    <n v="94977.071956645697"/>
  </r>
  <r>
    <x v="13"/>
    <x v="11"/>
    <n v="76.292372881355931"/>
    <x v="3"/>
    <x v="1"/>
    <n v="95926.842676212167"/>
  </r>
  <r>
    <x v="13"/>
    <x v="0"/>
    <n v="32.037288135593222"/>
    <x v="4"/>
    <x v="1"/>
    <n v="36106.023728813561"/>
  </r>
  <r>
    <x v="13"/>
    <x v="1"/>
    <n v="32.037288135593222"/>
    <x v="4"/>
    <x v="1"/>
    <n v="36467.083966101694"/>
  </r>
  <r>
    <x v="13"/>
    <x v="2"/>
    <n v="32.037288135593222"/>
    <x v="4"/>
    <x v="1"/>
    <n v="36831.754805762714"/>
  </r>
  <r>
    <x v="13"/>
    <x v="3"/>
    <n v="32.037288135593222"/>
    <x v="4"/>
    <x v="1"/>
    <n v="37200.072353820346"/>
  </r>
  <r>
    <x v="13"/>
    <x v="4"/>
    <n v="32.037288135593222"/>
    <x v="4"/>
    <x v="1"/>
    <n v="37572.073077358553"/>
  </r>
  <r>
    <x v="13"/>
    <x v="5"/>
    <n v="32.037288135593222"/>
    <x v="4"/>
    <x v="1"/>
    <n v="37947.793808132134"/>
  </r>
  <r>
    <x v="13"/>
    <x v="6"/>
    <n v="32.037288135593222"/>
    <x v="4"/>
    <x v="1"/>
    <n v="38327.271746213453"/>
  </r>
  <r>
    <x v="13"/>
    <x v="7"/>
    <n v="128.14915254237289"/>
    <x v="4"/>
    <x v="1"/>
    <n v="154842.17785470234"/>
  </r>
  <r>
    <x v="13"/>
    <x v="8"/>
    <n v="128.14915254237289"/>
    <x v="4"/>
    <x v="1"/>
    <n v="156390.59963324937"/>
  </r>
  <r>
    <x v="13"/>
    <x v="9"/>
    <n v="128.14915254237289"/>
    <x v="4"/>
    <x v="1"/>
    <n v="157954.50562958186"/>
  </r>
  <r>
    <x v="13"/>
    <x v="10"/>
    <n v="32.037288135593222"/>
    <x v="4"/>
    <x v="1"/>
    <n v="39883.51267146942"/>
  </r>
  <r>
    <x v="13"/>
    <x v="11"/>
    <n v="32.037288135593222"/>
    <x v="4"/>
    <x v="1"/>
    <n v="40282.347798184113"/>
  </r>
  <r>
    <x v="14"/>
    <x v="8"/>
    <n v="15291.574702168848"/>
    <x v="0"/>
    <x v="4"/>
    <n v="18661524.399999991"/>
  </r>
  <r>
    <x v="14"/>
    <x v="9"/>
    <n v="17821.932317931991"/>
    <x v="0"/>
    <x v="4"/>
    <n v="21967016.190075934"/>
  </r>
  <r>
    <x v="14"/>
    <x v="10"/>
    <n v="18262.830508290375"/>
    <x v="0"/>
    <x v="4"/>
    <n v="22735564.536908023"/>
  </r>
  <r>
    <x v="14"/>
    <x v="11"/>
    <n v="0"/>
    <x v="0"/>
    <x v="4"/>
    <n v="0"/>
  </r>
  <r>
    <x v="15"/>
    <x v="8"/>
    <n v="717.49949243016044"/>
    <x v="0"/>
    <x v="4"/>
    <n v="875621.67701891158"/>
  </r>
  <r>
    <x v="15"/>
    <x v="9"/>
    <n v="717.49949243016044"/>
    <x v="0"/>
    <x v="4"/>
    <n v="884377.89378910069"/>
  </r>
  <r>
    <x v="15"/>
    <x v="10"/>
    <n v="717.49949243016044"/>
    <x v="0"/>
    <x v="4"/>
    <n v="893221.67272699159"/>
  </r>
  <r>
    <x v="15"/>
    <x v="11"/>
    <n v="0"/>
    <x v="0"/>
    <x v="4"/>
    <n v="0"/>
  </r>
  <r>
    <x v="16"/>
    <x v="8"/>
    <n v="1500"/>
    <x v="0"/>
    <x v="4"/>
    <n v="1830569.2608642695"/>
  </r>
  <r>
    <x v="16"/>
    <x v="9"/>
    <n v="1500"/>
    <x v="0"/>
    <x v="4"/>
    <n v="1848874.9534729121"/>
  </r>
  <r>
    <x v="16"/>
    <x v="10"/>
    <n v="1500"/>
    <x v="0"/>
    <x v="4"/>
    <n v="1867363.703007641"/>
  </r>
  <r>
    <x v="16"/>
    <x v="11"/>
    <n v="0"/>
    <x v="0"/>
    <x v="4"/>
    <n v="0"/>
  </r>
  <r>
    <x v="17"/>
    <x v="8"/>
    <n v="0"/>
    <x v="0"/>
    <x v="4"/>
    <n v="0"/>
  </r>
  <r>
    <x v="17"/>
    <x v="9"/>
    <n v="0"/>
    <x v="0"/>
    <x v="4"/>
    <n v="0"/>
  </r>
  <r>
    <x v="17"/>
    <x v="10"/>
    <n v="0"/>
    <x v="0"/>
    <x v="4"/>
    <n v="0"/>
  </r>
  <r>
    <x v="17"/>
    <x v="11"/>
    <n v="0"/>
    <x v="0"/>
    <x v="4"/>
    <n v="0"/>
  </r>
  <r>
    <x v="14"/>
    <x v="8"/>
    <n v="8107.5339587155568"/>
    <x v="1"/>
    <x v="4"/>
    <n v="9894268.2974919342"/>
  </r>
  <r>
    <x v="14"/>
    <x v="9"/>
    <n v="16199.055663933945"/>
    <x v="1"/>
    <x v="4"/>
    <n v="19966685.524640657"/>
  </r>
  <r>
    <x v="14"/>
    <x v="10"/>
    <n v="10918.296719701835"/>
    <x v="1"/>
    <x v="4"/>
    <n v="13592287.328692401"/>
  </r>
  <r>
    <x v="14"/>
    <x v="11"/>
    <n v="0"/>
    <x v="1"/>
    <x v="4"/>
    <n v="0"/>
  </r>
  <r>
    <x v="15"/>
    <x v="8"/>
    <n v="440.77143992637218"/>
    <x v="1"/>
    <x v="4"/>
    <n v="537908.43266406597"/>
  </r>
  <r>
    <x v="15"/>
    <x v="9"/>
    <n v="440.77143992637218"/>
    <x v="1"/>
    <x v="4"/>
    <n v="543287.51699070656"/>
  </r>
  <r>
    <x v="15"/>
    <x v="10"/>
    <n v="440.77143992637207"/>
    <x v="1"/>
    <x v="4"/>
    <n v="548720.39216061344"/>
  </r>
  <r>
    <x v="15"/>
    <x v="11"/>
    <n v="0"/>
    <x v="1"/>
    <x v="4"/>
    <n v="0"/>
  </r>
  <r>
    <x v="16"/>
    <x v="8"/>
    <n v="1500"/>
    <x v="1"/>
    <x v="4"/>
    <n v="1830569.2608642695"/>
  </r>
  <r>
    <x v="16"/>
    <x v="9"/>
    <n v="750"/>
    <x v="1"/>
    <x v="4"/>
    <n v="924437.47673645604"/>
  </r>
  <r>
    <x v="16"/>
    <x v="10"/>
    <n v="750"/>
    <x v="1"/>
    <x v="4"/>
    <n v="933681.85150382051"/>
  </r>
  <r>
    <x v="16"/>
    <x v="11"/>
    <n v="0"/>
    <x v="1"/>
    <x v="4"/>
    <n v="0"/>
  </r>
  <r>
    <x v="17"/>
    <x v="8"/>
    <n v="719.99460942424571"/>
    <x v="1"/>
    <x v="4"/>
    <n v="878666.66666666663"/>
  </r>
  <r>
    <x v="17"/>
    <x v="9"/>
    <n v="712.86594992499579"/>
    <x v="1"/>
    <x v="4"/>
    <n v="878666.66666666663"/>
  </r>
  <r>
    <x v="17"/>
    <x v="10"/>
    <n v="705.80787121286721"/>
    <x v="1"/>
    <x v="4"/>
    <n v="878666.66666666663"/>
  </r>
  <r>
    <x v="17"/>
    <x v="11"/>
    <n v="0"/>
    <x v="1"/>
    <x v="4"/>
    <n v="0"/>
  </r>
  <r>
    <x v="14"/>
    <x v="8"/>
    <n v="2762.3631479938786"/>
    <x v="2"/>
    <x v="4"/>
    <n v="3371131.3773745671"/>
  </r>
  <r>
    <x v="14"/>
    <x v="9"/>
    <n v="13059.423615311873"/>
    <x v="2"/>
    <x v="4"/>
    <n v="16096827.486095192"/>
  </r>
  <r>
    <x v="14"/>
    <x v="10"/>
    <n v="5443.3135017013419"/>
    <x v="2"/>
    <x v="4"/>
    <n v="6776430.7047790047"/>
  </r>
  <r>
    <x v="14"/>
    <x v="11"/>
    <n v="0"/>
    <x v="2"/>
    <x v="4"/>
    <n v="0"/>
  </r>
  <r>
    <x v="15"/>
    <x v="8"/>
    <n v="196.82180851063833"/>
    <x v="2"/>
    <x v="4"/>
    <n v="240197.30168485866"/>
  </r>
  <r>
    <x v="15"/>
    <x v="9"/>
    <n v="196.82180851063833"/>
    <x v="2"/>
    <x v="4"/>
    <n v="242599.27470170724"/>
  </r>
  <r>
    <x v="15"/>
    <x v="10"/>
    <n v="196.82180851063828"/>
    <x v="2"/>
    <x v="4"/>
    <n v="245025.26744872422"/>
  </r>
  <r>
    <x v="15"/>
    <x v="11"/>
    <n v="0"/>
    <x v="2"/>
    <x v="4"/>
    <n v="0"/>
  </r>
  <r>
    <x v="16"/>
    <x v="8"/>
    <n v="300"/>
    <x v="2"/>
    <x v="4"/>
    <n v="366113.85217285389"/>
  </r>
  <r>
    <x v="16"/>
    <x v="9"/>
    <n v="600"/>
    <x v="2"/>
    <x v="4"/>
    <n v="739549.98138916481"/>
  </r>
  <r>
    <x v="16"/>
    <x v="10"/>
    <n v="600"/>
    <x v="2"/>
    <x v="4"/>
    <n v="746945.48120305641"/>
  </r>
  <r>
    <x v="16"/>
    <x v="11"/>
    <n v="0"/>
    <x v="2"/>
    <x v="4"/>
    <n v="0"/>
  </r>
  <r>
    <x v="17"/>
    <x v="8"/>
    <n v="3104.8513302034426"/>
    <x v="2"/>
    <x v="4"/>
    <n v="3789096.9364159731"/>
  </r>
  <r>
    <x v="17"/>
    <x v="9"/>
    <n v="3104.8513302034426"/>
    <x v="2"/>
    <x v="4"/>
    <n v="3826987.9057801329"/>
  </r>
  <r>
    <x v="17"/>
    <x v="10"/>
    <n v="2992.4585218702864"/>
    <x v="2"/>
    <x v="4"/>
    <n v="3725338.9509976469"/>
  </r>
  <r>
    <x v="17"/>
    <x v="11"/>
    <n v="0"/>
    <x v="2"/>
    <x v="4"/>
    <n v="0"/>
  </r>
  <r>
    <x v="14"/>
    <x v="8"/>
    <n v="0"/>
    <x v="3"/>
    <x v="4"/>
    <n v="0"/>
  </r>
  <r>
    <x v="14"/>
    <x v="9"/>
    <n v="34680.599474924609"/>
    <x v="3"/>
    <x v="4"/>
    <n v="42746727.827075958"/>
  </r>
  <r>
    <x v="14"/>
    <x v="10"/>
    <n v="27783.560016674248"/>
    <x v="3"/>
    <x v="4"/>
    <n v="34588007.676981241"/>
  </r>
  <r>
    <x v="14"/>
    <x v="11"/>
    <n v="0"/>
    <x v="3"/>
    <x v="4"/>
    <n v="0"/>
  </r>
  <r>
    <x v="15"/>
    <x v="8"/>
    <n v="337.12014198498849"/>
    <x v="3"/>
    <x v="4"/>
    <n v="411414.51275727863"/>
  </r>
  <r>
    <x v="15"/>
    <x v="9"/>
    <n v="337.117336396913"/>
    <x v="3"/>
    <x v="4"/>
    <n v="415525.1997638364"/>
  </r>
  <r>
    <x v="15"/>
    <x v="10"/>
    <n v="337.11455858693728"/>
    <x v="3"/>
    <x v="4"/>
    <n v="419676.99364045972"/>
  </r>
  <r>
    <x v="15"/>
    <x v="11"/>
    <n v="0"/>
    <x v="3"/>
    <x v="4"/>
    <n v="0"/>
  </r>
  <r>
    <x v="16"/>
    <x v="8"/>
    <n v="0"/>
    <x v="3"/>
    <x v="4"/>
    <n v="0"/>
  </r>
  <r>
    <x v="16"/>
    <x v="9"/>
    <n v="0"/>
    <x v="3"/>
    <x v="4"/>
    <n v="0"/>
  </r>
  <r>
    <x v="16"/>
    <x v="10"/>
    <n v="0"/>
    <x v="3"/>
    <x v="4"/>
    <n v="0"/>
  </r>
  <r>
    <x v="16"/>
    <x v="11"/>
    <n v="0"/>
    <x v="3"/>
    <x v="4"/>
    <n v="0"/>
  </r>
  <r>
    <x v="17"/>
    <x v="8"/>
    <n v="0"/>
    <x v="3"/>
    <x v="4"/>
    <n v="0"/>
  </r>
  <r>
    <x v="17"/>
    <x v="9"/>
    <n v="0"/>
    <x v="3"/>
    <x v="4"/>
    <n v="0"/>
  </r>
  <r>
    <x v="17"/>
    <x v="10"/>
    <n v="0"/>
    <x v="3"/>
    <x v="4"/>
    <n v="0"/>
  </r>
  <r>
    <x v="17"/>
    <x v="11"/>
    <n v="0"/>
    <x v="3"/>
    <x v="4"/>
    <n v="0"/>
  </r>
  <r>
    <x v="14"/>
    <x v="8"/>
    <n v="26098.239928221843"/>
    <x v="4"/>
    <x v="4"/>
    <n v="31849757.183508951"/>
  </r>
  <r>
    <x v="14"/>
    <x v="9"/>
    <n v="12165.500394556197"/>
    <x v="4"/>
    <x v="4"/>
    <n v="14994992.650639854"/>
  </r>
  <r>
    <x v="14"/>
    <x v="10"/>
    <n v="0"/>
    <x v="4"/>
    <x v="4"/>
    <n v="0"/>
  </r>
  <r>
    <x v="14"/>
    <x v="11"/>
    <n v="0"/>
    <x v="4"/>
    <x v="4"/>
    <n v="0"/>
  </r>
  <r>
    <x v="15"/>
    <x v="8"/>
    <n v="332.10264404010172"/>
    <x v="4"/>
    <x v="4"/>
    <n v="405291.26108770573"/>
  </r>
  <r>
    <x v="15"/>
    <x v="9"/>
    <n v="332.10264404010172"/>
    <x v="4"/>
    <x v="4"/>
    <n v="409344.1736985828"/>
  </r>
  <r>
    <x v="15"/>
    <x v="10"/>
    <n v="332.10264404010172"/>
    <x v="4"/>
    <x v="4"/>
    <n v="413437.61543556856"/>
  </r>
  <r>
    <x v="15"/>
    <x v="11"/>
    <n v="0"/>
    <x v="4"/>
    <x v="4"/>
    <n v="0"/>
  </r>
  <r>
    <x v="16"/>
    <x v="8"/>
    <n v="0"/>
    <x v="4"/>
    <x v="4"/>
    <n v="0"/>
  </r>
  <r>
    <x v="16"/>
    <x v="9"/>
    <n v="0"/>
    <x v="4"/>
    <x v="4"/>
    <n v="0"/>
  </r>
  <r>
    <x v="16"/>
    <x v="10"/>
    <n v="0"/>
    <x v="4"/>
    <x v="4"/>
    <n v="0"/>
  </r>
  <r>
    <x v="16"/>
    <x v="11"/>
    <n v="0"/>
    <x v="4"/>
    <x v="4"/>
    <n v="0"/>
  </r>
  <r>
    <x v="17"/>
    <x v="8"/>
    <n v="0"/>
    <x v="4"/>
    <x v="4"/>
    <n v="0"/>
  </r>
  <r>
    <x v="17"/>
    <x v="9"/>
    <n v="0"/>
    <x v="4"/>
    <x v="4"/>
    <n v="0"/>
  </r>
  <r>
    <x v="17"/>
    <x v="10"/>
    <n v="0"/>
    <x v="4"/>
    <x v="4"/>
    <n v="0"/>
  </r>
  <r>
    <x v="17"/>
    <x v="11"/>
    <n v="0"/>
    <x v="4"/>
    <x v="4"/>
    <n v="0"/>
  </r>
  <r>
    <x v="18"/>
    <x v="8"/>
    <n v="4500"/>
    <x v="0"/>
    <x v="5"/>
    <n v="5491707.7825928088"/>
  </r>
  <r>
    <x v="18"/>
    <x v="9"/>
    <n v="4500"/>
    <x v="0"/>
    <x v="5"/>
    <n v="5546624.860418736"/>
  </r>
  <r>
    <x v="18"/>
    <x v="10"/>
    <n v="2250"/>
    <x v="0"/>
    <x v="5"/>
    <n v="2801045.5545114619"/>
  </r>
  <r>
    <x v="19"/>
    <x v="0"/>
    <n v="329.87021165232625"/>
    <x v="0"/>
    <x v="5"/>
    <n v="371763.72853217169"/>
  </r>
  <r>
    <x v="19"/>
    <x v="1"/>
    <n v="284.00664932195309"/>
    <x v="0"/>
    <x v="5"/>
    <n v="323276.24872369954"/>
  </r>
  <r>
    <x v="19"/>
    <x v="2"/>
    <n v="0"/>
    <x v="0"/>
    <x v="5"/>
    <n v="0"/>
  </r>
  <r>
    <x v="19"/>
    <x v="3"/>
    <n v="0"/>
    <x v="0"/>
    <x v="5"/>
    <n v="0"/>
  </r>
  <r>
    <x v="19"/>
    <x v="4"/>
    <n v="22.931781165186617"/>
    <x v="0"/>
    <x v="5"/>
    <n v="26893.492173426501"/>
  </r>
  <r>
    <x v="19"/>
    <x v="5"/>
    <n v="0"/>
    <x v="0"/>
    <x v="5"/>
    <n v="0"/>
  </r>
  <r>
    <x v="19"/>
    <x v="6"/>
    <n v="0"/>
    <x v="0"/>
    <x v="5"/>
    <n v="0"/>
  </r>
  <r>
    <x v="19"/>
    <x v="7"/>
    <n v="7.6439270550622052"/>
    <x v="0"/>
    <x v="5"/>
    <n v="9236.1306265911644"/>
  </r>
  <r>
    <x v="19"/>
    <x v="8"/>
    <n v="189.4653717335118"/>
    <x v="0"/>
    <x v="5"/>
    <n v="231219.65699572585"/>
  </r>
  <r>
    <x v="19"/>
    <x v="9"/>
    <n v="623.22312800463214"/>
    <x v="0"/>
    <x v="5"/>
    <n v="768174.42119520472"/>
  </r>
  <r>
    <x v="19"/>
    <x v="10"/>
    <n v="579.25683740817499"/>
    <x v="0"/>
    <x v="5"/>
    <n v="721122.12859668315"/>
  </r>
  <r>
    <x v="19"/>
    <x v="11"/>
    <n v="360.44591987257513"/>
    <x v="0"/>
    <x v="5"/>
    <n v="453209.64262927993"/>
  </r>
  <r>
    <x v="20"/>
    <x v="0"/>
    <n v="0"/>
    <x v="0"/>
    <x v="5"/>
    <n v="0"/>
  </r>
  <r>
    <x v="20"/>
    <x v="1"/>
    <n v="0"/>
    <x v="0"/>
    <x v="5"/>
    <n v="0"/>
  </r>
  <r>
    <x v="20"/>
    <x v="2"/>
    <n v="0"/>
    <x v="0"/>
    <x v="5"/>
    <n v="0"/>
  </r>
  <r>
    <x v="20"/>
    <x v="3"/>
    <n v="0"/>
    <x v="0"/>
    <x v="5"/>
    <n v="0"/>
  </r>
  <r>
    <x v="20"/>
    <x v="4"/>
    <n v="0"/>
    <x v="0"/>
    <x v="5"/>
    <n v="0"/>
  </r>
  <r>
    <x v="20"/>
    <x v="5"/>
    <n v="0"/>
    <x v="0"/>
    <x v="5"/>
    <n v="0"/>
  </r>
  <r>
    <x v="20"/>
    <x v="6"/>
    <n v="0"/>
    <x v="0"/>
    <x v="5"/>
    <n v="0"/>
  </r>
  <r>
    <x v="20"/>
    <x v="7"/>
    <n v="0"/>
    <x v="0"/>
    <x v="5"/>
    <n v="0"/>
  </r>
  <r>
    <x v="20"/>
    <x v="8"/>
    <n v="0"/>
    <x v="0"/>
    <x v="5"/>
    <n v="0"/>
  </r>
  <r>
    <x v="20"/>
    <x v="9"/>
    <n v="0"/>
    <x v="0"/>
    <x v="5"/>
    <n v="0"/>
  </r>
  <r>
    <x v="20"/>
    <x v="10"/>
    <n v="0"/>
    <x v="0"/>
    <x v="5"/>
    <n v="0"/>
  </r>
  <r>
    <x v="20"/>
    <x v="11"/>
    <n v="0"/>
    <x v="0"/>
    <x v="5"/>
    <n v="0"/>
  </r>
  <r>
    <x v="21"/>
    <x v="0"/>
    <n v="2068.9233079178989"/>
    <x v="0"/>
    <x v="5"/>
    <n v="2331676.5680234721"/>
  </r>
  <r>
    <x v="21"/>
    <x v="1"/>
    <n v="1793.4671597401475"/>
    <x v="0"/>
    <x v="5"/>
    <n v="2041449.8639174176"/>
  </r>
  <r>
    <x v="21"/>
    <x v="2"/>
    <n v="0"/>
    <x v="0"/>
    <x v="5"/>
    <n v="0"/>
  </r>
  <r>
    <x v="21"/>
    <x v="3"/>
    <n v="0"/>
    <x v="0"/>
    <x v="5"/>
    <n v="0"/>
  </r>
  <r>
    <x v="21"/>
    <x v="4"/>
    <n v="147.77043267088436"/>
    <x v="0"/>
    <x v="5"/>
    <n v="173299.35890594547"/>
  </r>
  <r>
    <x v="21"/>
    <x v="5"/>
    <n v="0"/>
    <x v="0"/>
    <x v="5"/>
    <n v="0"/>
  </r>
  <r>
    <x v="21"/>
    <x v="6"/>
    <n v="0"/>
    <x v="0"/>
    <x v="5"/>
    <n v="0"/>
  </r>
  <r>
    <x v="21"/>
    <x v="7"/>
    <n v="50.266529708531259"/>
    <x v="0"/>
    <x v="5"/>
    <n v="60736.874016341855"/>
  </r>
  <r>
    <x v="21"/>
    <x v="8"/>
    <n v="1254.4196528678133"/>
    <x v="0"/>
    <x v="5"/>
    <n v="1530868.0378425643"/>
  </r>
  <r>
    <x v="21"/>
    <x v="9"/>
    <n v="4153.946884138858"/>
    <x v="0"/>
    <x v="5"/>
    <n v="5120085.5680941194"/>
  </r>
  <r>
    <x v="21"/>
    <x v="10"/>
    <n v="3887.3655916534585"/>
    <x v="0"/>
    <x v="5"/>
    <n v="4839416.9374496611"/>
  </r>
  <r>
    <x v="21"/>
    <x v="11"/>
    <n v="2435.2410938939111"/>
    <x v="0"/>
    <x v="5"/>
    <n v="3061970.4233854758"/>
  </r>
  <r>
    <x v="18"/>
    <x v="8"/>
    <n v="2700"/>
    <x v="1"/>
    <x v="5"/>
    <n v="3295024.669555685"/>
  </r>
  <r>
    <x v="18"/>
    <x v="9"/>
    <n v="2700"/>
    <x v="1"/>
    <x v="5"/>
    <n v="3327974.9162512417"/>
  </r>
  <r>
    <x v="18"/>
    <x v="10"/>
    <n v="1350"/>
    <x v="1"/>
    <x v="5"/>
    <n v="1680627.332706877"/>
  </r>
  <r>
    <x v="19"/>
    <x v="0"/>
    <n v="67.916524969850187"/>
    <x v="1"/>
    <x v="5"/>
    <n v="76541.92364102116"/>
  </r>
  <r>
    <x v="19"/>
    <x v="1"/>
    <n v="58.473739091687655"/>
    <x v="1"/>
    <x v="5"/>
    <n v="66558.902995895303"/>
  </r>
  <r>
    <x v="19"/>
    <x v="2"/>
    <n v="0"/>
    <x v="1"/>
    <x v="5"/>
    <n v="0"/>
  </r>
  <r>
    <x v="19"/>
    <x v="3"/>
    <n v="0"/>
    <x v="1"/>
    <x v="5"/>
    <n v="0"/>
  </r>
  <r>
    <x v="19"/>
    <x v="4"/>
    <n v="4.7213929390812686"/>
    <x v="1"/>
    <x v="5"/>
    <n v="5537.0641791932485"/>
  </r>
  <r>
    <x v="19"/>
    <x v="5"/>
    <n v="0"/>
    <x v="1"/>
    <x v="5"/>
    <n v="0"/>
  </r>
  <r>
    <x v="19"/>
    <x v="6"/>
    <n v="0"/>
    <x v="1"/>
    <x v="5"/>
    <n v="0"/>
  </r>
  <r>
    <x v="19"/>
    <x v="7"/>
    <n v="1.5737976463604229"/>
    <x v="1"/>
    <x v="5"/>
    <n v="1901.6142536289942"/>
  </r>
  <r>
    <x v="19"/>
    <x v="8"/>
    <n v="39.008765252872607"/>
    <x v="1"/>
    <x v="5"/>
    <n v="47605.497717452541"/>
  </r>
  <r>
    <x v="19"/>
    <x v="9"/>
    <n v="128.31455414812154"/>
    <x v="1"/>
    <x v="5"/>
    <n v="158158.3768870038"/>
  </r>
  <r>
    <x v="19"/>
    <x v="10"/>
    <n v="119.26239494232708"/>
    <x v="1"/>
    <x v="5"/>
    <n v="148470.84496604244"/>
  </r>
  <r>
    <x v="19"/>
    <x v="11"/>
    <n v="74.21171555529186"/>
    <x v="1"/>
    <x v="5"/>
    <n v="93310.711070358913"/>
  </r>
  <r>
    <x v="20"/>
    <x v="0"/>
    <n v="0"/>
    <x v="1"/>
    <x v="5"/>
    <n v="0"/>
  </r>
  <r>
    <x v="20"/>
    <x v="1"/>
    <n v="0"/>
    <x v="1"/>
    <x v="5"/>
    <n v="0"/>
  </r>
  <r>
    <x v="20"/>
    <x v="2"/>
    <n v="0"/>
    <x v="1"/>
    <x v="5"/>
    <n v="0"/>
  </r>
  <r>
    <x v="20"/>
    <x v="3"/>
    <n v="0"/>
    <x v="1"/>
    <x v="5"/>
    <n v="0"/>
  </r>
  <r>
    <x v="20"/>
    <x v="4"/>
    <n v="0"/>
    <x v="1"/>
    <x v="5"/>
    <n v="0"/>
  </r>
  <r>
    <x v="20"/>
    <x v="5"/>
    <n v="0"/>
    <x v="1"/>
    <x v="5"/>
    <n v="0"/>
  </r>
  <r>
    <x v="20"/>
    <x v="6"/>
    <n v="0"/>
    <x v="1"/>
    <x v="5"/>
    <n v="0"/>
  </r>
  <r>
    <x v="20"/>
    <x v="7"/>
    <n v="0"/>
    <x v="1"/>
    <x v="5"/>
    <n v="0"/>
  </r>
  <r>
    <x v="20"/>
    <x v="8"/>
    <n v="0"/>
    <x v="1"/>
    <x v="5"/>
    <n v="0"/>
  </r>
  <r>
    <x v="20"/>
    <x v="9"/>
    <n v="0"/>
    <x v="1"/>
    <x v="5"/>
    <n v="0"/>
  </r>
  <r>
    <x v="20"/>
    <x v="10"/>
    <n v="0"/>
    <x v="1"/>
    <x v="5"/>
    <n v="0"/>
  </r>
  <r>
    <x v="20"/>
    <x v="11"/>
    <n v="0"/>
    <x v="1"/>
    <x v="5"/>
    <n v="0"/>
  </r>
  <r>
    <x v="21"/>
    <x v="0"/>
    <n v="743.26731557894834"/>
    <x v="1"/>
    <x v="5"/>
    <n v="837662.26465747482"/>
  </r>
  <r>
    <x v="21"/>
    <x v="1"/>
    <n v="644.30881333178877"/>
    <x v="1"/>
    <x v="5"/>
    <n v="733397.39295117522"/>
  </r>
  <r>
    <x v="21"/>
    <x v="2"/>
    <n v="0"/>
    <x v="1"/>
    <x v="5"/>
    <n v="0"/>
  </r>
  <r>
    <x v="21"/>
    <x v="3"/>
    <n v="0"/>
    <x v="1"/>
    <x v="5"/>
    <n v="0"/>
  </r>
  <r>
    <x v="21"/>
    <x v="4"/>
    <n v="53.087000563476877"/>
    <x v="1"/>
    <x v="5"/>
    <n v="62258.34896471005"/>
  </r>
  <r>
    <x v="21"/>
    <x v="5"/>
    <n v="0"/>
    <x v="1"/>
    <x v="5"/>
    <n v="0"/>
  </r>
  <r>
    <x v="21"/>
    <x v="6"/>
    <n v="0"/>
    <x v="1"/>
    <x v="5"/>
    <n v="0"/>
  </r>
  <r>
    <x v="21"/>
    <x v="7"/>
    <n v="18.058411569411401"/>
    <x v="1"/>
    <x v="5"/>
    <n v="21819.916250165152"/>
  </r>
  <r>
    <x v="21"/>
    <x v="8"/>
    <n v="450.65427240744066"/>
    <x v="1"/>
    <x v="5"/>
    <n v="549969.23889747588"/>
  </r>
  <r>
    <x v="21"/>
    <x v="9"/>
    <n v="1492.318704040598"/>
    <x v="1"/>
    <x v="5"/>
    <n v="1839407.1163332115"/>
  </r>
  <r>
    <x v="21"/>
    <x v="10"/>
    <n v="1396.5485220861046"/>
    <x v="1"/>
    <x v="5"/>
    <n v="1738576.0130883711"/>
  </r>
  <r>
    <x v="21"/>
    <x v="11"/>
    <n v="874.86815181546422"/>
    <x v="1"/>
    <x v="5"/>
    <n v="1100022.6679558349"/>
  </r>
  <r>
    <x v="18"/>
    <x v="8"/>
    <n v="1800"/>
    <x v="2"/>
    <x v="5"/>
    <n v="2196683.1130371233"/>
  </r>
  <r>
    <x v="18"/>
    <x v="9"/>
    <n v="1800"/>
    <x v="2"/>
    <x v="5"/>
    <n v="2218649.9441674948"/>
  </r>
  <r>
    <x v="18"/>
    <x v="10"/>
    <n v="900"/>
    <x v="2"/>
    <x v="5"/>
    <n v="1120418.2218045846"/>
  </r>
  <r>
    <x v="19"/>
    <x v="0"/>
    <n v="32.011257614146125"/>
    <x v="2"/>
    <x v="5"/>
    <n v="36076.687331142683"/>
  </r>
  <r>
    <x v="19"/>
    <x v="1"/>
    <n v="27.560566836382257"/>
    <x v="2"/>
    <x v="5"/>
    <n v="31371.366412848831"/>
  </r>
  <r>
    <x v="19"/>
    <x v="2"/>
    <n v="0"/>
    <x v="2"/>
    <x v="5"/>
    <n v="0"/>
  </r>
  <r>
    <x v="19"/>
    <x v="3"/>
    <n v="0"/>
    <x v="2"/>
    <x v="5"/>
    <n v="0"/>
  </r>
  <r>
    <x v="19"/>
    <x v="4"/>
    <n v="2.2253453888819359"/>
    <x v="2"/>
    <x v="5"/>
    <n v="2609.7976588893575"/>
  </r>
  <r>
    <x v="19"/>
    <x v="5"/>
    <n v="0"/>
    <x v="2"/>
    <x v="5"/>
    <n v="0"/>
  </r>
  <r>
    <x v="19"/>
    <x v="6"/>
    <n v="0"/>
    <x v="2"/>
    <x v="5"/>
    <n v="0"/>
  </r>
  <r>
    <x v="19"/>
    <x v="7"/>
    <n v="0.74178179629397867"/>
    <x v="2"/>
    <x v="5"/>
    <n v="896.29237925045459"/>
  </r>
  <r>
    <x v="19"/>
    <x v="8"/>
    <n v="18.386094316129903"/>
    <x v="2"/>
    <x v="5"/>
    <n v="22438.012721639108"/>
  </r>
  <r>
    <x v="19"/>
    <x v="9"/>
    <n v="60.478804684180261"/>
    <x v="2"/>
    <x v="5"/>
    <n v="74545.164797707417"/>
  </r>
  <r>
    <x v="19"/>
    <x v="10"/>
    <n v="56.212228907083485"/>
    <x v="2"/>
    <x v="5"/>
    <n v="69979.117284163061"/>
  </r>
  <r>
    <x v="19"/>
    <x v="11"/>
    <n v="34.978384799322036"/>
    <x v="2"/>
    <x v="5"/>
    <n v="43980.359883819379"/>
  </r>
  <r>
    <x v="20"/>
    <x v="0"/>
    <n v="0"/>
    <x v="2"/>
    <x v="5"/>
    <n v="0"/>
  </r>
  <r>
    <x v="20"/>
    <x v="1"/>
    <n v="0"/>
    <x v="2"/>
    <x v="5"/>
    <n v="0"/>
  </r>
  <r>
    <x v="20"/>
    <x v="2"/>
    <n v="0"/>
    <x v="2"/>
    <x v="5"/>
    <n v="0"/>
  </r>
  <r>
    <x v="20"/>
    <x v="3"/>
    <n v="0"/>
    <x v="2"/>
    <x v="5"/>
    <n v="0"/>
  </r>
  <r>
    <x v="20"/>
    <x v="4"/>
    <n v="0"/>
    <x v="2"/>
    <x v="5"/>
    <n v="0"/>
  </r>
  <r>
    <x v="20"/>
    <x v="5"/>
    <n v="0"/>
    <x v="2"/>
    <x v="5"/>
    <n v="0"/>
  </r>
  <r>
    <x v="20"/>
    <x v="6"/>
    <n v="0"/>
    <x v="2"/>
    <x v="5"/>
    <n v="0"/>
  </r>
  <r>
    <x v="20"/>
    <x v="7"/>
    <n v="0"/>
    <x v="2"/>
    <x v="5"/>
    <n v="0"/>
  </r>
  <r>
    <x v="20"/>
    <x v="8"/>
    <n v="0"/>
    <x v="2"/>
    <x v="5"/>
    <n v="0"/>
  </r>
  <r>
    <x v="20"/>
    <x v="9"/>
    <n v="0"/>
    <x v="2"/>
    <x v="5"/>
    <n v="0"/>
  </r>
  <r>
    <x v="20"/>
    <x v="10"/>
    <n v="0"/>
    <x v="2"/>
    <x v="5"/>
    <n v="0"/>
  </r>
  <r>
    <x v="20"/>
    <x v="11"/>
    <n v="0"/>
    <x v="2"/>
    <x v="5"/>
    <n v="0"/>
  </r>
  <r>
    <x v="21"/>
    <x v="0"/>
    <n v="763.91014446199324"/>
    <x v="2"/>
    <x v="5"/>
    <n v="860926.73280866642"/>
  </r>
  <r>
    <x v="21"/>
    <x v="1"/>
    <n v="662.20325898097758"/>
    <x v="2"/>
    <x v="5"/>
    <n v="753766.10360027733"/>
  </r>
  <r>
    <x v="21"/>
    <x v="2"/>
    <n v="0"/>
    <x v="2"/>
    <x v="5"/>
    <n v="0"/>
  </r>
  <r>
    <x v="21"/>
    <x v="3"/>
    <n v="0"/>
    <x v="2"/>
    <x v="5"/>
    <n v="0"/>
  </r>
  <r>
    <x v="21"/>
    <x v="4"/>
    <n v="54.56139052463422"/>
    <x v="2"/>
    <x v="5"/>
    <n v="63987.4555960414"/>
  </r>
  <r>
    <x v="21"/>
    <x v="5"/>
    <n v="0"/>
    <x v="2"/>
    <x v="5"/>
    <n v="0"/>
  </r>
  <r>
    <x v="21"/>
    <x v="6"/>
    <n v="0"/>
    <x v="2"/>
    <x v="5"/>
    <n v="0"/>
  </r>
  <r>
    <x v="21"/>
    <x v="7"/>
    <n v="18.559949430842309"/>
    <x v="2"/>
    <x v="5"/>
    <n v="22425.922713726221"/>
  </r>
  <r>
    <x v="21"/>
    <x v="8"/>
    <n v="463.1703333665771"/>
    <x v="2"/>
    <x v="5"/>
    <n v="565243.58320340817"/>
  </r>
  <r>
    <x v="21"/>
    <x v="9"/>
    <n v="1533.7650033743475"/>
    <x v="2"/>
    <x v="5"/>
    <n v="1890493.1328347519"/>
  </r>
  <r>
    <x v="21"/>
    <x v="10"/>
    <n v="1435.3349876874306"/>
    <x v="2"/>
    <x v="5"/>
    <n v="1786861.6384429515"/>
  </r>
  <r>
    <x v="21"/>
    <x v="11"/>
    <n v="899.16594236082869"/>
    <x v="2"/>
    <x v="5"/>
    <n v="1130573.6947884834"/>
  </r>
  <r>
    <x v="18"/>
    <x v="7"/>
    <n v="2077.5"/>
    <x v="3"/>
    <x v="5"/>
    <n v="2510236.0656406074"/>
  </r>
  <r>
    <x v="18"/>
    <x v="8"/>
    <n v="2077.5"/>
    <x v="3"/>
    <x v="5"/>
    <n v="2535338.4262970132"/>
  </r>
  <r>
    <x v="18"/>
    <x v="9"/>
    <n v="2077.5"/>
    <x v="3"/>
    <x v="5"/>
    <n v="2560691.8105599834"/>
  </r>
  <r>
    <x v="18"/>
    <x v="10"/>
    <n v="1038.75"/>
    <x v="3"/>
    <x v="5"/>
    <n v="1293149.3643327914"/>
  </r>
  <r>
    <x v="19"/>
    <x v="0"/>
    <n v="3.4400018083147157"/>
    <x v="3"/>
    <x v="5"/>
    <n v="3876.8820379706845"/>
  </r>
  <r>
    <x v="19"/>
    <x v="1"/>
    <n v="2.9615095386841213"/>
    <x v="3"/>
    <x v="5"/>
    <n v="3370.9974625979748"/>
  </r>
  <r>
    <x v="19"/>
    <x v="2"/>
    <n v="0"/>
    <x v="3"/>
    <x v="5"/>
    <n v="0"/>
  </r>
  <r>
    <x v="19"/>
    <x v="3"/>
    <n v="0"/>
    <x v="3"/>
    <x v="5"/>
    <n v="0"/>
  </r>
  <r>
    <x v="19"/>
    <x v="4"/>
    <n v="0.23907347686274391"/>
    <x v="3"/>
    <x v="5"/>
    <n v="280.37598268393128"/>
  </r>
  <r>
    <x v="19"/>
    <x v="5"/>
    <n v="0"/>
    <x v="3"/>
    <x v="5"/>
    <n v="0"/>
  </r>
  <r>
    <x v="19"/>
    <x v="6"/>
    <n v="0"/>
    <x v="3"/>
    <x v="5"/>
    <n v="0"/>
  </r>
  <r>
    <x v="19"/>
    <x v="7"/>
    <n v="7.967494688514154E-2"/>
    <x v="3"/>
    <x v="5"/>
    <n v="96.27096279137524"/>
  </r>
  <r>
    <x v="19"/>
    <x v="8"/>
    <n v="1.974723156433418"/>
    <x v="3"/>
    <x v="5"/>
    <n v="2409.9116725892527"/>
  </r>
  <r>
    <x v="19"/>
    <x v="9"/>
    <n v="6.4951822626317899"/>
    <x v="3"/>
    <x v="5"/>
    <n v="8005.8532024142896"/>
  </r>
  <r>
    <x v="19"/>
    <x v="10"/>
    <n v="6.0365755266359029"/>
    <x v="3"/>
    <x v="5"/>
    <n v="7514.9880192694136"/>
  </r>
  <r>
    <x v="19"/>
    <x v="11"/>
    <n v="3.756051613201882"/>
    <x v="3"/>
    <x v="5"/>
    <n v="4722.7023957384372"/>
  </r>
  <r>
    <x v="20"/>
    <x v="0"/>
    <n v="0"/>
    <x v="3"/>
    <x v="5"/>
    <n v="0"/>
  </r>
  <r>
    <x v="20"/>
    <x v="1"/>
    <n v="0"/>
    <x v="3"/>
    <x v="5"/>
    <n v="0"/>
  </r>
  <r>
    <x v="20"/>
    <x v="2"/>
    <n v="0"/>
    <x v="3"/>
    <x v="5"/>
    <n v="0"/>
  </r>
  <r>
    <x v="20"/>
    <x v="3"/>
    <n v="0"/>
    <x v="3"/>
    <x v="5"/>
    <n v="0"/>
  </r>
  <r>
    <x v="20"/>
    <x v="4"/>
    <n v="0"/>
    <x v="3"/>
    <x v="5"/>
    <n v="0"/>
  </r>
  <r>
    <x v="20"/>
    <x v="5"/>
    <n v="0"/>
    <x v="3"/>
    <x v="5"/>
    <n v="0"/>
  </r>
  <r>
    <x v="20"/>
    <x v="6"/>
    <n v="0"/>
    <x v="3"/>
    <x v="5"/>
    <n v="0"/>
  </r>
  <r>
    <x v="20"/>
    <x v="7"/>
    <n v="0"/>
    <x v="3"/>
    <x v="5"/>
    <n v="0"/>
  </r>
  <r>
    <x v="20"/>
    <x v="8"/>
    <n v="0"/>
    <x v="3"/>
    <x v="5"/>
    <n v="0"/>
  </r>
  <r>
    <x v="20"/>
    <x v="9"/>
    <n v="0"/>
    <x v="3"/>
    <x v="5"/>
    <n v="0"/>
  </r>
  <r>
    <x v="20"/>
    <x v="10"/>
    <n v="0"/>
    <x v="3"/>
    <x v="5"/>
    <n v="0"/>
  </r>
  <r>
    <x v="20"/>
    <x v="11"/>
    <n v="0"/>
    <x v="3"/>
    <x v="5"/>
    <n v="0"/>
  </r>
  <r>
    <x v="21"/>
    <x v="0"/>
    <n v="606.81040989613746"/>
    <x v="3"/>
    <x v="5"/>
    <n v="683875.33195294696"/>
  </r>
  <r>
    <x v="21"/>
    <x v="1"/>
    <n v="526.01976021644168"/>
    <x v="3"/>
    <x v="5"/>
    <n v="598752.51246156904"/>
  </r>
  <r>
    <x v="21"/>
    <x v="2"/>
    <n v="0"/>
    <x v="3"/>
    <x v="5"/>
    <n v="0"/>
  </r>
  <r>
    <x v="21"/>
    <x v="3"/>
    <n v="0"/>
    <x v="3"/>
    <x v="5"/>
    <n v="0"/>
  </r>
  <r>
    <x v="21"/>
    <x v="4"/>
    <n v="43.340725331084755"/>
    <x v="3"/>
    <x v="5"/>
    <n v="50828.300212966475"/>
  </r>
  <r>
    <x v="21"/>
    <x v="5"/>
    <n v="0"/>
    <x v="3"/>
    <x v="5"/>
    <n v="0"/>
  </r>
  <r>
    <x v="21"/>
    <x v="6"/>
    <n v="0"/>
    <x v="3"/>
    <x v="5"/>
    <n v="0"/>
  </r>
  <r>
    <x v="21"/>
    <x v="7"/>
    <n v="14.743056632286075"/>
    <x v="3"/>
    <x v="5"/>
    <n v="17813.984344715504"/>
  </r>
  <r>
    <x v="21"/>
    <x v="8"/>
    <n v="367.91837610671593"/>
    <x v="3"/>
    <x v="5"/>
    <n v="449000.04653870221"/>
  </r>
  <r>
    <x v="21"/>
    <x v="9"/>
    <n v="1218.342991160845"/>
    <x v="3"/>
    <x v="5"/>
    <n v="1501709.227397704"/>
  </r>
  <r>
    <x v="21"/>
    <x v="10"/>
    <n v="1140.1553160814328"/>
    <x v="3"/>
    <x v="5"/>
    <n v="1419389.7686944481"/>
  </r>
  <r>
    <x v="21"/>
    <x v="11"/>
    <n v="714.25056730054621"/>
    <x v="3"/>
    <x v="5"/>
    <n v="898068.82671463536"/>
  </r>
  <r>
    <x v="18"/>
    <x v="7"/>
    <n v="872.4"/>
    <x v="4"/>
    <x v="5"/>
    <n v="1054117.9030877813"/>
  </r>
  <r>
    <x v="18"/>
    <x v="8"/>
    <n v="872.4"/>
    <x v="4"/>
    <x v="5"/>
    <n v="1064659.082118659"/>
  </r>
  <r>
    <x v="18"/>
    <x v="9"/>
    <n v="872.4"/>
    <x v="4"/>
    <x v="5"/>
    <n v="1075305.6729398456"/>
  </r>
  <r>
    <x v="18"/>
    <x v="10"/>
    <n v="436.2"/>
    <x v="4"/>
    <x v="5"/>
    <n v="543029.36483462201"/>
  </r>
  <r>
    <x v="19"/>
    <x v="0"/>
    <n v="199.10570148476123"/>
    <x v="4"/>
    <x v="5"/>
    <n v="224392.1255733259"/>
  </r>
  <r>
    <x v="19"/>
    <x v="1"/>
    <n v="171.42300560070981"/>
    <x v="4"/>
    <x v="5"/>
    <n v="195125.66458511996"/>
  </r>
  <r>
    <x v="19"/>
    <x v="2"/>
    <n v="0"/>
    <x v="4"/>
    <x v="5"/>
    <n v="0"/>
  </r>
  <r>
    <x v="19"/>
    <x v="3"/>
    <n v="0"/>
    <x v="4"/>
    <x v="5"/>
    <n v="0"/>
  </r>
  <r>
    <x v="19"/>
    <x v="4"/>
    <n v="13.841347942025722"/>
    <x v="4"/>
    <x v="5"/>
    <n v="16232.589168156423"/>
  </r>
  <r>
    <x v="19"/>
    <x v="5"/>
    <n v="0"/>
    <x v="4"/>
    <x v="5"/>
    <n v="0"/>
  </r>
  <r>
    <x v="19"/>
    <x v="6"/>
    <n v="0"/>
    <x v="4"/>
    <x v="5"/>
    <n v="0"/>
  </r>
  <r>
    <x v="19"/>
    <x v="7"/>
    <n v="4.6137826473419068"/>
    <x v="4"/>
    <x v="5"/>
    <n v="5574.8176175135759"/>
  </r>
  <r>
    <x v="19"/>
    <x v="8"/>
    <n v="114.3590248938014"/>
    <x v="4"/>
    <x v="5"/>
    <n v="139561.41044866975"/>
  </r>
  <r>
    <x v="19"/>
    <x v="9"/>
    <n v="376.17000171471631"/>
    <x v="4"/>
    <x v="5"/>
    <n v="463660.86294546758"/>
  </r>
  <r>
    <x v="19"/>
    <x v="10"/>
    <n v="349.63247628299632"/>
    <x v="4"/>
    <x v="5"/>
    <n v="435260.66373569815"/>
  </r>
  <r>
    <x v="19"/>
    <x v="11"/>
    <n v="217.56083207412885"/>
    <x v="4"/>
    <x v="5"/>
    <n v="273551.90201432171"/>
  </r>
  <r>
    <x v="20"/>
    <x v="0"/>
    <n v="0"/>
    <x v="4"/>
    <x v="5"/>
    <n v="0"/>
  </r>
  <r>
    <x v="20"/>
    <x v="1"/>
    <n v="0"/>
    <x v="4"/>
    <x v="5"/>
    <n v="0"/>
  </r>
  <r>
    <x v="20"/>
    <x v="2"/>
    <n v="0"/>
    <x v="4"/>
    <x v="5"/>
    <n v="0"/>
  </r>
  <r>
    <x v="20"/>
    <x v="3"/>
    <n v="0"/>
    <x v="4"/>
    <x v="5"/>
    <n v="0"/>
  </r>
  <r>
    <x v="20"/>
    <x v="4"/>
    <n v="0"/>
    <x v="4"/>
    <x v="5"/>
    <n v="0"/>
  </r>
  <r>
    <x v="20"/>
    <x v="5"/>
    <n v="0"/>
    <x v="4"/>
    <x v="5"/>
    <n v="0"/>
  </r>
  <r>
    <x v="20"/>
    <x v="6"/>
    <n v="0"/>
    <x v="4"/>
    <x v="5"/>
    <n v="0"/>
  </r>
  <r>
    <x v="20"/>
    <x v="7"/>
    <n v="0"/>
    <x v="4"/>
    <x v="5"/>
    <n v="0"/>
  </r>
  <r>
    <x v="20"/>
    <x v="8"/>
    <n v="0"/>
    <x v="4"/>
    <x v="5"/>
    <n v="0"/>
  </r>
  <r>
    <x v="20"/>
    <x v="9"/>
    <n v="0"/>
    <x v="4"/>
    <x v="5"/>
    <n v="0"/>
  </r>
  <r>
    <x v="20"/>
    <x v="10"/>
    <n v="0"/>
    <x v="4"/>
    <x v="5"/>
    <n v="0"/>
  </r>
  <r>
    <x v="20"/>
    <x v="11"/>
    <n v="0"/>
    <x v="4"/>
    <x v="5"/>
    <n v="0"/>
  </r>
  <r>
    <x v="21"/>
    <x v="0"/>
    <n v="1685.5844719337149"/>
    <x v="4"/>
    <x v="5"/>
    <n v="1899653.6998692967"/>
  </r>
  <r>
    <x v="21"/>
    <x v="1"/>
    <n v="1461.1660006012266"/>
    <x v="4"/>
    <x v="5"/>
    <n v="1663201.4235043582"/>
  </r>
  <r>
    <x v="21"/>
    <x v="2"/>
    <n v="0"/>
    <x v="4"/>
    <x v="5"/>
    <n v="0"/>
  </r>
  <r>
    <x v="21"/>
    <x v="3"/>
    <n v="0"/>
    <x v="4"/>
    <x v="5"/>
    <n v="0"/>
  </r>
  <r>
    <x v="21"/>
    <x v="4"/>
    <n v="120.39090369745765"/>
    <x v="4"/>
    <x v="5"/>
    <n v="141189.72281379576"/>
  </r>
  <r>
    <x v="21"/>
    <x v="5"/>
    <n v="0"/>
    <x v="4"/>
    <x v="5"/>
    <n v="0"/>
  </r>
  <r>
    <x v="21"/>
    <x v="6"/>
    <n v="0"/>
    <x v="4"/>
    <x v="5"/>
    <n v="0"/>
  </r>
  <r>
    <x v="21"/>
    <x v="7"/>
    <n v="40.952935089683542"/>
    <x v="4"/>
    <x v="5"/>
    <n v="49483.289846431951"/>
  </r>
  <r>
    <x v="21"/>
    <x v="8"/>
    <n v="1021.995489185322"/>
    <x v="4"/>
    <x v="5"/>
    <n v="1247222.351496395"/>
  </r>
  <r>
    <x v="21"/>
    <x v="9"/>
    <n v="3384.2860865579028"/>
    <x v="4"/>
    <x v="5"/>
    <n v="4171414.5205491777"/>
  </r>
  <r>
    <x v="21"/>
    <x v="10"/>
    <n v="3167.0981002262024"/>
    <x v="4"/>
    <x v="5"/>
    <n v="3942749.3574845777"/>
  </r>
  <r>
    <x v="21"/>
    <x v="11"/>
    <n v="1984.0293536126285"/>
    <x v="4"/>
    <x v="5"/>
    <n v="2494635.6297628758"/>
  </r>
  <r>
    <x v="22"/>
    <x v="0"/>
    <n v="1292.149931440001"/>
    <x v="0"/>
    <x v="6"/>
    <n v="1456252.9727328811"/>
  </r>
  <r>
    <x v="22"/>
    <x v="1"/>
    <n v="1441.9732523426551"/>
    <x v="0"/>
    <x v="6"/>
    <n v="1641354.8939440739"/>
  </r>
  <r>
    <x v="22"/>
    <x v="2"/>
    <n v="1257.4353619904343"/>
    <x v="0"/>
    <x v="6"/>
    <n v="1445613.9589877804"/>
  </r>
  <r>
    <x v="22"/>
    <x v="3"/>
    <n v="1956.1210126373001"/>
    <x v="0"/>
    <x v="6"/>
    <n v="2271348.4017422586"/>
  </r>
  <r>
    <x v="22"/>
    <x v="4"/>
    <n v="2141.6061953084504"/>
    <x v="0"/>
    <x v="6"/>
    <n v="2511591.6220030268"/>
  </r>
  <r>
    <x v="22"/>
    <x v="5"/>
    <n v="2409.6580175037352"/>
    <x v="0"/>
    <x v="6"/>
    <n v="2854211.792500427"/>
  </r>
  <r>
    <x v="22"/>
    <x v="6"/>
    <n v="1583.5300585660143"/>
    <x v="0"/>
    <x v="6"/>
    <n v="1894429.5976639823"/>
  </r>
  <r>
    <x v="22"/>
    <x v="7"/>
    <n v="2347.2175891799852"/>
    <x v="0"/>
    <x v="6"/>
    <n v="2836134.8959160517"/>
  </r>
  <r>
    <x v="22"/>
    <x v="8"/>
    <n v="2190.1015349642876"/>
    <x v="0"/>
    <x v="6"/>
    <n v="2672755.0320515186"/>
  </r>
  <r>
    <x v="22"/>
    <x v="9"/>
    <n v="1820.9434984636007"/>
    <x v="0"/>
    <x v="6"/>
    <n v="2244464.5506657944"/>
  </r>
  <r>
    <x v="22"/>
    <x v="10"/>
    <n v="1962.6637687313216"/>
    <x v="0"/>
    <x v="6"/>
    <n v="2443338.0552913686"/>
  </r>
  <r>
    <x v="22"/>
    <x v="11"/>
    <n v="2675.8997788722177"/>
    <x v="0"/>
    <x v="6"/>
    <n v="3364564.6007677829"/>
  </r>
  <r>
    <x v="22"/>
    <x v="0"/>
    <n v="748.0868024126321"/>
    <x v="1"/>
    <x v="6"/>
    <n v="843093.82631903642"/>
  </r>
  <r>
    <x v="22"/>
    <x v="1"/>
    <n v="834.82661977732675"/>
    <x v="1"/>
    <x v="6"/>
    <n v="950258.09649393766"/>
  </r>
  <r>
    <x v="22"/>
    <x v="2"/>
    <n v="727.98889378393574"/>
    <x v="1"/>
    <x v="6"/>
    <n v="836934.39730871504"/>
  </r>
  <r>
    <x v="22"/>
    <x v="3"/>
    <n v="1132.4911125794897"/>
    <x v="1"/>
    <x v="6"/>
    <n v="1314991.1799560445"/>
  </r>
  <r>
    <x v="22"/>
    <x v="4"/>
    <n v="1239.8772709680502"/>
    <x v="1"/>
    <x v="6"/>
    <n v="1454079.3601070156"/>
  </r>
  <r>
    <x v="22"/>
    <x v="5"/>
    <n v="1395.0651680284784"/>
    <x v="1"/>
    <x v="6"/>
    <n v="1652438.4061844579"/>
  </r>
  <r>
    <x v="22"/>
    <x v="6"/>
    <n v="916.78056022242947"/>
    <x v="1"/>
    <x v="6"/>
    <n v="1096775.0302265161"/>
  </r>
  <r>
    <x v="22"/>
    <x v="7"/>
    <n v="1358.9154463673599"/>
    <x v="1"/>
    <x v="6"/>
    <n v="1641972.834477714"/>
  </r>
  <r>
    <x v="22"/>
    <x v="8"/>
    <n v="1267.9535202424825"/>
    <x v="1"/>
    <x v="6"/>
    <n v="1547384.492240353"/>
  </r>
  <r>
    <x v="22"/>
    <x v="9"/>
    <n v="1054.230446478927"/>
    <x v="1"/>
    <x v="6"/>
    <n v="1299426.8451223024"/>
  </r>
  <r>
    <x v="22"/>
    <x v="10"/>
    <n v="1136.2790240023439"/>
    <x v="1"/>
    <x v="6"/>
    <n v="1414564.1372739503"/>
  </r>
  <r>
    <x v="22"/>
    <x v="11"/>
    <n v="1549.2051351365467"/>
    <x v="1"/>
    <x v="6"/>
    <n v="1947905.821497137"/>
  </r>
  <r>
    <x v="22"/>
    <x v="0"/>
    <n v="544.06312902736875"/>
    <x v="2"/>
    <x v="6"/>
    <n v="613159.14641384454"/>
  </r>
  <r>
    <x v="22"/>
    <x v="1"/>
    <n v="607.14663256532856"/>
    <x v="2"/>
    <x v="6"/>
    <n v="691096.79745013651"/>
  </r>
  <r>
    <x v="22"/>
    <x v="2"/>
    <n v="529.44646820649871"/>
    <x v="2"/>
    <x v="6"/>
    <n v="608679.56167906546"/>
  </r>
  <r>
    <x v="22"/>
    <x v="3"/>
    <n v="823.62990005781035"/>
    <x v="2"/>
    <x v="6"/>
    <n v="956357.22178621381"/>
  </r>
  <r>
    <x v="22"/>
    <x v="4"/>
    <n v="901.72892434040011"/>
    <x v="2"/>
    <x v="6"/>
    <n v="1057512.2618960112"/>
  </r>
  <r>
    <x v="22"/>
    <x v="5"/>
    <n v="1014.592849475257"/>
    <x v="2"/>
    <x v="6"/>
    <n v="1201773.3863159695"/>
  </r>
  <r>
    <x v="22"/>
    <x v="6"/>
    <n v="666.74949834358506"/>
    <x v="2"/>
    <x v="6"/>
    <n v="797654.56743746635"/>
  </r>
  <r>
    <x v="22"/>
    <x v="7"/>
    <n v="988.30214281262545"/>
    <x v="2"/>
    <x v="6"/>
    <n v="1194162.0614383377"/>
  </r>
  <r>
    <x v="22"/>
    <x v="8"/>
    <n v="922.14801472180523"/>
    <x v="2"/>
    <x v="6"/>
    <n v="1125370.5398111658"/>
  </r>
  <r>
    <x v="22"/>
    <x v="9"/>
    <n v="766.71305198467428"/>
    <x v="2"/>
    <x v="6"/>
    <n v="945037.70554349269"/>
  </r>
  <r>
    <x v="22"/>
    <x v="10"/>
    <n v="826.38474472897724"/>
    <x v="2"/>
    <x v="6"/>
    <n v="1028773.9180174181"/>
  </r>
  <r>
    <x v="22"/>
    <x v="11"/>
    <n v="1126.6946437356703"/>
    <x v="2"/>
    <x v="6"/>
    <n v="1416658.779270645"/>
  </r>
  <r>
    <x v="22"/>
    <x v="0"/>
    <n v="2992.3472096505284"/>
    <x v="3"/>
    <x v="6"/>
    <n v="3372375.3052761457"/>
  </r>
  <r>
    <x v="22"/>
    <x v="1"/>
    <n v="3339.306479109307"/>
    <x v="3"/>
    <x v="6"/>
    <n v="3801032.3859757506"/>
  </r>
  <r>
    <x v="22"/>
    <x v="2"/>
    <n v="2911.9555751357429"/>
    <x v="3"/>
    <x v="6"/>
    <n v="3347737.5892348601"/>
  </r>
  <r>
    <x v="22"/>
    <x v="3"/>
    <n v="4529.9644503179579"/>
    <x v="3"/>
    <x v="6"/>
    <n v="5259964.7198241772"/>
  </r>
  <r>
    <x v="22"/>
    <x v="4"/>
    <n v="4959.5090838722008"/>
    <x v="3"/>
    <x v="6"/>
    <n v="5816317.4404280623"/>
  </r>
  <r>
    <x v="22"/>
    <x v="5"/>
    <n v="5580.2606721139136"/>
    <x v="3"/>
    <x v="6"/>
    <n v="6609753.6247378318"/>
  </r>
  <r>
    <x v="22"/>
    <x v="6"/>
    <n v="3667.1222408897174"/>
    <x v="3"/>
    <x v="6"/>
    <n v="4387100.1209060643"/>
  </r>
  <r>
    <x v="22"/>
    <x v="7"/>
    <n v="5435.6617854694396"/>
    <x v="3"/>
    <x v="6"/>
    <n v="6567891.3379108561"/>
  </r>
  <r>
    <x v="22"/>
    <x v="8"/>
    <n v="5071.8140809699298"/>
    <x v="3"/>
    <x v="6"/>
    <n v="6189537.9689614121"/>
  </r>
  <r>
    <x v="22"/>
    <x v="9"/>
    <n v="4216.9217859157079"/>
    <x v="3"/>
    <x v="6"/>
    <n v="5197707.3804892097"/>
  </r>
  <r>
    <x v="22"/>
    <x v="10"/>
    <n v="4545.1160960093757"/>
    <x v="3"/>
    <x v="6"/>
    <n v="5658256.5490958011"/>
  </r>
  <r>
    <x v="22"/>
    <x v="11"/>
    <n v="6196.8205405461877"/>
    <x v="4"/>
    <x v="6"/>
    <n v="7791623.2859885488"/>
  </r>
  <r>
    <x v="22"/>
    <x v="0"/>
    <n v="1224.1420403115796"/>
    <x v="4"/>
    <x v="6"/>
    <n v="1379608.0794311503"/>
  </r>
  <r>
    <x v="22"/>
    <x v="1"/>
    <n v="1366.0799232719892"/>
    <x v="4"/>
    <x v="6"/>
    <n v="1554967.7942628071"/>
  </r>
  <r>
    <x v="22"/>
    <x v="2"/>
    <n v="1191.2545534646219"/>
    <x v="4"/>
    <x v="6"/>
    <n v="1369529.013777897"/>
  </r>
  <r>
    <x v="22"/>
    <x v="3"/>
    <n v="1853.1672751300737"/>
    <x v="4"/>
    <x v="6"/>
    <n v="2151803.7490189816"/>
  </r>
  <r>
    <x v="22"/>
    <x v="4"/>
    <n v="2028.8900797659005"/>
    <x v="4"/>
    <x v="6"/>
    <n v="2379402.5892660255"/>
  </r>
  <r>
    <x v="22"/>
    <x v="5"/>
    <n v="2282.8339113193279"/>
    <x v="4"/>
    <x v="6"/>
    <n v="2703990.1192109305"/>
  </r>
  <r>
    <x v="22"/>
    <x v="6"/>
    <n v="1500.1863712730662"/>
    <x v="4"/>
    <x v="6"/>
    <n v="1794722.776734299"/>
  </r>
  <r>
    <x v="22"/>
    <x v="7"/>
    <n v="2223.6798213284069"/>
    <x v="4"/>
    <x v="6"/>
    <n v="2686864.6382362591"/>
  </r>
  <r>
    <x v="22"/>
    <x v="8"/>
    <n v="2074.8330331240622"/>
    <x v="4"/>
    <x v="6"/>
    <n v="2532083.7145751235"/>
  </r>
  <r>
    <x v="22"/>
    <x v="9"/>
    <n v="1725.1043669655166"/>
    <x v="4"/>
    <x v="6"/>
    <n v="2126334.8374728579"/>
  </r>
  <r>
    <x v="22"/>
    <x v="10"/>
    <n v="1859.365675640199"/>
    <x v="4"/>
    <x v="6"/>
    <n v="2314741.315539191"/>
  </r>
  <r>
    <x v="22"/>
    <x v="11"/>
    <n v="2535.0629484052588"/>
    <x v="4"/>
    <x v="6"/>
    <n v="3187482.2533589522"/>
  </r>
  <r>
    <x v="23"/>
    <x v="0"/>
    <n v="1602.7017043614323"/>
    <x v="0"/>
    <x v="6"/>
    <n v="1806244.8208153343"/>
  </r>
  <r>
    <x v="23"/>
    <x v="1"/>
    <n v="2195.0576810073576"/>
    <x v="0"/>
    <x v="6"/>
    <n v="2498568.3065602449"/>
  </r>
  <r>
    <x v="23"/>
    <x v="2"/>
    <n v="1636.4605884308403"/>
    <x v="0"/>
    <x v="6"/>
    <n v="1881361.3339331045"/>
  </r>
  <r>
    <x v="23"/>
    <x v="3"/>
    <n v="1633.8755943975973"/>
    <x v="0"/>
    <x v="6"/>
    <n v="1897173.3834489358"/>
  </r>
  <r>
    <x v="23"/>
    <x v="4"/>
    <n v="1630.3332290740368"/>
    <x v="0"/>
    <x v="6"/>
    <n v="1911990.7703786495"/>
  </r>
  <r>
    <x v="23"/>
    <x v="5"/>
    <n v="1625.4298479757445"/>
    <x v="0"/>
    <x v="6"/>
    <n v="1925302.6804113106"/>
  </r>
  <r>
    <x v="23"/>
    <x v="6"/>
    <n v="1625.4298479757445"/>
    <x v="0"/>
    <x v="6"/>
    <n v="1944555.7072154237"/>
  </r>
  <r>
    <x v="23"/>
    <x v="7"/>
    <n v="2310.7015688098245"/>
    <x v="0"/>
    <x v="6"/>
    <n v="2792012.7147815898"/>
  </r>
  <r>
    <x v="23"/>
    <x v="8"/>
    <n v="1625.4298479757445"/>
    <x v="0"/>
    <x v="6"/>
    <n v="1983641.2769304537"/>
  </r>
  <r>
    <x v="23"/>
    <x v="9"/>
    <n v="1625.4298479757445"/>
    <x v="0"/>
    <x v="6"/>
    <n v="2003477.6896997581"/>
  </r>
  <r>
    <x v="23"/>
    <x v="10"/>
    <n v="1625.4298479757445"/>
    <x v="0"/>
    <x v="6"/>
    <n v="2023512.4665967554"/>
  </r>
  <r>
    <x v="23"/>
    <x v="11"/>
    <n v="1650.8055563975863"/>
    <x v="0"/>
    <x v="6"/>
    <n v="2075653.9470050589"/>
  </r>
  <r>
    <x v="23"/>
    <x v="0"/>
    <n v="927.87993410398724"/>
    <x v="1"/>
    <x v="6"/>
    <n v="1045720.6857351937"/>
  </r>
  <r>
    <x v="23"/>
    <x v="1"/>
    <n v="1270.822867951628"/>
    <x v="1"/>
    <x v="6"/>
    <n v="1446539.5459032997"/>
  </r>
  <r>
    <x v="23"/>
    <x v="2"/>
    <n v="947.42455119680244"/>
    <x v="1"/>
    <x v="6"/>
    <n v="1089209.1933296924"/>
  </r>
  <r>
    <x v="23"/>
    <x v="3"/>
    <n v="945.92797570387199"/>
    <x v="1"/>
    <x v="6"/>
    <n v="1098363.5377862258"/>
  </r>
  <r>
    <x v="23"/>
    <x v="4"/>
    <n v="943.8771326218108"/>
    <x v="1"/>
    <x v="6"/>
    <n v="1106942.0249560601"/>
  </r>
  <r>
    <x v="23"/>
    <x v="5"/>
    <n v="941.03833303858892"/>
    <x v="1"/>
    <x v="6"/>
    <n v="1114648.9202381272"/>
  </r>
  <r>
    <x v="23"/>
    <x v="6"/>
    <n v="941.03833303858892"/>
    <x v="1"/>
    <x v="6"/>
    <n v="1125795.4094405086"/>
  </r>
  <r>
    <x v="23"/>
    <x v="7"/>
    <n v="1337.7745924688461"/>
    <x v="1"/>
    <x v="6"/>
    <n v="1616428.4138209207"/>
  </r>
  <r>
    <x v="23"/>
    <x v="8"/>
    <n v="941.03833303858892"/>
    <x v="1"/>
    <x v="6"/>
    <n v="1148423.8971702626"/>
  </r>
  <r>
    <x v="23"/>
    <x v="9"/>
    <n v="941.03833303858892"/>
    <x v="1"/>
    <x v="6"/>
    <n v="1159908.1361419652"/>
  </r>
  <r>
    <x v="23"/>
    <x v="10"/>
    <n v="941.03833303858892"/>
    <x v="1"/>
    <x v="6"/>
    <n v="1171507.2175033849"/>
  </r>
  <r>
    <x v="23"/>
    <x v="11"/>
    <n v="955.72953265123419"/>
    <x v="1"/>
    <x v="6"/>
    <n v="1201694.3903713499"/>
  </r>
  <r>
    <x v="23"/>
    <x v="0"/>
    <n v="674.82177025744522"/>
    <x v="2"/>
    <x v="6"/>
    <n v="760524.13508014078"/>
  </r>
  <r>
    <x v="23"/>
    <x v="1"/>
    <n v="924.23481305572943"/>
    <x v="2"/>
    <x v="6"/>
    <n v="1052028.7606569452"/>
  </r>
  <r>
    <x v="23"/>
    <x v="2"/>
    <n v="689.03603723403808"/>
    <x v="2"/>
    <x v="6"/>
    <n v="792152.14060341252"/>
  </r>
  <r>
    <x v="23"/>
    <x v="3"/>
    <n v="687.94761869372508"/>
    <x v="2"/>
    <x v="6"/>
    <n v="798809.84566270967"/>
  </r>
  <r>
    <x v="23"/>
    <x v="4"/>
    <n v="686.45609645222601"/>
    <x v="2"/>
    <x v="6"/>
    <n v="805048.74542258924"/>
  </r>
  <r>
    <x v="23"/>
    <x v="5"/>
    <n v="684.39151493715565"/>
    <x v="2"/>
    <x v="6"/>
    <n v="810653.76017318352"/>
  </r>
  <r>
    <x v="23"/>
    <x v="6"/>
    <n v="684.39151493715565"/>
    <x v="2"/>
    <x v="6"/>
    <n v="818760.29777491535"/>
  </r>
  <r>
    <x v="23"/>
    <x v="7"/>
    <n v="972.92697634097874"/>
    <x v="2"/>
    <x v="6"/>
    <n v="1175584.3009606693"/>
  </r>
  <r>
    <x v="23"/>
    <x v="8"/>
    <n v="684.39151493715565"/>
    <x v="2"/>
    <x v="6"/>
    <n v="835217.37976019108"/>
  </r>
  <r>
    <x v="23"/>
    <x v="9"/>
    <n v="684.39151493715565"/>
    <x v="2"/>
    <x v="6"/>
    <n v="843569.55355779303"/>
  </r>
  <r>
    <x v="23"/>
    <x v="10"/>
    <n v="684.39151493715565"/>
    <x v="2"/>
    <x v="6"/>
    <n v="852005.24909337086"/>
  </r>
  <r>
    <x v="23"/>
    <x v="11"/>
    <n v="695.07602374635212"/>
    <x v="2"/>
    <x v="6"/>
    <n v="873959.55663370888"/>
  </r>
  <r>
    <x v="23"/>
    <x v="0"/>
    <n v="3711.519736415949"/>
    <x v="3"/>
    <x v="6"/>
    <n v="4182882.7429407747"/>
  </r>
  <r>
    <x v="23"/>
    <x v="1"/>
    <n v="5083.2914718065122"/>
    <x v="3"/>
    <x v="6"/>
    <n v="5786158.1836131988"/>
  </r>
  <r>
    <x v="23"/>
    <x v="2"/>
    <n v="3789.6982047872098"/>
    <x v="3"/>
    <x v="6"/>
    <n v="4356836.7733187694"/>
  </r>
  <r>
    <x v="23"/>
    <x v="3"/>
    <n v="3783.711902815488"/>
    <x v="3"/>
    <x v="6"/>
    <n v="4393454.1511449032"/>
  </r>
  <r>
    <x v="23"/>
    <x v="4"/>
    <n v="3775.5085304872432"/>
    <x v="3"/>
    <x v="6"/>
    <n v="4427768.0998242404"/>
  </r>
  <r>
    <x v="23"/>
    <x v="5"/>
    <n v="3764.1533321543561"/>
    <x v="3"/>
    <x v="6"/>
    <n v="4458595.6809525099"/>
  </r>
  <r>
    <x v="23"/>
    <x v="6"/>
    <n v="3764.1533321543561"/>
    <x v="3"/>
    <x v="6"/>
    <n v="4503181.6377620343"/>
  </r>
  <r>
    <x v="23"/>
    <x v="7"/>
    <n v="5351.0983698753835"/>
    <x v="3"/>
    <x v="6"/>
    <n v="6465713.655283682"/>
  </r>
  <r>
    <x v="23"/>
    <x v="8"/>
    <n v="3764.1533321543561"/>
    <x v="3"/>
    <x v="6"/>
    <n v="4593695.5886810515"/>
  </r>
  <r>
    <x v="23"/>
    <x v="9"/>
    <n v="3764.1533321543561"/>
    <x v="3"/>
    <x v="6"/>
    <n v="4639632.5445678616"/>
  </r>
  <r>
    <x v="23"/>
    <x v="10"/>
    <n v="3764.1533321543561"/>
    <x v="3"/>
    <x v="6"/>
    <n v="4686028.8700135397"/>
  </r>
  <r>
    <x v="23"/>
    <x v="11"/>
    <n v="3822.9181306049368"/>
    <x v="4"/>
    <x v="6"/>
    <n v="4806777.5614853995"/>
  </r>
  <r>
    <x v="23"/>
    <x v="0"/>
    <n v="1518.3489830792516"/>
    <x v="4"/>
    <x v="6"/>
    <n v="1711179.3039303166"/>
  </r>
  <r>
    <x v="23"/>
    <x v="1"/>
    <n v="2079.5283293753914"/>
    <x v="4"/>
    <x v="6"/>
    <n v="2367064.7114781267"/>
  </r>
  <r>
    <x v="23"/>
    <x v="2"/>
    <n v="1550.3310837765855"/>
    <x v="4"/>
    <x v="6"/>
    <n v="1782342.3163576778"/>
  </r>
  <r>
    <x v="23"/>
    <x v="3"/>
    <n v="1547.8821420608815"/>
    <x v="4"/>
    <x v="6"/>
    <n v="1797322.1527410969"/>
  </r>
  <r>
    <x v="23"/>
    <x v="4"/>
    <n v="1544.5262170175083"/>
    <x v="4"/>
    <x v="6"/>
    <n v="1811359.6772008254"/>
  </r>
  <r>
    <x v="23"/>
    <x v="5"/>
    <n v="1539.8809086086001"/>
    <x v="4"/>
    <x v="6"/>
    <n v="1823970.9603896628"/>
  </r>
  <r>
    <x v="23"/>
    <x v="6"/>
    <n v="1539.8809086086001"/>
    <x v="4"/>
    <x v="6"/>
    <n v="1842210.6699935594"/>
  </r>
  <r>
    <x v="23"/>
    <x v="7"/>
    <n v="2189.0856967672021"/>
    <x v="4"/>
    <x v="6"/>
    <n v="2645064.6771615059"/>
  </r>
  <r>
    <x v="23"/>
    <x v="8"/>
    <n v="1539.8809086086001"/>
    <x v="4"/>
    <x v="6"/>
    <n v="1879239.1044604299"/>
  </r>
  <r>
    <x v="23"/>
    <x v="9"/>
    <n v="1539.8809086086001"/>
    <x v="4"/>
    <x v="6"/>
    <n v="1898031.495505034"/>
  </r>
  <r>
    <x v="23"/>
    <x v="10"/>
    <n v="1539.8809086086001"/>
    <x v="4"/>
    <x v="6"/>
    <n v="1917011.8104600844"/>
  </r>
  <r>
    <x v="23"/>
    <x v="11"/>
    <n v="1563.9210534292922"/>
    <x v="4"/>
    <x v="6"/>
    <n v="1966409.002425845"/>
  </r>
  <r>
    <x v="24"/>
    <x v="0"/>
    <n v="5225"/>
    <x v="0"/>
    <x v="7"/>
    <n v="5888575"/>
  </r>
  <r>
    <x v="24"/>
    <x v="1"/>
    <n v="3976"/>
    <x v="0"/>
    <x v="7"/>
    <n v="4525761.5199999996"/>
  </r>
  <r>
    <x v="24"/>
    <x v="2"/>
    <n v="34476"/>
    <x v="0"/>
    <x v="7"/>
    <n v="39635426.485200003"/>
  </r>
  <r>
    <x v="24"/>
    <x v="3"/>
    <n v="376"/>
    <x v="0"/>
    <x v="7"/>
    <n v="436592.10935200006"/>
  </r>
  <r>
    <x v="24"/>
    <x v="4"/>
    <n v="53377"/>
    <x v="0"/>
    <x v="7"/>
    <n v="62598448.912474804"/>
  </r>
  <r>
    <x v="24"/>
    <x v="6"/>
    <n v="5274"/>
    <x v="0"/>
    <x v="7"/>
    <n v="6309461.3481019232"/>
  </r>
  <r>
    <x v="24"/>
    <x v="0"/>
    <n v="1335"/>
    <x v="1"/>
    <x v="7"/>
    <n v="1504545"/>
  </r>
  <r>
    <x v="24"/>
    <x v="1"/>
    <n v="1505"/>
    <x v="1"/>
    <x v="7"/>
    <n v="1713096.3499999999"/>
  </r>
  <r>
    <x v="24"/>
    <x v="2"/>
    <n v="2505"/>
    <x v="1"/>
    <x v="7"/>
    <n v="2879880.0135000004"/>
  </r>
  <r>
    <x v="24"/>
    <x v="3"/>
    <n v="15000"/>
    <x v="1"/>
    <x v="7"/>
    <n v="17417238.405000001"/>
  </r>
  <r>
    <x v="24"/>
    <x v="4"/>
    <n v="51200"/>
    <x v="1"/>
    <x v="7"/>
    <n v="60045348.826624013"/>
  </r>
  <r>
    <x v="24"/>
    <x v="6"/>
    <n v="37110"/>
    <x v="1"/>
    <x v="7"/>
    <n v="44395925.412981108"/>
  </r>
  <r>
    <x v="24"/>
    <x v="7"/>
    <n v="15000"/>
    <x v="1"/>
    <x v="7"/>
    <n v="18124448.127369005"/>
  </r>
  <r>
    <x v="24"/>
    <x v="0"/>
    <n v="890"/>
    <x v="2"/>
    <x v="7"/>
    <n v="1003030"/>
  </r>
  <r>
    <x v="24"/>
    <x v="1"/>
    <n v="9450"/>
    <x v="2"/>
    <x v="7"/>
    <n v="10756651.5"/>
  </r>
  <r>
    <x v="24"/>
    <x v="2"/>
    <n v="19900"/>
    <x v="2"/>
    <x v="7"/>
    <n v="22878088.73"/>
  </r>
  <r>
    <x v="24"/>
    <x v="3"/>
    <n v="18900"/>
    <x v="2"/>
    <x v="7"/>
    <n v="21945720.390300002"/>
  </r>
  <r>
    <x v="24"/>
    <x v="4"/>
    <n v="54750"/>
    <x v="2"/>
    <x v="7"/>
    <n v="64208649.38003251"/>
  </r>
  <r>
    <x v="24"/>
    <x v="6"/>
    <n v="1055"/>
    <x v="2"/>
    <x v="7"/>
    <n v="1262131.5362623301"/>
  </r>
  <r>
    <x v="24"/>
    <x v="0"/>
    <n v="4009"/>
    <x v="3"/>
    <x v="7"/>
    <n v="4518143"/>
  </r>
  <r>
    <x v="24"/>
    <x v="1"/>
    <n v="6290"/>
    <x v="3"/>
    <x v="7"/>
    <n v="7159718.2999999998"/>
  </r>
  <r>
    <x v="24"/>
    <x v="2"/>
    <n v="20876"/>
    <x v="3"/>
    <x v="7"/>
    <n v="24000149.7652"/>
  </r>
  <r>
    <x v="24"/>
    <x v="3"/>
    <n v="56602"/>
    <x v="3"/>
    <x v="7"/>
    <n v="65723368.546654008"/>
  </r>
  <r>
    <x v="24"/>
    <x v="4"/>
    <n v="38085"/>
    <x v="3"/>
    <x v="7"/>
    <n v="44664591.993397959"/>
  </r>
  <r>
    <x v="24"/>
    <x v="5"/>
    <n v="36667"/>
    <x v="3"/>
    <x v="7"/>
    <n v="43431633.466407828"/>
  </r>
  <r>
    <x v="24"/>
    <x v="6"/>
    <n v="60827"/>
    <x v="3"/>
    <x v="7"/>
    <n v="72769360.148084134"/>
  </r>
  <r>
    <x v="24"/>
    <x v="7"/>
    <n v="18565"/>
    <x v="3"/>
    <x v="7"/>
    <n v="22432025.298973706"/>
  </r>
  <r>
    <x v="24"/>
    <x v="0"/>
    <n v="2673"/>
    <x v="4"/>
    <x v="7"/>
    <n v="3012471"/>
  </r>
  <r>
    <x v="24"/>
    <x v="1"/>
    <n v="3289"/>
    <x v="4"/>
    <x v="7"/>
    <n v="3743770.03"/>
  </r>
  <r>
    <x v="24"/>
    <x v="2"/>
    <n v="60143"/>
    <x v="4"/>
    <x v="7"/>
    <n v="69143562.336100012"/>
  </r>
  <r>
    <x v="24"/>
    <x v="3"/>
    <n v="257"/>
    <x v="4"/>
    <x v="7"/>
    <n v="298415.35133900004"/>
  </r>
  <r>
    <x v="24"/>
    <x v="4"/>
    <n v="4071"/>
    <x v="4"/>
    <x v="7"/>
    <n v="4774308.8881481709"/>
  </r>
  <r>
    <x v="24"/>
    <x v="6"/>
    <n v="10200"/>
    <x v="4"/>
    <x v="7"/>
    <n v="12202598.739218736"/>
  </r>
  <r>
    <x v="25"/>
    <x v="0"/>
    <n v="1439.7471162377994"/>
    <x v="0"/>
    <x v="8"/>
    <n v="1622595"/>
  </r>
  <r>
    <x v="25"/>
    <x v="1"/>
    <n v="712.05755225034488"/>
    <x v="0"/>
    <x v="8"/>
    <n v="810513.75"/>
  </r>
  <r>
    <x v="25"/>
    <x v="2"/>
    <n v="450.56759315226242"/>
    <x v="0"/>
    <x v="8"/>
    <n v="517996.25000000006"/>
  </r>
  <r>
    <x v="25"/>
    <x v="3"/>
    <n v="1231.0282492226124"/>
    <x v="0"/>
    <x v="8"/>
    <n v="1429407.5"/>
  </r>
  <r>
    <x v="25"/>
    <x v="4"/>
    <n v="1521.04024349516"/>
    <x v="0"/>
    <x v="8"/>
    <n v="1783816.25"/>
  </r>
  <r>
    <x v="25"/>
    <x v="5"/>
    <n v="1183.5068093802313"/>
    <x v="0"/>
    <x v="8"/>
    <n v="1401850"/>
  </r>
  <r>
    <x v="25"/>
    <x v="6"/>
    <n v="1298.3652776420283"/>
    <x v="0"/>
    <x v="8"/>
    <n v="1553277.5"/>
  </r>
  <r>
    <x v="25"/>
    <x v="7"/>
    <n v="2367.1972491792544"/>
    <x v="0"/>
    <x v="8"/>
    <n v="2860276.25"/>
  </r>
  <r>
    <x v="25"/>
    <x v="8"/>
    <n v="3383.8336562449736"/>
    <x v="0"/>
    <x v="8"/>
    <n v="4129561.25"/>
  </r>
  <r>
    <x v="25"/>
    <x v="9"/>
    <n v="3055.301611603968"/>
    <x v="0"/>
    <x v="8"/>
    <n v="3765913.75"/>
  </r>
  <r>
    <x v="25"/>
    <x v="10"/>
    <n v="3301.4648485832613"/>
    <x v="0"/>
    <x v="8"/>
    <n v="4110023.75"/>
  </r>
  <r>
    <x v="25"/>
    <x v="11"/>
    <n v="3298.7645540864946"/>
    <x v="0"/>
    <x v="8"/>
    <n v="4147728.75"/>
  </r>
  <r>
    <x v="25"/>
    <x v="0"/>
    <n v="4047.7251552795033"/>
    <x v="1"/>
    <x v="8"/>
    <n v="4561786.25"/>
  </r>
  <r>
    <x v="25"/>
    <x v="1"/>
    <n v="3322.4641341685187"/>
    <x v="1"/>
    <x v="8"/>
    <n v="3781861.2499999995"/>
  </r>
  <r>
    <x v="25"/>
    <x v="2"/>
    <n v="732.18525038039741"/>
    <x v="1"/>
    <x v="8"/>
    <n v="841758.75"/>
  </r>
  <r>
    <x v="25"/>
    <x v="3"/>
    <n v="724.93589146574004"/>
    <x v="1"/>
    <x v="8"/>
    <n v="841758.75"/>
  </r>
  <r>
    <x v="25"/>
    <x v="4"/>
    <n v="1870.589382773265"/>
    <x v="1"/>
    <x v="8"/>
    <n v="2193753.75"/>
  </r>
  <r>
    <x v="25"/>
    <x v="5"/>
    <n v="1852.0686958151141"/>
    <x v="1"/>
    <x v="8"/>
    <n v="2193753.75"/>
  </r>
  <r>
    <x v="25"/>
    <x v="6"/>
    <n v="2749.1149399335063"/>
    <x v="1"/>
    <x v="8"/>
    <n v="3288857.4999999995"/>
  </r>
  <r>
    <x v="25"/>
    <x v="7"/>
    <n v="4861.9211399288924"/>
    <x v="1"/>
    <x v="8"/>
    <n v="5874642.5"/>
  </r>
  <r>
    <x v="25"/>
    <x v="8"/>
    <n v="5160.0608356879748"/>
    <x v="1"/>
    <x v="8"/>
    <n v="6297232.5000000009"/>
  </r>
  <r>
    <x v="25"/>
    <x v="9"/>
    <n v="4182.4718786279418"/>
    <x v="1"/>
    <x v="8"/>
    <n v="5155244.9999999991"/>
  </r>
  <r>
    <x v="25"/>
    <x v="10"/>
    <n v="3270.6824814913994"/>
    <x v="1"/>
    <x v="8"/>
    <n v="4071702.5"/>
  </r>
  <r>
    <x v="25"/>
    <x v="11"/>
    <n v="2947.5062645837261"/>
    <x v="1"/>
    <x v="8"/>
    <n v="3706071.25"/>
  </r>
  <r>
    <x v="25"/>
    <x v="0"/>
    <n v="76.624889086069217"/>
    <x v="2"/>
    <x v="8"/>
    <n v="86356.250000000015"/>
  </r>
  <r>
    <x v="25"/>
    <x v="1"/>
    <n v="77.15766030906552"/>
    <x v="2"/>
    <x v="8"/>
    <n v="87826.250000000015"/>
  </r>
  <r>
    <x v="25"/>
    <x v="2"/>
    <n v="114.02356555157918"/>
    <x v="2"/>
    <x v="8"/>
    <n v="131087.5"/>
  </r>
  <r>
    <x v="25"/>
    <x v="3"/>
    <n v="191.74860975901075"/>
    <x v="2"/>
    <x v="8"/>
    <n v="222648.75"/>
  </r>
  <r>
    <x v="25"/>
    <x v="4"/>
    <n v="238.10910052804255"/>
    <x v="2"/>
    <x v="8"/>
    <n v="279244.99999999994"/>
  </r>
  <r>
    <x v="25"/>
    <x v="5"/>
    <n v="121.6696245799078"/>
    <x v="2"/>
    <x v="8"/>
    <n v="144116.25"/>
  </r>
  <r>
    <x v="25"/>
    <x v="6"/>
    <n v="81.123928693846338"/>
    <x v="2"/>
    <x v="8"/>
    <n v="97051.25"/>
  </r>
  <r>
    <x v="25"/>
    <x v="7"/>
    <n v="62.292241510797965"/>
    <x v="2"/>
    <x v="8"/>
    <n v="75267.5"/>
  </r>
  <r>
    <x v="25"/>
    <x v="8"/>
    <n v="63.622626846149984"/>
    <x v="2"/>
    <x v="8"/>
    <n v="77643.75"/>
  </r>
  <r>
    <x v="25"/>
    <x v="9"/>
    <n v="70.36137017035206"/>
    <x v="2"/>
    <x v="8"/>
    <n v="86726.250000000015"/>
  </r>
  <r>
    <x v="25"/>
    <x v="10"/>
    <n v="73.218195137768788"/>
    <x v="2"/>
    <x v="8"/>
    <n v="91149.999999999985"/>
  </r>
  <r>
    <x v="25"/>
    <x v="11"/>
    <n v="78.445225796558844"/>
    <x v="2"/>
    <x v="8"/>
    <n v="98633.75"/>
  </r>
  <r>
    <x v="25"/>
    <x v="0"/>
    <n v="7950.053238686779"/>
    <x v="3"/>
    <x v="8"/>
    <n v="8959710"/>
  </r>
  <r>
    <x v="25"/>
    <x v="1"/>
    <n v="4314.8088766285682"/>
    <x v="3"/>
    <x v="8"/>
    <n v="4911417.5"/>
  </r>
  <r>
    <x v="25"/>
    <x v="2"/>
    <n v="2537.701168361541"/>
    <x v="3"/>
    <x v="8"/>
    <n v="2917475.0000000005"/>
  </r>
  <r>
    <x v="25"/>
    <x v="3"/>
    <n v="8161.3174944653347"/>
    <x v="3"/>
    <x v="8"/>
    <n v="9476507.5000000019"/>
  </r>
  <r>
    <x v="25"/>
    <x v="4"/>
    <n v="8080.512370757755"/>
    <x v="3"/>
    <x v="8"/>
    <n v="9476507.5"/>
  </r>
  <r>
    <x v="25"/>
    <x v="5"/>
    <n v="2991.032496352394"/>
    <x v="3"/>
    <x v="8"/>
    <n v="3542843.0759999994"/>
  </r>
  <r>
    <x v="25"/>
    <x v="6"/>
    <n v="15524.1255329132"/>
    <x v="3"/>
    <x v="8"/>
    <n v="18572026.927000001"/>
  </r>
  <r>
    <x v="25"/>
    <x v="7"/>
    <n v="26252.787795866032"/>
    <x v="3"/>
    <x v="8"/>
    <n v="31721152.706999999"/>
  </r>
  <r>
    <x v="25"/>
    <x v="8"/>
    <n v="28347.635310722959"/>
    <x v="3"/>
    <x v="8"/>
    <n v="34594873.211999997"/>
  </r>
  <r>
    <x v="25"/>
    <x v="9"/>
    <n v="27067.823465830304"/>
    <x v="3"/>
    <x v="8"/>
    <n v="33363347.234000001"/>
  </r>
  <r>
    <x v="25"/>
    <x v="10"/>
    <n v="31500.855225340802"/>
    <x v="3"/>
    <x v="8"/>
    <n v="39215702.441"/>
  </r>
  <r>
    <x v="25"/>
    <x v="11"/>
    <n v="26376.22774160195"/>
    <x v="3"/>
    <x v="8"/>
    <n v="33164366.939999998"/>
  </r>
  <r>
    <x v="25"/>
    <x v="0"/>
    <n v="3513.0246228926353"/>
    <x v="4"/>
    <x v="8"/>
    <n v="3959178.75"/>
  </r>
  <r>
    <x v="25"/>
    <x v="1"/>
    <n v="1688.7820991504652"/>
    <x v="4"/>
    <x v="8"/>
    <n v="1922290"/>
  </r>
  <r>
    <x v="25"/>
    <x v="2"/>
    <n v="1071.3800785228443"/>
    <x v="4"/>
    <x v="8"/>
    <n v="1231715"/>
  </r>
  <r>
    <x v="25"/>
    <x v="3"/>
    <n v="3408.7285320132237"/>
    <x v="4"/>
    <x v="8"/>
    <n v="3958042.5"/>
  </r>
  <r>
    <x v="25"/>
    <x v="4"/>
    <n v="3374.9787445675479"/>
    <x v="4"/>
    <x v="8"/>
    <n v="3958042.5"/>
  </r>
  <r>
    <x v="25"/>
    <x v="5"/>
    <n v="1262.7587157965131"/>
    <x v="4"/>
    <x v="8"/>
    <n v="1495722.9580000001"/>
  </r>
  <r>
    <x v="25"/>
    <x v="6"/>
    <n v="6554.047771345503"/>
    <x v="4"/>
    <x v="8"/>
    <n v="7840825.0070000002"/>
  </r>
  <r>
    <x v="25"/>
    <x v="7"/>
    <n v="11083.545320569205"/>
    <x v="4"/>
    <x v="8"/>
    <n v="13392209.482000001"/>
  </r>
  <r>
    <x v="25"/>
    <x v="8"/>
    <n v="11967.957871562019"/>
    <x v="4"/>
    <x v="8"/>
    <n v="14605450.530000001"/>
  </r>
  <r>
    <x v="25"/>
    <x v="9"/>
    <n v="11427.64092985997"/>
    <x v="4"/>
    <x v="8"/>
    <n v="14085519.395"/>
  </r>
  <r>
    <x v="25"/>
    <x v="10"/>
    <n v="13299.201169006754"/>
    <x v="4"/>
    <x v="8"/>
    <n v="16556297.028000001"/>
  </r>
  <r>
    <x v="25"/>
    <x v="11"/>
    <n v="11135.659655115836"/>
    <x v="4"/>
    <x v="8"/>
    <n v="14001513.277000001"/>
  </r>
  <r>
    <x v="26"/>
    <x v="0"/>
    <n v="2415.6697909494233"/>
    <x v="0"/>
    <x v="1"/>
    <n v="2722459.8544000001"/>
  </r>
  <r>
    <x v="26"/>
    <x v="1"/>
    <n v="740.63704809052331"/>
    <x v="0"/>
    <x v="1"/>
    <n v="843044.93273"/>
  </r>
  <r>
    <x v="26"/>
    <x v="2"/>
    <n v="546.31962115167471"/>
    <x v="0"/>
    <x v="1"/>
    <n v="628077.82752000005"/>
  </r>
  <r>
    <x v="26"/>
    <x v="3"/>
    <n v="1592.1589018118514"/>
    <x v="0"/>
    <x v="1"/>
    <n v="1848734.0781000003"/>
  </r>
  <r>
    <x v="26"/>
    <x v="4"/>
    <n v="2302.3274296360291"/>
    <x v="0"/>
    <x v="1"/>
    <n v="2700079.1723750005"/>
  </r>
  <r>
    <x v="26"/>
    <x v="5"/>
    <n v="1764.6699098016161"/>
    <x v="0"/>
    <x v="1"/>
    <n v="2090230.9082200001"/>
  </r>
  <r>
    <x v="26"/>
    <x v="6"/>
    <n v="1379.3127839158635"/>
    <x v="0"/>
    <x v="1"/>
    <n v="1650117.6900000002"/>
  </r>
  <r>
    <x v="26"/>
    <x v="7"/>
    <n v="1834.6089345770799"/>
    <x v="0"/>
    <x v="1"/>
    <n v="2216751.6312500001"/>
  </r>
  <r>
    <x v="26"/>
    <x v="8"/>
    <n v="1954.8177873043223"/>
    <x v="0"/>
    <x v="1"/>
    <n v="2385619.5680200001"/>
  </r>
  <r>
    <x v="26"/>
    <x v="9"/>
    <n v="2195.0406607146774"/>
    <x v="0"/>
    <x v="1"/>
    <n v="2705570.4662999995"/>
  </r>
  <r>
    <x v="26"/>
    <x v="10"/>
    <n v="1566.5789522428292"/>
    <x v="0"/>
    <x v="1"/>
    <n v="1950248.448876"/>
  </r>
  <r>
    <x v="26"/>
    <x v="11"/>
    <n v="2091.7246910530971"/>
    <x v="0"/>
    <x v="1"/>
    <n v="2630047.2482699999"/>
  </r>
  <r>
    <x v="26"/>
    <x v="0"/>
    <n v="1301.0234852706301"/>
    <x v="1"/>
    <x v="1"/>
    <n v="1466253.4679"/>
  </r>
  <r>
    <x v="26"/>
    <x v="1"/>
    <n v="420.05214124065475"/>
    <x v="1"/>
    <x v="1"/>
    <n v="478132.75081000006"/>
  </r>
  <r>
    <x v="26"/>
    <x v="2"/>
    <n v="130.73452784480045"/>
    <x v="1"/>
    <x v="1"/>
    <n v="150299.30292000005"/>
  </r>
  <r>
    <x v="26"/>
    <x v="3"/>
    <n v="295.34943454774401"/>
    <x v="1"/>
    <x v="1"/>
    <n v="342944.76762000006"/>
  </r>
  <r>
    <x v="26"/>
    <x v="4"/>
    <n v="1268.625581547527"/>
    <x v="1"/>
    <x v="1"/>
    <n v="1487794.2494999999"/>
  </r>
  <r>
    <x v="26"/>
    <x v="5"/>
    <n v="511.53042148539902"/>
    <x v="1"/>
    <x v="1"/>
    <n v="605901.81287999987"/>
  </r>
  <r>
    <x v="26"/>
    <x v="6"/>
    <n v="622.06600982816531"/>
    <x v="1"/>
    <x v="1"/>
    <n v="744198.22620000003"/>
  </r>
  <r>
    <x v="26"/>
    <x v="7"/>
    <n v="1089.82610841665"/>
    <x v="1"/>
    <x v="1"/>
    <n v="1316833.1179900002"/>
  </r>
  <r>
    <x v="26"/>
    <x v="8"/>
    <n v="518.30324770779032"/>
    <x v="1"/>
    <x v="1"/>
    <n v="632526.66204000008"/>
  </r>
  <r>
    <x v="26"/>
    <x v="9"/>
    <n v="1379.90813417246"/>
    <x v="1"/>
    <x v="1"/>
    <n v="1700851.7249099999"/>
  </r>
  <r>
    <x v="26"/>
    <x v="10"/>
    <n v="246.68281828979897"/>
    <x v="1"/>
    <x v="1"/>
    <n v="307097.69402000005"/>
  </r>
  <r>
    <x v="26"/>
    <x v="11"/>
    <n v="1809.097372476605"/>
    <x v="1"/>
    <x v="1"/>
    <n v="2274683.4641700001"/>
  </r>
  <r>
    <x v="26"/>
    <x v="0"/>
    <n v="579.6250121561668"/>
    <x v="2"/>
    <x v="1"/>
    <n v="653237.38870000001"/>
  </r>
  <r>
    <x v="26"/>
    <x v="1"/>
    <n v="430.88015093958381"/>
    <x v="2"/>
    <x v="1"/>
    <n v="490457.94941000006"/>
  </r>
  <r>
    <x v="26"/>
    <x v="2"/>
    <n v="86.928806238614484"/>
    <x v="2"/>
    <x v="1"/>
    <n v="99937.936799999996"/>
  </r>
  <r>
    <x v="26"/>
    <x v="3"/>
    <n v="521.76680949553781"/>
    <x v="2"/>
    <x v="1"/>
    <n v="605849.1275200001"/>
  </r>
  <r>
    <x v="26"/>
    <x v="4"/>
    <n v="828.60823890391202"/>
    <x v="2"/>
    <x v="1"/>
    <n v="971759.19425000006"/>
  </r>
  <r>
    <x v="26"/>
    <x v="5"/>
    <n v="283.15307113375894"/>
    <x v="2"/>
    <x v="1"/>
    <n v="335391.50735999999"/>
  </r>
  <r>
    <x v="26"/>
    <x v="6"/>
    <n v="184.58801118655913"/>
    <x v="2"/>
    <x v="1"/>
    <n v="220828.76790000004"/>
  </r>
  <r>
    <x v="26"/>
    <x v="7"/>
    <n v="2052.2525155004246"/>
    <x v="2"/>
    <x v="1"/>
    <n v="2479729.6174300001"/>
  </r>
  <r>
    <x v="26"/>
    <x v="8"/>
    <n v="316.2221861229653"/>
    <x v="2"/>
    <x v="1"/>
    <n v="385911.07568000001"/>
  </r>
  <r>
    <x v="26"/>
    <x v="9"/>
    <n v="1535.5744496495474"/>
    <x v="2"/>
    <x v="1"/>
    <n v="1892723.4260999998"/>
  </r>
  <r>
    <x v="26"/>
    <x v="10"/>
    <n v="5.2941918834970245"/>
    <x v="2"/>
    <x v="1"/>
    <n v="6590.7878400000009"/>
  </r>
  <r>
    <x v="26"/>
    <x v="11"/>
    <n v="1213.3719566173777"/>
    <x v="2"/>
    <x v="1"/>
    <n v="1525643.21169"/>
  </r>
  <r>
    <x v="26"/>
    <x v="0"/>
    <n v="579.03847684117125"/>
    <x v="3"/>
    <x v="1"/>
    <n v="652576.36340000003"/>
  </r>
  <r>
    <x v="26"/>
    <x v="1"/>
    <n v="239.48500969892913"/>
    <x v="3"/>
    <x v="1"/>
    <n v="272598.60199000005"/>
  </r>
  <r>
    <x v="26"/>
    <x v="2"/>
    <n v="882.12688854642795"/>
    <x v="3"/>
    <x v="1"/>
    <n v="1014139.5591600001"/>
  </r>
  <r>
    <x v="26"/>
    <x v="3"/>
    <n v="198.03450503438177"/>
    <x v="3"/>
    <x v="1"/>
    <n v="229947.61244000003"/>
  </r>
  <r>
    <x v="26"/>
    <x v="4"/>
    <n v="1995.2183558650472"/>
    <x v="3"/>
    <x v="1"/>
    <n v="2339913.7141249999"/>
  </r>
  <r>
    <x v="26"/>
    <x v="5"/>
    <n v="4108.8561606463918"/>
    <x v="3"/>
    <x v="1"/>
    <n v="4866892.1573999999"/>
  </r>
  <r>
    <x v="26"/>
    <x v="6"/>
    <n v="1115.4539230789674"/>
    <x v="3"/>
    <x v="1"/>
    <n v="1334454.5721"/>
  </r>
  <r>
    <x v="26"/>
    <x v="7"/>
    <n v="4087.2827653651502"/>
    <x v="3"/>
    <x v="1"/>
    <n v="4938649.6308500003"/>
  </r>
  <r>
    <x v="26"/>
    <x v="8"/>
    <n v="6950.005311795373"/>
    <x v="3"/>
    <x v="1"/>
    <n v="8481644.057744002"/>
  </r>
  <r>
    <x v="26"/>
    <x v="9"/>
    <n v="4997.4868838596494"/>
    <x v="3"/>
    <x v="1"/>
    <n v="6159818.886584999"/>
  </r>
  <r>
    <x v="26"/>
    <x v="10"/>
    <n v="6226.5336072281061"/>
    <x v="3"/>
    <x v="1"/>
    <n v="7751468.5691300007"/>
  </r>
  <r>
    <x v="26"/>
    <x v="11"/>
    <n v="14170.620020631732"/>
    <x v="3"/>
    <x v="1"/>
    <n v="17817545.660264999"/>
  </r>
  <r>
    <x v="26"/>
    <x v="0"/>
    <n v="239.23235696539484"/>
    <x v="4"/>
    <x v="1"/>
    <n v="269614.86629999999"/>
  </r>
  <r>
    <x v="26"/>
    <x v="1"/>
    <n v="101.1068367346939"/>
    <x v="4"/>
    <x v="1"/>
    <n v="115086.87905000002"/>
  </r>
  <r>
    <x v="26"/>
    <x v="2"/>
    <n v="473.73931899607589"/>
    <x v="4"/>
    <x v="1"/>
    <n v="544635.68718000001"/>
  </r>
  <r>
    <x v="26"/>
    <x v="3"/>
    <n v="141.35291959334012"/>
    <x v="4"/>
    <x v="1"/>
    <n v="164131.83332000003"/>
  </r>
  <r>
    <x v="26"/>
    <x v="4"/>
    <n v="1555.9464030188874"/>
    <x v="4"/>
    <x v="1"/>
    <n v="1824752.8227500001"/>
  </r>
  <r>
    <x v="26"/>
    <x v="5"/>
    <n v="2088.8718314252751"/>
    <x v="4"/>
    <x v="1"/>
    <n v="2474244.2997999997"/>
  </r>
  <r>
    <x v="26"/>
    <x v="6"/>
    <n v="470.85164084710857"/>
    <x v="4"/>
    <x v="1"/>
    <n v="563295.45480000007"/>
  </r>
  <r>
    <x v="26"/>
    <x v="7"/>
    <n v="1717.6260359944581"/>
    <x v="4"/>
    <x v="1"/>
    <n v="2075401.5994400003"/>
  </r>
  <r>
    <x v="26"/>
    <x v="8"/>
    <n v="12870.177828899356"/>
    <x v="4"/>
    <x v="1"/>
    <n v="15706501.27696"/>
  </r>
  <r>
    <x v="26"/>
    <x v="9"/>
    <n v="226.09975815550715"/>
    <x v="4"/>
    <x v="1"/>
    <n v="278686.78655999998"/>
  </r>
  <r>
    <x v="26"/>
    <x v="10"/>
    <n v="69.890685906443352"/>
    <x v="4"/>
    <x v="1"/>
    <n v="87007.553360000005"/>
  </r>
  <r>
    <x v="26"/>
    <x v="11"/>
    <n v="8650.2986983326264"/>
    <x v="4"/>
    <x v="1"/>
    <n v="10876524.231689999"/>
  </r>
  <r>
    <x v="27"/>
    <x v="0"/>
    <n v="2599.4046230700974"/>
    <x v="0"/>
    <x v="1"/>
    <n v="2929529.0101999999"/>
  </r>
  <r>
    <x v="27"/>
    <x v="1"/>
    <n v="320.51145645584972"/>
    <x v="0"/>
    <x v="1"/>
    <n v="364828.57554000005"/>
  </r>
  <r>
    <x v="27"/>
    <x v="2"/>
    <n v="349.28099367748189"/>
    <x v="0"/>
    <x v="1"/>
    <n v="401551.83744000003"/>
  </r>
  <r>
    <x v="27"/>
    <x v="3"/>
    <n v="650.71296821351632"/>
    <x v="0"/>
    <x v="1"/>
    <n v="755574.86004000017"/>
  </r>
  <r>
    <x v="27"/>
    <x v="4"/>
    <n v="156.76921961066492"/>
    <x v="0"/>
    <x v="1"/>
    <n v="183852.78275000001"/>
  </r>
  <r>
    <x v="27"/>
    <x v="5"/>
    <n v="1889.529346299116"/>
    <x v="0"/>
    <x v="1"/>
    <n v="2238125.4531999999"/>
  </r>
  <r>
    <x v="27"/>
    <x v="6"/>
    <n v="158.00831094798798"/>
    <x v="0"/>
    <x v="1"/>
    <n v="189030.58980000002"/>
  </r>
  <r>
    <x v="27"/>
    <x v="7"/>
    <n v="696.89078936570729"/>
    <x v="0"/>
    <x v="1"/>
    <n v="842050.73082000006"/>
  </r>
  <r>
    <x v="27"/>
    <x v="8"/>
    <n v="1746.6974359606493"/>
    <x v="0"/>
    <x v="1"/>
    <n v="2131633.7562000002"/>
  </r>
  <r>
    <x v="27"/>
    <x v="9"/>
    <n v="377.34491286417955"/>
    <x v="0"/>
    <x v="1"/>
    <n v="465109.03881000006"/>
  </r>
  <r>
    <x v="27"/>
    <x v="10"/>
    <n v="1160.706926973578"/>
    <x v="0"/>
    <x v="1"/>
    <n v="1444974.6568400001"/>
  </r>
  <r>
    <x v="27"/>
    <x v="11"/>
    <n v="2230.9561715362715"/>
    <x v="0"/>
    <x v="1"/>
    <n v="2805111.0956699997"/>
  </r>
  <r>
    <x v="27"/>
    <x v="0"/>
    <n v="1341.7565409937888"/>
    <x v="1"/>
    <x v="1"/>
    <n v="1512159.6217"/>
  </r>
  <r>
    <x v="27"/>
    <x v="1"/>
    <n v="401.05810628409785"/>
    <x v="1"/>
    <x v="1"/>
    <n v="456512.41064000007"/>
  </r>
  <r>
    <x v="27"/>
    <x v="2"/>
    <n v="168.45499433002678"/>
    <x v="1"/>
    <x v="1"/>
    <n v="193664.73905999999"/>
  </r>
  <r>
    <x v="27"/>
    <x v="3"/>
    <n v="33.631699175217207"/>
    <x v="1"/>
    <x v="1"/>
    <n v="39051.421500000004"/>
  </r>
  <r>
    <x v="27"/>
    <x v="4"/>
    <n v="55.347765902667561"/>
    <x v="1"/>
    <x v="1"/>
    <n v="64909.685750000004"/>
  </r>
  <r>
    <x v="27"/>
    <x v="5"/>
    <n v="1095.718156240411"/>
    <x v="1"/>
    <x v="1"/>
    <n v="1297865.3651599998"/>
  </r>
  <r>
    <x v="27"/>
    <x v="6"/>
    <n v="97.123382394845436"/>
    <x v="1"/>
    <x v="1"/>
    <n v="116191.92780000002"/>
  </r>
  <r>
    <x v="27"/>
    <x v="7"/>
    <n v="416.1868013961419"/>
    <x v="1"/>
    <x v="1"/>
    <n v="502877.07287999999"/>
  </r>
  <r>
    <x v="27"/>
    <x v="8"/>
    <n v="716.85681361241836"/>
    <x v="1"/>
    <x v="1"/>
    <n v="874837.36496000004"/>
  </r>
  <r>
    <x v="27"/>
    <x v="9"/>
    <n v="80.286425602322268"/>
    <x v="1"/>
    <x v="1"/>
    <n v="98959.707600000009"/>
  </r>
  <r>
    <x v="27"/>
    <x v="10"/>
    <n v="338.50789790006621"/>
    <x v="1"/>
    <x v="1"/>
    <n v="421411.57448000007"/>
  </r>
  <r>
    <x v="27"/>
    <x v="11"/>
    <n v="1583.3677656590187"/>
    <x v="1"/>
    <x v="1"/>
    <n v="1990860.4860299998"/>
  </r>
  <r>
    <x v="27"/>
    <x v="0"/>
    <n v="929.14363966282156"/>
    <x v="2"/>
    <x v="1"/>
    <n v="1047144.8818999999"/>
  </r>
  <r>
    <x v="27"/>
    <x v="1"/>
    <n v="178.13971448777534"/>
    <x v="2"/>
    <x v="1"/>
    <n v="202771.09281000003"/>
  </r>
  <r>
    <x v="27"/>
    <x v="2"/>
    <n v="112.19353479533429"/>
    <x v="2"/>
    <x v="1"/>
    <n v="128983.60020000002"/>
  </r>
  <r>
    <x v="27"/>
    <x v="3"/>
    <n v="985.62578392863202"/>
    <x v="2"/>
    <x v="1"/>
    <n v="1144458.6171200003"/>
  </r>
  <r>
    <x v="27"/>
    <x v="4"/>
    <n v="37.300976687921221"/>
    <x v="2"/>
    <x v="1"/>
    <n v="43745.12025"/>
  </r>
  <r>
    <x v="27"/>
    <x v="5"/>
    <n v="640.08341882453749"/>
    <x v="2"/>
    <x v="1"/>
    <n v="758171.33756000001"/>
  </r>
  <r>
    <x v="27"/>
    <x v="6"/>
    <n v="65.077066043953394"/>
    <x v="2"/>
    <x v="1"/>
    <n v="77853.85530000001"/>
  </r>
  <r>
    <x v="27"/>
    <x v="7"/>
    <n v="107.23958533749555"/>
    <x v="2"/>
    <x v="1"/>
    <n v="129577.22010999999"/>
  </r>
  <r>
    <x v="27"/>
    <x v="8"/>
    <n v="654.59032848298659"/>
    <x v="2"/>
    <x v="1"/>
    <n v="798848.62252000009"/>
  </r>
  <r>
    <x v="27"/>
    <x v="9"/>
    <n v="53.594665249734945"/>
    <x v="2"/>
    <x v="1"/>
    <n v="66059.889479999998"/>
  </r>
  <r>
    <x v="27"/>
    <x v="10"/>
    <n v="226.66940740481343"/>
    <x v="2"/>
    <x v="1"/>
    <n v="282182.81598000001"/>
  </r>
  <r>
    <x v="27"/>
    <x v="11"/>
    <n v="174.26832332143911"/>
    <x v="2"/>
    <x v="1"/>
    <n v="219117.70997999999"/>
  </r>
  <r>
    <x v="27"/>
    <x v="0"/>
    <n v="3861.961265217391"/>
    <x v="3"/>
    <x v="1"/>
    <n v="4352430.3459000001"/>
  </r>
  <r>
    <x v="27"/>
    <x v="1"/>
    <n v="1178.6300404122046"/>
    <x v="3"/>
    <x v="1"/>
    <n v="1341599.2161000001"/>
  </r>
  <r>
    <x v="27"/>
    <x v="2"/>
    <n v="858.9613880261403"/>
    <x v="3"/>
    <x v="1"/>
    <n v="987507.27893999999"/>
  </r>
  <r>
    <x v="27"/>
    <x v="3"/>
    <n v="861.594241340351"/>
    <x v="3"/>
    <x v="1"/>
    <n v="1000439.4873200001"/>
  </r>
  <r>
    <x v="27"/>
    <x v="4"/>
    <n v="216.36165040379589"/>
    <x v="3"/>
    <x v="1"/>
    <n v="253740.44475"/>
  </r>
  <r>
    <x v="27"/>
    <x v="5"/>
    <n v="4879.2896420849584"/>
    <x v="3"/>
    <x v="1"/>
    <n v="5779461.6224799994"/>
  </r>
  <r>
    <x v="27"/>
    <x v="6"/>
    <n v="1899.7252973676152"/>
    <x v="3"/>
    <x v="1"/>
    <n v="2272704.4626000002"/>
  </r>
  <r>
    <x v="27"/>
    <x v="7"/>
    <n v="1889.843740222736"/>
    <x v="3"/>
    <x v="1"/>
    <n v="2283491.6559000001"/>
  </r>
  <r>
    <x v="27"/>
    <x v="8"/>
    <n v="1730.4563105382963"/>
    <x v="3"/>
    <x v="1"/>
    <n v="2111813.4195599998"/>
  </r>
  <r>
    <x v="27"/>
    <x v="9"/>
    <n v="288.28826386219367"/>
    <x v="3"/>
    <x v="1"/>
    <n v="355339.30028999998"/>
  </r>
  <r>
    <x v="27"/>
    <x v="10"/>
    <n v="1285.3462797387249"/>
    <x v="3"/>
    <x v="1"/>
    <n v="1600139.3257200005"/>
  </r>
  <r>
    <x v="27"/>
    <x v="11"/>
    <n v="5512.336066155025"/>
    <x v="3"/>
    <x v="1"/>
    <n v="6930981.1010699999"/>
  </r>
  <r>
    <x v="27"/>
    <x v="0"/>
    <n v="1606.4097381543922"/>
    <x v="4"/>
    <x v="1"/>
    <n v="1810423.7749000001"/>
  </r>
  <r>
    <x v="27"/>
    <x v="1"/>
    <n v="464.08683713881601"/>
    <x v="4"/>
    <x v="1"/>
    <n v="528256.12411000009"/>
  </r>
  <r>
    <x v="27"/>
    <x v="2"/>
    <n v="342.18371730871417"/>
    <x v="4"/>
    <x v="1"/>
    <n v="393392.43450000003"/>
  </r>
  <r>
    <x v="27"/>
    <x v="3"/>
    <n v="284.9251105603156"/>
    <x v="4"/>
    <x v="1"/>
    <n v="330840.57188"/>
  </r>
  <r>
    <x v="27"/>
    <x v="4"/>
    <n v="73.501125876432667"/>
    <x v="4"/>
    <x v="1"/>
    <n v="86199.233250000005"/>
  </r>
  <r>
    <x v="27"/>
    <x v="5"/>
    <n v="2018.4385846839225"/>
    <x v="4"/>
    <x v="1"/>
    <n v="2390816.9412400005"/>
  </r>
  <r>
    <x v="27"/>
    <x v="6"/>
    <n v="782.83835396783707"/>
    <x v="4"/>
    <x v="1"/>
    <n v="936535.52069999999"/>
  </r>
  <r>
    <x v="27"/>
    <x v="7"/>
    <n v="746.96795295555683"/>
    <x v="4"/>
    <x v="1"/>
    <n v="902558.79441000009"/>
  </r>
  <r>
    <x v="27"/>
    <x v="8"/>
    <n v="625.71384988690056"/>
    <x v="4"/>
    <x v="1"/>
    <n v="763608.35979999998"/>
  </r>
  <r>
    <x v="27"/>
    <x v="9"/>
    <n v="119.86315304002892"/>
    <x v="4"/>
    <x v="1"/>
    <n v="147741.321"/>
  </r>
  <r>
    <x v="27"/>
    <x v="10"/>
    <n v="488.96694044623598"/>
    <x v="4"/>
    <x v="1"/>
    <n v="608719.41103999992"/>
  </r>
  <r>
    <x v="27"/>
    <x v="11"/>
    <n v="2813.2886919560615"/>
    <x v="4"/>
    <x v="1"/>
    <n v="3537311.68089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">
  <r>
    <x v="0"/>
    <x v="0"/>
    <x v="0"/>
    <s v="Bins"/>
    <n v="99950"/>
    <n v="1.9248089237760793"/>
    <n v="9086.363636363636"/>
  </r>
  <r>
    <x v="0"/>
    <x v="0"/>
    <x v="1"/>
    <s v="Bins"/>
    <n v="99950"/>
    <n v="1.4455476264349985"/>
    <n v="9086.363636363636"/>
  </r>
  <r>
    <x v="0"/>
    <x v="0"/>
    <x v="2"/>
    <s v="Bins"/>
    <n v="99950"/>
    <n v="3.0977393617021276"/>
    <n v="9086.363636363636"/>
  </r>
  <r>
    <x v="0"/>
    <x v="0"/>
    <x v="3"/>
    <s v="Bins"/>
    <n v="99950"/>
    <n v="2.271574841540712"/>
    <n v="9086.363636363636"/>
  </r>
  <r>
    <x v="0"/>
    <x v="0"/>
    <x v="4"/>
    <s v="Bins"/>
    <n v="99950"/>
    <n v="3.5109269027882437"/>
    <n v="9086.363636363636"/>
  </r>
  <r>
    <x v="0"/>
    <x v="0"/>
    <x v="5"/>
    <s v="Bins"/>
    <n v="99950"/>
    <n v="1.8587672052663076"/>
    <n v="9086.363636363636"/>
  </r>
  <r>
    <x v="0"/>
    <x v="0"/>
    <x v="6"/>
    <s v="Bins"/>
    <n v="99950"/>
    <n v="0.24145213324177606"/>
    <n v="9086.363636363636"/>
  </r>
  <r>
    <x v="0"/>
    <x v="0"/>
    <x v="7"/>
    <s v="Bins"/>
    <n v="99950"/>
    <n v="0.16106616884463804"/>
    <n v="9086.363636363636"/>
  </r>
  <r>
    <x v="0"/>
    <x v="0"/>
    <x v="8"/>
    <s v="Bins"/>
    <n v="99950"/>
    <n v="6.8163862472567667"/>
    <n v="9086.363636363636"/>
  </r>
  <r>
    <x v="0"/>
    <x v="0"/>
    <x v="9"/>
    <s v="Bins"/>
    <n v="99950"/>
    <n v="1.239095744680851"/>
    <n v="9086.363636363636"/>
  </r>
  <r>
    <x v="0"/>
    <x v="0"/>
    <x v="10"/>
    <s v="Bins"/>
    <n v="99950"/>
    <n v="1.3401409463540919"/>
    <n v="9086.363636363636"/>
  </r>
  <r>
    <x v="0"/>
    <x v="1"/>
    <x v="0"/>
    <s v="Bins"/>
    <n v="522280"/>
    <n v="5.0398677959099354"/>
    <n v="47480"/>
  </r>
  <r>
    <x v="0"/>
    <x v="1"/>
    <x v="1"/>
    <s v="Bins"/>
    <n v="522280"/>
    <n v="3.7849829351535833"/>
    <n v="47480"/>
  </r>
  <r>
    <x v="0"/>
    <x v="1"/>
    <x v="2"/>
    <s v="Bins"/>
    <n v="522280"/>
    <n v="8.1110372340425538"/>
    <n v="47480"/>
  </r>
  <r>
    <x v="0"/>
    <x v="1"/>
    <x v="3"/>
    <s v="Bins"/>
    <n v="522280"/>
    <n v="5.9478303266699175"/>
    <n v="47480"/>
  </r>
  <r>
    <x v="0"/>
    <x v="1"/>
    <x v="4"/>
    <s v="Bins"/>
    <n v="522280"/>
    <n v="9.1929163526752067"/>
    <n v="47480"/>
  </r>
  <r>
    <x v="0"/>
    <x v="1"/>
    <x v="5"/>
    <s v="Bins"/>
    <n v="522280"/>
    <n v="4.8669459405545581"/>
    <n v="47480"/>
  </r>
  <r>
    <x v="0"/>
    <x v="1"/>
    <x v="6"/>
    <s v="Bins"/>
    <n v="522280"/>
    <n v="0.63221175647487138"/>
    <n v="47480"/>
  </r>
  <r>
    <x v="0"/>
    <x v="1"/>
    <x v="7"/>
    <s v="Bins"/>
    <n v="522280"/>
    <n v="0.42173131438843947"/>
    <n v="47480"/>
  </r>
  <r>
    <x v="0"/>
    <x v="1"/>
    <x v="8"/>
    <s v="Bins"/>
    <n v="522280"/>
    <n v="17.847841989758596"/>
    <n v="47480"/>
  </r>
  <r>
    <x v="0"/>
    <x v="1"/>
    <x v="9"/>
    <s v="Bins"/>
    <n v="522280"/>
    <n v="3.2444148936170216"/>
    <n v="47480"/>
  </r>
  <r>
    <x v="0"/>
    <x v="1"/>
    <x v="10"/>
    <s v="Bins"/>
    <n v="522280"/>
    <n v="3.5089889256436071"/>
    <n v="47480"/>
  </r>
  <r>
    <x v="0"/>
    <x v="2"/>
    <x v="0"/>
    <s v="Bins"/>
    <n v="209520"/>
    <n v="2.356744474282173"/>
    <n v="19047.272727272728"/>
  </r>
  <r>
    <x v="0"/>
    <x v="2"/>
    <x v="1"/>
    <s v="Bins"/>
    <n v="209520"/>
    <n v="1.769934843313683"/>
    <n v="19047.272727272728"/>
  </r>
  <r>
    <x v="0"/>
    <x v="2"/>
    <x v="2"/>
    <s v="Bins"/>
    <n v="209520"/>
    <n v="3.7928856382978724"/>
    <n v="19047.272727272728"/>
  </r>
  <r>
    <x v="0"/>
    <x v="2"/>
    <x v="3"/>
    <s v="Bins"/>
    <n v="209520"/>
    <n v="2.7813261823500728"/>
    <n v="19047.272727272728"/>
  </r>
  <r>
    <x v="0"/>
    <x v="2"/>
    <x v="4"/>
    <s v="Bins"/>
    <n v="209520"/>
    <n v="4.2987942727957797"/>
    <n v="19047.272727272728"/>
  </r>
  <r>
    <x v="0"/>
    <x v="2"/>
    <x v="5"/>
    <s v="Bins"/>
    <n v="209520"/>
    <n v="2.2758827049670853"/>
    <n v="19047.272727272728"/>
  </r>
  <r>
    <x v="0"/>
    <x v="2"/>
    <x v="6"/>
    <s v="Bins"/>
    <n v="209520"/>
    <n v="0.29563504916885841"/>
    <n v="19047.272727272728"/>
  </r>
  <r>
    <x v="0"/>
    <x v="2"/>
    <x v="7"/>
    <s v="Bins"/>
    <n v="209520"/>
    <n v="0.19721012238124869"/>
    <n v="19047.272727272728"/>
  </r>
  <r>
    <x v="0"/>
    <x v="2"/>
    <x v="8"/>
    <s v="Bins"/>
    <n v="209520"/>
    <n v="8.3460131675201179"/>
    <n v="19047.272727272728"/>
  </r>
  <r>
    <x v="0"/>
    <x v="2"/>
    <x v="9"/>
    <s v="Bins"/>
    <n v="209520"/>
    <n v="1.517154255319149"/>
    <n v="19047.272727272728"/>
  </r>
  <r>
    <x v="0"/>
    <x v="2"/>
    <x v="10"/>
    <s v="Bins"/>
    <n v="209520"/>
    <n v="1.6408744426866102"/>
    <n v="19047.272727272728"/>
  </r>
  <r>
    <x v="1"/>
    <x v="1"/>
    <x v="11"/>
    <s v="Bins"/>
    <n v="366060"/>
    <n v="19.109095249462879"/>
    <n v="30505"/>
  </r>
  <r>
    <x v="1"/>
    <x v="1"/>
    <x v="0"/>
    <s v="Bins"/>
    <n v="366060"/>
    <n v="14.751693584649747"/>
    <n v="30505"/>
  </r>
  <r>
    <x v="1"/>
    <x v="1"/>
    <x v="1"/>
    <s v="Bins"/>
    <n v="366060"/>
    <n v="12.047220867722572"/>
    <n v="30505"/>
  </r>
  <r>
    <x v="1"/>
    <x v="1"/>
    <x v="2"/>
    <s v="Bins"/>
    <n v="366060"/>
    <n v="23.971462316698329"/>
    <n v="30505"/>
  </r>
  <r>
    <x v="1"/>
    <x v="1"/>
    <x v="3"/>
    <s v="Bins"/>
    <n v="366060"/>
    <n v="18.439650962433312"/>
    <n v="30505"/>
  </r>
  <r>
    <x v="1"/>
    <x v="1"/>
    <x v="4"/>
    <s v="Bins"/>
    <n v="366060"/>
    <n v="28.15470738772656"/>
    <n v="30505"/>
  </r>
  <r>
    <x v="1"/>
    <x v="1"/>
    <x v="5"/>
    <s v="Bins"/>
    <n v="366060"/>
    <n v="14.751693584649747"/>
    <n v="30505"/>
  </r>
  <r>
    <x v="1"/>
    <x v="1"/>
    <x v="6"/>
    <s v="Bins"/>
    <n v="366060"/>
    <n v="1.8439650962433309"/>
    <n v="30505"/>
  </r>
  <r>
    <x v="1"/>
    <x v="1"/>
    <x v="7"/>
    <s v="Bins"/>
    <n v="366060"/>
    <n v="1.2293062884311785"/>
    <n v="30505"/>
  </r>
  <r>
    <x v="1"/>
    <x v="1"/>
    <x v="8"/>
    <s v="Bins"/>
    <n v="366060"/>
    <n v="55.318748997948909"/>
    <n v="30505"/>
  </r>
  <r>
    <x v="1"/>
    <x v="1"/>
    <x v="9"/>
    <s v="Bins"/>
    <n v="366060"/>
    <n v="11.432554100683255"/>
    <n v="30505"/>
  </r>
  <r>
    <x v="1"/>
    <x v="1"/>
    <x v="10"/>
    <s v="Bins"/>
    <n v="366060"/>
    <n v="10.817882047678252"/>
    <n v="30505"/>
  </r>
  <r>
    <x v="1"/>
    <x v="2"/>
    <x v="11"/>
    <s v="Bins"/>
    <n v="347400"/>
    <n v="21.938667232597624"/>
    <n v="28950"/>
  </r>
  <r>
    <x v="1"/>
    <x v="2"/>
    <x v="0"/>
    <s v="Bins"/>
    <n v="347400"/>
    <n v="18.28850279008396"/>
    <n v="28950"/>
  </r>
  <r>
    <x v="1"/>
    <x v="2"/>
    <x v="1"/>
    <s v="Bins"/>
    <n v="347400"/>
    <n v="14.935616116739808"/>
    <n v="28950"/>
  </r>
  <r>
    <x v="1"/>
    <x v="2"/>
    <x v="2"/>
    <s v="Bins"/>
    <n v="347400"/>
    <n v="29.718767743218343"/>
    <n v="28950"/>
  </r>
  <r>
    <x v="1"/>
    <x v="2"/>
    <x v="3"/>
    <s v="Bins"/>
    <n v="347400"/>
    <n v="22.860670616528605"/>
    <n v="28950"/>
  </r>
  <r>
    <x v="1"/>
    <x v="2"/>
    <x v="4"/>
    <s v="Bins"/>
    <n v="347400"/>
    <n v="34.904971531555866"/>
    <n v="28950"/>
  </r>
  <r>
    <x v="1"/>
    <x v="2"/>
    <x v="5"/>
    <s v="Bins"/>
    <n v="347400"/>
    <n v="18.28850279008396"/>
    <n v="28950"/>
  </r>
  <r>
    <x v="1"/>
    <x v="2"/>
    <x v="6"/>
    <s v="Bins"/>
    <n v="347400"/>
    <n v="2.2860670616528607"/>
    <n v="28950"/>
  </r>
  <r>
    <x v="1"/>
    <x v="2"/>
    <x v="7"/>
    <s v="Bins"/>
    <n v="347400"/>
    <n v="1.5240400267828074"/>
    <n v="28950"/>
  </r>
  <r>
    <x v="1"/>
    <x v="2"/>
    <x v="8"/>
    <s v="Bins"/>
    <n v="347400"/>
    <n v="68.581759076509712"/>
    <n v="28950"/>
  </r>
  <r>
    <x v="1"/>
    <x v="2"/>
    <x v="9"/>
    <s v="Bins"/>
    <n v="347400"/>
    <n v="14.173579214368958"/>
    <n v="28950"/>
  </r>
  <r>
    <x v="1"/>
    <x v="2"/>
    <x v="10"/>
    <s v="Bins"/>
    <n v="347400"/>
    <n v="13.411535758689659"/>
    <n v="28950"/>
  </r>
  <r>
    <x v="1"/>
    <x v="3"/>
    <x v="11"/>
    <s v="Carro"/>
    <n v="86700"/>
    <n v="7.8500835521604202"/>
    <n v="7225"/>
  </r>
  <r>
    <x v="1"/>
    <x v="3"/>
    <x v="0"/>
    <s v="Carro"/>
    <n v="86700"/>
    <n v="6.0600476193986399"/>
    <n v="7225"/>
  </r>
  <r>
    <x v="1"/>
    <x v="3"/>
    <x v="1"/>
    <s v="Carro"/>
    <n v="86700"/>
    <n v="4.9490407132494143"/>
    <n v="7225"/>
  </r>
  <r>
    <x v="1"/>
    <x v="3"/>
    <x v="2"/>
    <s v="Carro"/>
    <n v="86700"/>
    <n v="9.8475610486496592"/>
    <n v="7225"/>
  </r>
  <r>
    <x v="1"/>
    <x v="3"/>
    <x v="3"/>
    <s v="Carro"/>
    <n v="86700"/>
    <n v="7.5750734840178016"/>
    <n v="7225"/>
  </r>
  <r>
    <x v="1"/>
    <x v="3"/>
    <x v="4"/>
    <s v="Carro"/>
    <n v="86700"/>
    <n v="11.566052840020991"/>
    <n v="7225"/>
  </r>
  <r>
    <x v="1"/>
    <x v="3"/>
    <x v="5"/>
    <s v="Carro"/>
    <n v="86700"/>
    <n v="6.0600476193986399"/>
    <n v="7225"/>
  </r>
  <r>
    <x v="1"/>
    <x v="3"/>
    <x v="6"/>
    <s v="Carro"/>
    <n v="86700"/>
    <n v="0.75750734840178013"/>
    <n v="7225"/>
  </r>
  <r>
    <x v="1"/>
    <x v="3"/>
    <x v="7"/>
    <s v="Carro"/>
    <n v="86700"/>
    <n v="0.50500334785092538"/>
    <n v="7225"/>
  </r>
  <r>
    <x v="1"/>
    <x v="3"/>
    <x v="8"/>
    <s v="Carro"/>
    <n v="86700"/>
    <n v="22.725136693590745"/>
    <n v="7225"/>
  </r>
  <r>
    <x v="1"/>
    <x v="3"/>
    <x v="9"/>
    <s v="Carro"/>
    <n v="86700"/>
    <n v="4.6965334430200407"/>
    <n v="7225"/>
  </r>
  <r>
    <x v="1"/>
    <x v="3"/>
    <x v="10"/>
    <s v="Carro"/>
    <n v="86700"/>
    <n v="4.4440240012973673"/>
    <n v="7225"/>
  </r>
  <r>
    <x v="1"/>
    <x v="4"/>
    <x v="11"/>
    <s v="Carro"/>
    <n v="555850"/>
    <n v="13.824694672735014"/>
    <n v="46320.833333333336"/>
  </r>
  <r>
    <x v="1"/>
    <x v="4"/>
    <x v="0"/>
    <s v="Carro"/>
    <n v="555850"/>
    <n v="15.561813075431782"/>
    <n v="46320.833333333336"/>
  </r>
  <r>
    <x v="1"/>
    <x v="4"/>
    <x v="1"/>
    <s v="Carro"/>
    <n v="555850"/>
    <n v="12.708818695707139"/>
    <n v="46320.833333333336"/>
  </r>
  <r>
    <x v="1"/>
    <x v="4"/>
    <x v="2"/>
    <s v="Carro"/>
    <n v="555850"/>
    <n v="25.287904305807437"/>
    <n v="46320.833333333336"/>
  </r>
  <r>
    <x v="1"/>
    <x v="4"/>
    <x v="3"/>
    <s v="Carro"/>
    <n v="555850"/>
    <n v="19.452302192081234"/>
    <n v="46320.833333333336"/>
  </r>
  <r>
    <x v="1"/>
    <x v="4"/>
    <x v="4"/>
    <s v="Carro"/>
    <n v="555850"/>
    <n v="29.700880854602012"/>
    <n v="46320.833333333336"/>
  </r>
  <r>
    <x v="1"/>
    <x v="4"/>
    <x v="5"/>
    <s v="Carro"/>
    <n v="555850"/>
    <n v="15.561813075431782"/>
    <n v="46320.833333333336"/>
  </r>
  <r>
    <x v="1"/>
    <x v="4"/>
    <x v="6"/>
    <s v="Carro"/>
    <n v="555850"/>
    <n v="1.9452302192081232"/>
    <n v="46320.833333333336"/>
  </r>
  <r>
    <x v="1"/>
    <x v="4"/>
    <x v="7"/>
    <s v="Carro"/>
    <n v="555850"/>
    <n v="1.2968161630556971"/>
    <n v="46320.833333333336"/>
  </r>
  <r>
    <x v="1"/>
    <x v="4"/>
    <x v="8"/>
    <s v="Carro"/>
    <n v="555850"/>
    <n v="58.356691489891034"/>
    <n v="46320.833333333336"/>
  </r>
  <r>
    <x v="1"/>
    <x v="4"/>
    <x v="9"/>
    <s v="Carro"/>
    <n v="555850"/>
    <n v="12.060396243230272"/>
    <n v="46320.833333333336"/>
  </r>
  <r>
    <x v="1"/>
    <x v="4"/>
    <x v="10"/>
    <s v="Carro"/>
    <n v="555850"/>
    <n v="11.41196821449808"/>
    <n v="46320.833333333336"/>
  </r>
  <r>
    <x v="1"/>
    <x v="4"/>
    <x v="11"/>
    <s v="Bins"/>
    <n v="98040"/>
    <n v="3.4916996823941586"/>
    <n v="8170"/>
  </r>
  <r>
    <x v="1"/>
    <x v="4"/>
    <x v="0"/>
    <s v="Bins"/>
    <n v="98040"/>
    <n v="3.9304432437213901"/>
    <n v="8170"/>
  </r>
  <r>
    <x v="1"/>
    <x v="4"/>
    <x v="1"/>
    <s v="Bins"/>
    <n v="98040"/>
    <n v="3.2098631654355767"/>
    <n v="8170"/>
  </r>
  <r>
    <x v="1"/>
    <x v="4"/>
    <x v="2"/>
    <s v="Bins"/>
    <n v="98040"/>
    <n v="6.3869596778250797"/>
    <n v="8170"/>
  </r>
  <r>
    <x v="1"/>
    <x v="4"/>
    <x v="3"/>
    <s v="Bins"/>
    <n v="98040"/>
    <n v="4.9130631087194896"/>
    <n v="8170"/>
  </r>
  <r>
    <x v="1"/>
    <x v="4"/>
    <x v="4"/>
    <s v="Bins"/>
    <n v="98040"/>
    <n v="7.501544063130023"/>
    <n v="8170"/>
  </r>
  <r>
    <x v="1"/>
    <x v="4"/>
    <x v="5"/>
    <s v="Bins"/>
    <n v="98040"/>
    <n v="3.9304432437213901"/>
    <n v="8170"/>
  </r>
  <r>
    <x v="1"/>
    <x v="4"/>
    <x v="6"/>
    <s v="Bins"/>
    <n v="98040"/>
    <n v="0.49130631087194887"/>
    <n v="8170"/>
  </r>
  <r>
    <x v="1"/>
    <x v="4"/>
    <x v="7"/>
    <s v="Bins"/>
    <n v="98040"/>
    <n v="0.3275365345750072"/>
    <n v="8170"/>
  </r>
  <r>
    <x v="1"/>
    <x v="4"/>
    <x v="8"/>
    <s v="Bins"/>
    <n v="98040"/>
    <n v="14.739135001852068"/>
    <n v="8170"/>
  </r>
  <r>
    <x v="1"/>
    <x v="4"/>
    <x v="9"/>
    <s v="Bins"/>
    <n v="98040"/>
    <n v="3.0460912684810677"/>
    <n v="8170"/>
  </r>
  <r>
    <x v="1"/>
    <x v="4"/>
    <x v="10"/>
    <s v="Bins"/>
    <n v="98040"/>
    <n v="2.8823179631331421"/>
    <n v="8170"/>
  </r>
  <r>
    <x v="1"/>
    <x v="5"/>
    <x v="11"/>
    <s v="Bins"/>
    <n v="44850"/>
    <n v="2.6836056448708296"/>
    <n v="3737.5"/>
  </r>
  <r>
    <x v="1"/>
    <x v="5"/>
    <x v="0"/>
    <s v="Bins"/>
    <n v="44850"/>
    <n v="3.0208095297768671"/>
    <n v="3737.5"/>
  </r>
  <r>
    <x v="1"/>
    <x v="5"/>
    <x v="1"/>
    <s v="Bins"/>
    <n v="44850"/>
    <n v="2.4669953585812068"/>
    <n v="3737.5"/>
  </r>
  <r>
    <x v="1"/>
    <x v="5"/>
    <x v="2"/>
    <s v="Bins"/>
    <n v="44850"/>
    <n v="4.9088073442849165"/>
    <n v="3737.5"/>
  </r>
  <r>
    <x v="1"/>
    <x v="5"/>
    <x v="3"/>
    <s v="Bins"/>
    <n v="44850"/>
    <n v="3.7760188708800575"/>
    <n v="3737.5"/>
  </r>
  <r>
    <x v="1"/>
    <x v="5"/>
    <x v="4"/>
    <s v="Bins"/>
    <n v="44850"/>
    <n v="5.765440279577426"/>
    <n v="3737.5"/>
  </r>
  <r>
    <x v="1"/>
    <x v="5"/>
    <x v="5"/>
    <s v="Bins"/>
    <n v="44850"/>
    <n v="3.0208095297768671"/>
    <n v="3737.5"/>
  </r>
  <r>
    <x v="1"/>
    <x v="5"/>
    <x v="6"/>
    <s v="Bins"/>
    <n v="44850"/>
    <n v="0.37760188708800574"/>
    <n v="3737.5"/>
  </r>
  <r>
    <x v="1"/>
    <x v="5"/>
    <x v="7"/>
    <s v="Bins"/>
    <n v="44850"/>
    <n v="0.25173381820862334"/>
    <n v="3737.5"/>
  </r>
  <r>
    <x v="1"/>
    <x v="5"/>
    <x v="8"/>
    <s v="Bins"/>
    <n v="44850"/>
    <n v="11.328014860763274"/>
    <n v="3737.5"/>
  </r>
  <r>
    <x v="1"/>
    <x v="5"/>
    <x v="9"/>
    <s v="Bins"/>
    <n v="44850"/>
    <n v="2.3411256598340988"/>
    <n v="3737.5"/>
  </r>
  <r>
    <x v="1"/>
    <x v="5"/>
    <x v="10"/>
    <s v="Bins"/>
    <n v="44850"/>
    <n v="2.2152548786420887"/>
    <n v="3737.5"/>
  </r>
  <r>
    <x v="1"/>
    <x v="2"/>
    <x v="11"/>
    <s v="Carro"/>
    <n v="369480"/>
    <n v="18.061155913978492"/>
    <n v="30790"/>
  </r>
  <r>
    <x v="1"/>
    <x v="2"/>
    <x v="0"/>
    <s v="Carro"/>
    <n v="369480"/>
    <n v="15.056133393287581"/>
    <n v="30790"/>
  </r>
  <r>
    <x v="1"/>
    <x v="2"/>
    <x v="1"/>
    <s v="Carro"/>
    <n v="369480"/>
    <n v="12.295846803079831"/>
    <n v="30790"/>
  </r>
  <r>
    <x v="1"/>
    <x v="2"/>
    <x v="2"/>
    <s v="Carro"/>
    <n v="369480"/>
    <n v="24.466176185217037"/>
    <n v="30790"/>
  </r>
  <r>
    <x v="1"/>
    <x v="2"/>
    <x v="3"/>
    <s v="Carro"/>
    <n v="369480"/>
    <n v="18.8202014245303"/>
    <n v="30790"/>
  </r>
  <r>
    <x v="1"/>
    <x v="2"/>
    <x v="4"/>
    <s v="Carro"/>
    <n v="369480"/>
    <n v="28.73575346763517"/>
    <n v="30790"/>
  </r>
  <r>
    <x v="1"/>
    <x v="2"/>
    <x v="5"/>
    <s v="Carro"/>
    <n v="369480"/>
    <n v="15.056133393287581"/>
    <n v="30790"/>
  </r>
  <r>
    <x v="1"/>
    <x v="2"/>
    <x v="6"/>
    <s v="Carro"/>
    <n v="369480"/>
    <n v="1.8820201424530301"/>
    <n v="30790"/>
  </r>
  <r>
    <x v="1"/>
    <x v="2"/>
    <x v="7"/>
    <s v="Carro"/>
    <n v="369480"/>
    <n v="1.2546762413155519"/>
    <n v="30790"/>
  </r>
  <r>
    <x v="1"/>
    <x v="2"/>
    <x v="8"/>
    <s v="Carro"/>
    <n v="369480"/>
    <n v="56.460396176449464"/>
    <n v="30790"/>
  </r>
  <r>
    <x v="1"/>
    <x v="2"/>
    <x v="9"/>
    <s v="Carro"/>
    <n v="369480"/>
    <n v="11.668494778455702"/>
    <n v="30790"/>
  </r>
  <r>
    <x v="1"/>
    <x v="2"/>
    <x v="10"/>
    <s v="Carro"/>
    <n v="369480"/>
    <n v="11.041137358776149"/>
    <n v="30790"/>
  </r>
  <r>
    <x v="1"/>
    <x v="1"/>
    <x v="11"/>
    <s v="Carro"/>
    <n v="255743"/>
    <n v="13.040821198376701"/>
    <n v="21311.916666666668"/>
  </r>
  <r>
    <x v="1"/>
    <x v="1"/>
    <x v="0"/>
    <s v="Carro"/>
    <n v="255743"/>
    <n v="10.067153672074836"/>
    <n v="21311.916666666668"/>
  </r>
  <r>
    <x v="1"/>
    <x v="1"/>
    <x v="1"/>
    <s v="Carro"/>
    <n v="255743"/>
    <n v="8.2215118624069152"/>
    <n v="21311.916666666668"/>
  </r>
  <r>
    <x v="1"/>
    <x v="1"/>
    <x v="2"/>
    <s v="Carro"/>
    <n v="255743"/>
    <n v="16.359097584406811"/>
    <n v="21311.916666666668"/>
  </r>
  <r>
    <x v="1"/>
    <x v="1"/>
    <x v="3"/>
    <s v="Carro"/>
    <n v="255743"/>
    <n v="12.58396528052927"/>
    <n v="21311.916666666668"/>
  </r>
  <r>
    <x v="1"/>
    <x v="1"/>
    <x v="4"/>
    <s v="Carro"/>
    <n v="255743"/>
    <n v="19.213913591554149"/>
    <n v="21311.916666666668"/>
  </r>
  <r>
    <x v="1"/>
    <x v="1"/>
    <x v="5"/>
    <s v="Carro"/>
    <n v="255743"/>
    <n v="10.067153672074836"/>
    <n v="21311.916666666668"/>
  </r>
  <r>
    <x v="1"/>
    <x v="1"/>
    <x v="6"/>
    <s v="Carro"/>
    <n v="255743"/>
    <n v="1.2583965280529268"/>
    <n v="21311.916666666668"/>
  </r>
  <r>
    <x v="1"/>
    <x v="1"/>
    <x v="7"/>
    <s v="Carro"/>
    <n v="255743"/>
    <n v="0.83892844199003613"/>
    <n v="21311.916666666668"/>
  </r>
  <r>
    <x v="1"/>
    <x v="1"/>
    <x v="8"/>
    <s v="Carro"/>
    <n v="255743"/>
    <n v="37.751756699229873"/>
    <n v="21311.916666666668"/>
  </r>
  <r>
    <x v="1"/>
    <x v="1"/>
    <x v="9"/>
    <s v="Carro"/>
    <n v="255743"/>
    <n v="7.8020383446447745"/>
    <n v="21311.916666666668"/>
  </r>
  <r>
    <x v="1"/>
    <x v="1"/>
    <x v="10"/>
    <s v="Carro"/>
    <n v="255743"/>
    <n v="7.38256121952538"/>
    <n v="21311.916666666668"/>
  </r>
  <r>
    <x v="2"/>
    <x v="1"/>
    <x v="0"/>
    <s v="Bins"/>
    <n v="324000"/>
    <n v="3.595443178660739"/>
    <n v="32400"/>
  </r>
  <r>
    <x v="2"/>
    <x v="1"/>
    <x v="1"/>
    <s v="Bins"/>
    <n v="324000"/>
    <n v="5.1947009233239658"/>
    <n v="32400"/>
  </r>
  <r>
    <x v="2"/>
    <x v="1"/>
    <x v="2"/>
    <s v="Bins"/>
    <n v="324000"/>
    <n v="10.589198036006547"/>
    <n v="32400"/>
  </r>
  <r>
    <x v="2"/>
    <x v="1"/>
    <x v="3"/>
    <s v="Bins"/>
    <n v="324000"/>
    <n v="6.9908157752566176"/>
    <n v="32400"/>
  </r>
  <r>
    <x v="2"/>
    <x v="1"/>
    <x v="4"/>
    <s v="Bins"/>
    <n v="324000"/>
    <n v="8.7907608695652186"/>
    <n v="32400"/>
  </r>
  <r>
    <x v="2"/>
    <x v="1"/>
    <x v="5"/>
    <s v="Bins"/>
    <n v="324000"/>
    <n v="3.595443178660739"/>
    <n v="32400"/>
  </r>
  <r>
    <x v="2"/>
    <x v="1"/>
    <x v="6"/>
    <s v="Bins"/>
    <n v="324000"/>
    <n v="1.1984810595535798"/>
    <n v="32400"/>
  </r>
  <r>
    <x v="2"/>
    <x v="1"/>
    <x v="8"/>
    <s v="Bins"/>
    <n v="324000"/>
    <n v="19.576399394856278"/>
    <n v="32400"/>
  </r>
  <r>
    <x v="2"/>
    <x v="1"/>
    <x v="9"/>
    <s v="Bins"/>
    <n v="324000"/>
    <n v="1.7977215893303695"/>
    <n v="32400"/>
  </r>
  <r>
    <x v="2"/>
    <x v="1"/>
    <x v="10"/>
    <s v="Bins"/>
    <n v="324000"/>
    <n v="1.5979254136823906"/>
    <n v="32400"/>
  </r>
  <r>
    <x v="2"/>
    <x v="1"/>
    <x v="0"/>
    <s v="Carro"/>
    <n v="473000"/>
    <n v="4.9435954431786611"/>
    <n v="47300"/>
  </r>
  <r>
    <x v="2"/>
    <x v="1"/>
    <x v="1"/>
    <s v="Carro"/>
    <n v="473000"/>
    <n v="7.1425130469690874"/>
    <n v="47300"/>
  </r>
  <r>
    <x v="2"/>
    <x v="1"/>
    <x v="2"/>
    <s v="Carro"/>
    <n v="473000"/>
    <n v="14.559738134206219"/>
    <n v="47300"/>
  </r>
  <r>
    <x v="2"/>
    <x v="1"/>
    <x v="3"/>
    <s v="Carro"/>
    <n v="473000"/>
    <n v="9.6121015667206926"/>
    <n v="47300"/>
  </r>
  <r>
    <x v="2"/>
    <x v="1"/>
    <x v="4"/>
    <s v="Carro"/>
    <n v="473000"/>
    <n v="12.086956521739131"/>
    <n v="47300"/>
  </r>
  <r>
    <x v="2"/>
    <x v="1"/>
    <x v="5"/>
    <s v="Carro"/>
    <n v="473000"/>
    <n v="4.9435954431786611"/>
    <n v="47300"/>
  </r>
  <r>
    <x v="2"/>
    <x v="1"/>
    <x v="6"/>
    <s v="Carro"/>
    <n v="473000"/>
    <n v="1.6478651477262203"/>
    <n v="47300"/>
  </r>
  <r>
    <x v="2"/>
    <x v="1"/>
    <x v="8"/>
    <s v="Carro"/>
    <n v="473000"/>
    <n v="26.91679273827534"/>
    <n v="47300"/>
  </r>
  <r>
    <x v="2"/>
    <x v="1"/>
    <x v="9"/>
    <s v="Carro"/>
    <n v="473000"/>
    <n v="2.4717977215893305"/>
    <n v="47300"/>
  </r>
  <r>
    <x v="2"/>
    <x v="1"/>
    <x v="10"/>
    <s v="Carro"/>
    <n v="473000"/>
    <n v="2.1970857001728823"/>
    <n v="47300"/>
  </r>
  <r>
    <x v="2"/>
    <x v="4"/>
    <x v="0"/>
    <s v="Carro"/>
    <n v="355000"/>
    <n v="4.3870519588774659"/>
    <n v="35500"/>
  </r>
  <r>
    <x v="2"/>
    <x v="4"/>
    <x v="1"/>
    <s v="Carro"/>
    <n v="355000"/>
    <n v="6.3384183059012447"/>
    <n v="35500"/>
  </r>
  <r>
    <x v="2"/>
    <x v="4"/>
    <x v="2"/>
    <s v="Carro"/>
    <n v="355000"/>
    <n v="12.92062193126023"/>
    <n v="35500"/>
  </r>
  <r>
    <x v="2"/>
    <x v="4"/>
    <x v="3"/>
    <s v="Carro"/>
    <n v="355000"/>
    <n v="8.5299837925445701"/>
    <n v="35500"/>
  </r>
  <r>
    <x v="2"/>
    <x v="4"/>
    <x v="4"/>
    <s v="Carro"/>
    <n v="355000"/>
    <n v="10.726222826086957"/>
    <n v="35500"/>
  </r>
  <r>
    <x v="2"/>
    <x v="4"/>
    <x v="5"/>
    <s v="Carro"/>
    <n v="355000"/>
    <n v="4.3870519588774659"/>
    <n v="35500"/>
  </r>
  <r>
    <x v="2"/>
    <x v="4"/>
    <x v="6"/>
    <s v="Carro"/>
    <n v="355000"/>
    <n v="1.4623506529591555"/>
    <n v="35500"/>
  </r>
  <r>
    <x v="2"/>
    <x v="4"/>
    <x v="8"/>
    <s v="Carro"/>
    <n v="355000"/>
    <n v="23.886535552193646"/>
    <n v="35500"/>
  </r>
  <r>
    <x v="2"/>
    <x v="4"/>
    <x v="9"/>
    <s v="Carro"/>
    <n v="355000"/>
    <n v="2.193525979438733"/>
    <n v="35500"/>
  </r>
  <r>
    <x v="2"/>
    <x v="4"/>
    <x v="10"/>
    <s v="Carro"/>
    <n v="355000"/>
    <n v="1.9497406767102987"/>
    <n v="35500"/>
  </r>
  <r>
    <x v="2"/>
    <x v="2"/>
    <x v="0"/>
    <s v="Carro"/>
    <n v="470500"/>
    <n v="5.0747429841622669"/>
    <n v="47050"/>
  </r>
  <r>
    <x v="2"/>
    <x v="2"/>
    <x v="1"/>
    <s v="Carro"/>
    <n v="470500"/>
    <n v="7.3319951826575673"/>
    <n v="47050"/>
  </r>
  <r>
    <x v="2"/>
    <x v="2"/>
    <x v="2"/>
    <s v="Carro"/>
    <n v="470500"/>
    <n v="14.945990180032734"/>
    <n v="47050"/>
  </r>
  <r>
    <x v="2"/>
    <x v="2"/>
    <x v="3"/>
    <s v="Carro"/>
    <n v="470500"/>
    <n v="9.8670988654781198"/>
    <n v="47050"/>
  </r>
  <r>
    <x v="2"/>
    <x v="2"/>
    <x v="4"/>
    <s v="Carro"/>
    <n v="470500"/>
    <n v="12.407608695652172"/>
    <n v="47050"/>
  </r>
  <r>
    <x v="2"/>
    <x v="2"/>
    <x v="5"/>
    <s v="Carro"/>
    <n v="470500"/>
    <n v="5.0747429841622669"/>
    <n v="47050"/>
  </r>
  <r>
    <x v="2"/>
    <x v="2"/>
    <x v="6"/>
    <s v="Carro"/>
    <n v="470500"/>
    <n v="1.6915809947207558"/>
    <n v="47050"/>
  </r>
  <r>
    <x v="2"/>
    <x v="2"/>
    <x v="8"/>
    <s v="Carro"/>
    <n v="470500"/>
    <n v="27.630862329803328"/>
    <n v="47050"/>
  </r>
  <r>
    <x v="2"/>
    <x v="2"/>
    <x v="9"/>
    <s v="Carro"/>
    <n v="470500"/>
    <n v="2.5373714920811334"/>
    <n v="47050"/>
  </r>
  <r>
    <x v="2"/>
    <x v="2"/>
    <x v="10"/>
    <s v="Carro"/>
    <n v="470500"/>
    <n v="2.2553716967152382"/>
    <n v="47050"/>
  </r>
  <r>
    <x v="3"/>
    <x v="1"/>
    <x v="11"/>
    <s v="DOV"/>
    <n v="1194400"/>
    <n v="15.188009716776197"/>
    <n v="1194400"/>
  </r>
  <r>
    <x v="3"/>
    <x v="1"/>
    <x v="11"/>
    <s v="Convencional"/>
    <n v="320360"/>
    <n v="28.000007129823995"/>
    <n v="29123.636363636364"/>
  </r>
  <r>
    <x v="3"/>
    <x v="1"/>
    <x v="0"/>
    <s v="Convencional"/>
    <n v="320360"/>
    <n v="12.023133535745517"/>
    <n v="29123.636363636364"/>
  </r>
  <r>
    <x v="3"/>
    <x v="1"/>
    <x v="1"/>
    <s v="Convencional"/>
    <n v="320360"/>
    <n v="20.118945193521444"/>
    <n v="29123.636363636364"/>
  </r>
  <r>
    <x v="3"/>
    <x v="1"/>
    <x v="2"/>
    <s v="Convencional"/>
    <n v="320360"/>
    <n v="40.423974763406939"/>
    <n v="29123.636363636364"/>
  </r>
  <r>
    <x v="3"/>
    <x v="1"/>
    <x v="3"/>
    <s v="Convencional"/>
    <n v="320360"/>
    <n v="24.254996971532403"/>
    <n v="29123.636363636364"/>
  </r>
  <r>
    <x v="3"/>
    <x v="1"/>
    <x v="4"/>
    <s v="Convencional"/>
    <n v="320360"/>
    <n v="30.265184079507989"/>
    <n v="29123.636363636364"/>
  </r>
  <r>
    <x v="3"/>
    <x v="1"/>
    <x v="5"/>
    <s v="Convencional"/>
    <n v="320360"/>
    <n v="12.023133535745517"/>
    <n v="29123.636363636364"/>
  </r>
  <r>
    <x v="3"/>
    <x v="1"/>
    <x v="6"/>
    <s v="Convencional"/>
    <n v="320360"/>
    <n v="4.5604924352426019"/>
    <n v="29123.636363636364"/>
  </r>
  <r>
    <x v="3"/>
    <x v="1"/>
    <x v="8"/>
    <s v="Convencional"/>
    <n v="320360"/>
    <n v="80.242259687757524"/>
    <n v="29123.636363636364"/>
  </r>
  <r>
    <x v="3"/>
    <x v="1"/>
    <x v="9"/>
    <s v="Convencional"/>
    <n v="320360"/>
    <n v="6.6335362570919782"/>
    <n v="29123.636363636364"/>
  </r>
  <r>
    <x v="3"/>
    <x v="1"/>
    <x v="10"/>
    <s v="Convencional"/>
    <n v="320360"/>
    <n v="6.2188557352036229"/>
    <n v="29123.636363636364"/>
  </r>
  <r>
    <x v="4"/>
    <x v="4"/>
    <x v="11"/>
    <s v="DOV"/>
    <n v="747950"/>
    <n v="11.034487268626915"/>
    <n v="747950"/>
  </r>
  <r>
    <x v="4"/>
    <x v="1"/>
    <x v="11"/>
    <s v="DOV"/>
    <n v="886400"/>
    <n v="11.259166114506336"/>
    <n v="886400"/>
  </r>
  <r>
    <x v="4"/>
    <x v="0"/>
    <x v="11"/>
    <s v="DOV"/>
    <n v="1246500"/>
    <n v="22.518332229012671"/>
    <n v="1246500"/>
  </r>
  <r>
    <x v="5"/>
    <x v="4"/>
    <x v="11"/>
    <s v="Convencional"/>
    <n v="776810"/>
    <n v="25.364396264611766"/>
    <n v="70619.090909090912"/>
  </r>
  <r>
    <x v="5"/>
    <x v="4"/>
    <x v="0"/>
    <s v="Convencional"/>
    <n v="776810"/>
    <n v="29.153734429711808"/>
    <n v="70619.090909090912"/>
  </r>
  <r>
    <x v="5"/>
    <x v="4"/>
    <x v="1"/>
    <s v="Convencional"/>
    <n v="776810"/>
    <n v="48.784485627979123"/>
    <n v="70619.090909090912"/>
  </r>
  <r>
    <x v="5"/>
    <x v="4"/>
    <x v="2"/>
    <s v="Convencional"/>
    <n v="776810"/>
    <n v="98.020189274447958"/>
    <n v="70619.090909090912"/>
  </r>
  <r>
    <x v="5"/>
    <x v="4"/>
    <x v="3"/>
    <s v="Convencional"/>
    <n v="776810"/>
    <n v="58.81359781950335"/>
    <n v="70619.090909090912"/>
  </r>
  <r>
    <x v="5"/>
    <x v="4"/>
    <x v="4"/>
    <s v="Convencional"/>
    <n v="776810"/>
    <n v="73.387119630423896"/>
    <n v="70619.090909090912"/>
  </r>
  <r>
    <x v="5"/>
    <x v="4"/>
    <x v="5"/>
    <s v="Convencional"/>
    <n v="776810"/>
    <n v="29.153734429711808"/>
    <n v="70619.090909090912"/>
  </r>
  <r>
    <x v="5"/>
    <x v="4"/>
    <x v="6"/>
    <s v="Convencional"/>
    <n v="776810"/>
    <n v="11.058297317457876"/>
    <n v="70619.090909090912"/>
  </r>
  <r>
    <x v="5"/>
    <x v="4"/>
    <x v="8"/>
    <s v="Convencional"/>
    <n v="776810"/>
    <n v="194.57169980037125"/>
    <n v="70619.090909090912"/>
  </r>
  <r>
    <x v="5"/>
    <x v="4"/>
    <x v="9"/>
    <s v="Convencional"/>
    <n v="776810"/>
    <n v="16.085020913571046"/>
    <n v="70619.090909090912"/>
  </r>
  <r>
    <x v="5"/>
    <x v="4"/>
    <x v="10"/>
    <s v="Convencional"/>
    <n v="776810"/>
    <n v="15.079502196477481"/>
    <n v="70619.090909090912"/>
  </r>
  <r>
    <x v="5"/>
    <x v="1"/>
    <x v="11"/>
    <s v="Convencional"/>
    <n v="384660"/>
    <n v="12.559916410892704"/>
    <n v="34969.090909090912"/>
  </r>
  <r>
    <x v="5"/>
    <x v="1"/>
    <x v="0"/>
    <s v="Convencional"/>
    <n v="384660"/>
    <n v="14.436317099075636"/>
    <n v="34969.090909090912"/>
  </r>
  <r>
    <x v="5"/>
    <x v="1"/>
    <x v="1"/>
    <s v="Convencional"/>
    <n v="384660"/>
    <n v="24.157052872206137"/>
    <n v="34969.090909090912"/>
  </r>
  <r>
    <x v="5"/>
    <x v="1"/>
    <x v="2"/>
    <s v="Convencional"/>
    <n v="384660"/>
    <n v="48.537539432176651"/>
    <n v="34969.090909090912"/>
  </r>
  <r>
    <x v="5"/>
    <x v="1"/>
    <x v="3"/>
    <s v="Convencional"/>
    <n v="384660"/>
    <n v="29.123258631132646"/>
    <n v="34969.090909090912"/>
  </r>
  <r>
    <x v="5"/>
    <x v="1"/>
    <x v="4"/>
    <s v="Convencional"/>
    <n v="384660"/>
    <n v="36.33976060689082"/>
    <n v="34969.090909090912"/>
  </r>
  <r>
    <x v="5"/>
    <x v="1"/>
    <x v="5"/>
    <s v="Convencional"/>
    <n v="384660"/>
    <n v="14.436317099075636"/>
    <n v="34969.090909090912"/>
  </r>
  <r>
    <x v="5"/>
    <x v="1"/>
    <x v="6"/>
    <s v="Convencional"/>
    <n v="384660"/>
    <n v="5.4758366217393526"/>
    <n v="34969.090909090912"/>
  </r>
  <r>
    <x v="5"/>
    <x v="1"/>
    <x v="8"/>
    <s v="Convencional"/>
    <n v="384660"/>
    <n v="96.347819988428057"/>
    <n v="34969.090909090912"/>
  </r>
  <r>
    <x v="5"/>
    <x v="1"/>
    <x v="9"/>
    <s v="Convencional"/>
    <n v="384660"/>
    <n v="7.9649645918747662"/>
    <n v="34969.090909090912"/>
  </r>
  <r>
    <x v="5"/>
    <x v="1"/>
    <x v="10"/>
    <s v="Convencional"/>
    <n v="384660"/>
    <n v="7.4670528377557295"/>
    <n v="34969.090909090912"/>
  </r>
  <r>
    <x v="5"/>
    <x v="0"/>
    <x v="11"/>
    <s v="Convencional"/>
    <n v="63600.000000000007"/>
    <n v="2.0766668843466336"/>
    <n v="5781.8181818181829"/>
  </r>
  <r>
    <x v="5"/>
    <x v="0"/>
    <x v="0"/>
    <s v="Convencional"/>
    <n v="63600.000000000007"/>
    <n v="2.3869125136515636"/>
    <n v="5781.8181818181829"/>
  </r>
  <r>
    <x v="5"/>
    <x v="0"/>
    <x v="1"/>
    <s v="Convencional"/>
    <n v="63600.000000000007"/>
    <n v="3.9941469419027471"/>
    <n v="5781.8181818181829"/>
  </r>
  <r>
    <x v="5"/>
    <x v="0"/>
    <x v="2"/>
    <s v="Convencional"/>
    <n v="63600.000000000007"/>
    <n v="8.0252365930599368"/>
    <n v="5781.8181818181829"/>
  </r>
  <r>
    <x v="5"/>
    <x v="0"/>
    <x v="3"/>
    <s v="Convencional"/>
    <n v="63600.000000000007"/>
    <n v="4.8152634766808005"/>
    <n v="5781.8181818181829"/>
  </r>
  <r>
    <x v="5"/>
    <x v="0"/>
    <x v="4"/>
    <s v="Convencional"/>
    <n v="63600.000000000007"/>
    <n v="6.0084458342386942"/>
    <n v="5781.8181818181829"/>
  </r>
  <r>
    <x v="5"/>
    <x v="0"/>
    <x v="5"/>
    <s v="Convencional"/>
    <n v="63600.000000000007"/>
    <n v="2.3869125136515636"/>
    <n v="5781.8181818181829"/>
  </r>
  <r>
    <x v="5"/>
    <x v="0"/>
    <x v="6"/>
    <s v="Convencional"/>
    <n v="63600.000000000007"/>
    <n v="0.90537931976972619"/>
    <n v="5781.8181818181829"/>
  </r>
  <r>
    <x v="5"/>
    <x v="0"/>
    <x v="8"/>
    <s v="Convencional"/>
    <n v="63600.000000000007"/>
    <n v="15.930227606884065"/>
    <n v="5781.8181818181829"/>
  </r>
  <r>
    <x v="5"/>
    <x v="0"/>
    <x v="9"/>
    <s v="Convencional"/>
    <n v="63600.000000000007"/>
    <n v="1.3169337805938628"/>
    <n v="5781.8181818181829"/>
  </r>
  <r>
    <x v="5"/>
    <x v="0"/>
    <x v="10"/>
    <s v="Convencional"/>
    <n v="63600.000000000007"/>
    <n v="1.2346086426487404"/>
    <n v="5781.81818181818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TablaDinámica2" cacheId="2" applyNumberFormats="0" applyBorderFormats="0" applyFontFormats="0" applyPatternFormats="0" applyAlignmentFormats="0" applyWidthHeightFormats="1" dataCaption="Valores" grandTotalCaption="Total Jornales Generales" updatedVersion="8" minRefreshableVersion="3" useAutoFormatting="1" itemPrintTitles="1" createdVersion="8" indent="0" multipleFieldFilters="0">
  <location ref="A93:B112" firstHeaderRow="1" firstDataRow="1" firstDataCol="1"/>
  <pivotFields count="3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dataFiel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Jorn" fld="2" baseField="0" baseItem="0" numFmtId="3"/>
  </dataFields>
  <formats count="7">
    <format dxfId="380">
      <pivotArea outline="0" collapsedLevelsAreSubtotals="1" fieldPosition="0"/>
    </format>
    <format dxfId="379">
      <pivotArea grandRow="1" outline="0" collapsedLevelsAreSubtotals="1" fieldPosition="0"/>
    </format>
    <format dxfId="378">
      <pivotArea dataOnly="0" labelOnly="1" grandRow="1" outline="0" fieldPosition="0"/>
    </format>
    <format dxfId="377">
      <pivotArea dataOnly="0" labelOnly="1" outline="0" axis="axisValues" fieldPosition="0"/>
    </format>
    <format dxfId="376">
      <pivotArea field="0" type="button" dataOnly="0" labelOnly="1" outline="0" axis="axisRow" fieldPosition="0"/>
    </format>
    <format dxfId="375">
      <pivotArea dataOnly="0" labelOnly="1" grandRow="1" outline="0" fieldPosition="0"/>
    </format>
    <format dxfId="37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1000000}" name="TablaDinámica4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rowHeaderCaption="Camino Truncado">
  <location ref="A18:B89" firstHeaderRow="1" firstDataRow="1" firstDataCol="1"/>
  <pivotFields count="4">
    <pivotField axis="axisRow" showAll="0">
      <items count="32">
        <item x="7"/>
        <item x="8"/>
        <item x="9"/>
        <item x="10"/>
        <item x="12"/>
        <item x="11"/>
        <item x="0"/>
        <item x="1"/>
        <item x="3"/>
        <item m="1" x="16"/>
        <item m="1" x="23"/>
        <item x="2"/>
        <item x="6"/>
        <item x="4"/>
        <item x="5"/>
        <item m="1" x="18"/>
        <item m="1" x="30"/>
        <item m="1" x="20"/>
        <item m="1" x="26"/>
        <item m="1" x="19"/>
        <item m="1" x="21"/>
        <item m="1" x="17"/>
        <item m="1" x="15"/>
        <item m="1" x="14"/>
        <item m="1" x="28"/>
        <item m="1" x="24"/>
        <item m="1" x="13"/>
        <item m="1" x="22"/>
        <item m="1" x="25"/>
        <item m="1" x="29"/>
        <item m="1" x="27"/>
        <item t="default"/>
      </items>
    </pivotField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dataField="1" showAll="0"/>
  </pivotFields>
  <rowFields count="2">
    <field x="2"/>
    <field x="0"/>
  </rowFields>
  <rowItems count="7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14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14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14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14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14"/>
    </i>
    <i t="grand">
      <x/>
    </i>
  </rowItems>
  <colItems count="1">
    <i/>
  </colItems>
  <dataFields count="1">
    <dataField name="Jorn" fld="3" baseField="0" baseItem="0" numFmtId="3"/>
  </dataFields>
  <formats count="15">
    <format dxfId="395">
      <pivotArea outline="0" collapsedLevelsAreSubtotals="1" fieldPosition="0"/>
    </format>
    <format dxfId="394">
      <pivotArea collapsedLevelsAreSubtotals="1" fieldPosition="0">
        <references count="1">
          <reference field="2" count="1">
            <x v="1"/>
          </reference>
        </references>
      </pivotArea>
    </format>
    <format dxfId="393">
      <pivotArea collapsedLevelsAreSubtotals="1" fieldPosition="0">
        <references count="1">
          <reference field="2" count="1">
            <x v="0"/>
          </reference>
        </references>
      </pivotArea>
    </format>
    <format dxfId="392">
      <pivotArea collapsedLevelsAreSubtotals="1" fieldPosition="0">
        <references count="1">
          <reference field="2" count="1">
            <x v="2"/>
          </reference>
        </references>
      </pivotArea>
    </format>
    <format dxfId="391">
      <pivotArea collapsedLevelsAreSubtotals="1" fieldPosition="0">
        <references count="1">
          <reference field="2" count="1">
            <x v="3"/>
          </reference>
        </references>
      </pivotArea>
    </format>
    <format dxfId="390">
      <pivotArea collapsedLevelsAreSubtotals="1" fieldPosition="0">
        <references count="1">
          <reference field="2" count="1">
            <x v="4"/>
          </reference>
        </references>
      </pivotArea>
    </format>
    <format dxfId="389">
      <pivotArea grandRow="1" outline="0" collapsedLevelsAreSubtotals="1" fieldPosition="0"/>
    </format>
    <format dxfId="388">
      <pivotArea dataOnly="0" labelOnly="1" fieldPosition="0">
        <references count="1">
          <reference field="2" count="1">
            <x v="0"/>
          </reference>
        </references>
      </pivotArea>
    </format>
    <format dxfId="387">
      <pivotArea dataOnly="0" labelOnly="1" fieldPosition="0">
        <references count="1">
          <reference field="2" count="1">
            <x v="0"/>
          </reference>
        </references>
      </pivotArea>
    </format>
    <format dxfId="386">
      <pivotArea dataOnly="0" labelOnly="1" fieldPosition="0">
        <references count="1">
          <reference field="2" count="1">
            <x v="1"/>
          </reference>
        </references>
      </pivotArea>
    </format>
    <format dxfId="385">
      <pivotArea dataOnly="0" labelOnly="1" fieldPosition="0">
        <references count="1">
          <reference field="2" count="1">
            <x v="1"/>
          </reference>
        </references>
      </pivotArea>
    </format>
    <format dxfId="384">
      <pivotArea dataOnly="0" labelOnly="1" fieldPosition="0">
        <references count="1">
          <reference field="2" count="0"/>
        </references>
      </pivotArea>
    </format>
    <format dxfId="383">
      <pivotArea dataOnly="0" labelOnly="1" fieldPosition="0">
        <references count="1">
          <reference field="2" count="0"/>
        </references>
      </pivotArea>
    </format>
    <format dxfId="382">
      <pivotArea dataOnly="0" labelOnly="1" grandRow="1" outline="0" fieldPosition="0"/>
    </format>
    <format dxfId="38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TablaDiná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H65" firstHeaderRow="1" firstDataRow="2" firstDataCol="1"/>
  <pivotFields count="8">
    <pivotField axis="axisCol" showAll="0">
      <items count="8">
        <item x="1"/>
        <item x="3"/>
        <item x="4"/>
        <item x="5"/>
        <item x="2"/>
        <item x="0"/>
        <item m="1" x="6"/>
        <item t="default"/>
      </items>
    </pivotField>
    <pivotField showAll="0"/>
    <pivotField axis="axisRow" showAll="0">
      <items count="13">
        <item x="0"/>
        <item x="3"/>
        <item x="10"/>
        <item x="2"/>
        <item x="4"/>
        <item x="6"/>
        <item x="5"/>
        <item x="8"/>
        <item x="7"/>
        <item x="11"/>
        <item x="9"/>
        <item x="1"/>
        <item t="default"/>
      </items>
    </pivotField>
    <pivotField showAll="0"/>
    <pivotField showAll="0"/>
    <pivotField dataField="1" showAll="0"/>
    <pivotField numFmtId="3" showAll="0"/>
    <pivotField axis="axisRow" showAll="0">
      <items count="7">
        <item x="1"/>
        <item x="4"/>
        <item x="3"/>
        <item x="2"/>
        <item x="0"/>
        <item x="5"/>
        <item t="default"/>
      </items>
    </pivotField>
  </pivotFields>
  <rowFields count="2">
    <field x="7"/>
    <field x="2"/>
  </rowFields>
  <rowItems count="6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0"/>
    </i>
    <i r="1">
      <x v="11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1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Jorn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1000000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rowHeaderCaption="Puente Alto">
  <location ref="A18:B61" firstHeaderRow="1" firstDataRow="1" firstDataCol="1"/>
  <pivotFields count="4">
    <pivotField axis="axisRow" showAll="0">
      <items count="14">
        <item x="7"/>
        <item x="8"/>
        <item x="9"/>
        <item x="10"/>
        <item x="12"/>
        <item x="11"/>
        <item x="0"/>
        <item x="1"/>
        <item x="3"/>
        <item x="2"/>
        <item x="6"/>
        <item x="4"/>
        <item x="5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dataField="1" showAll="0"/>
  </pivotFields>
  <rowFields count="2">
    <field x="2"/>
    <field x="0"/>
  </rowFields>
  <rowItems count="4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Jorn" fld="3" baseField="0" baseItem="0" numFmtId="3"/>
  </dataFields>
  <formats count="10">
    <format dxfId="358">
      <pivotArea outline="0" collapsedLevelsAreSubtotals="1" fieldPosition="0"/>
    </format>
    <format dxfId="357">
      <pivotArea collapsedLevelsAreSubtotals="1" fieldPosition="0">
        <references count="1">
          <reference field="2" count="1">
            <x v="0"/>
          </reference>
        </references>
      </pivotArea>
    </format>
    <format dxfId="356">
      <pivotArea collapsedLevelsAreSubtotals="1" fieldPosition="0">
        <references count="1">
          <reference field="2" count="1">
            <x v="1"/>
          </reference>
        </references>
      </pivotArea>
    </format>
    <format dxfId="355">
      <pivotArea grandRow="1" outline="0" collapsedLevelsAreSubtotals="1" fieldPosition="0"/>
    </format>
    <format dxfId="354">
      <pivotArea dataOnly="0" labelOnly="1" fieldPosition="0">
        <references count="1">
          <reference field="2" count="1">
            <x v="0"/>
          </reference>
        </references>
      </pivotArea>
    </format>
    <format dxfId="353">
      <pivotArea dataOnly="0" labelOnly="1" fieldPosition="0">
        <references count="1">
          <reference field="2" count="1">
            <x v="0"/>
          </reference>
        </references>
      </pivotArea>
    </format>
    <format dxfId="352">
      <pivotArea dataOnly="0" labelOnly="1" fieldPosition="0">
        <references count="1">
          <reference field="2" count="0"/>
        </references>
      </pivotArea>
    </format>
    <format dxfId="351">
      <pivotArea dataOnly="0" labelOnly="1" fieldPosition="0">
        <references count="1">
          <reference field="2" count="0"/>
        </references>
      </pivotArea>
    </format>
    <format dxfId="350">
      <pivotArea dataOnly="0" labelOnly="1" grandRow="1" outline="0" fieldPosition="0"/>
    </format>
    <format dxfId="349">
      <pivotArea collapsedLevelsAreSubtotals="1" fieldPosition="0">
        <references count="1">
          <reference field="2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0000000}" name="TablaDinámica2" cacheId="1" applyNumberFormats="0" applyBorderFormats="0" applyFontFormats="0" applyPatternFormats="0" applyAlignmentFormats="0" applyWidthHeightFormats="1" dataCaption="Valores" grandTotalCaption="Total Jornales Generales" updatedVersion="8" minRefreshableVersion="3" useAutoFormatting="1" itemPrintTitles="1" createdVersion="8" indent="0" multipleFieldFilters="0">
  <location ref="A65:B82" firstHeaderRow="1" firstDataRow="1" firstDataCol="1"/>
  <pivotFields count="4">
    <pivotField axis="axisRow" showAll="0">
      <items count="17">
        <item x="0"/>
        <item x="1"/>
        <item x="2"/>
        <item x="3"/>
        <item x="6"/>
        <item x="7"/>
        <item x="8"/>
        <item x="9"/>
        <item x="10"/>
        <item x="11"/>
        <item x="12"/>
        <item x="13"/>
        <item x="14"/>
        <item x="15"/>
        <item x="4"/>
        <item x="5"/>
        <item t="default"/>
      </items>
    </pivotField>
    <pivotField showAll="0"/>
    <pivotField showAll="0"/>
    <pivotField dataField="1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Jorn" fld="3" baseField="0" baseItem="0" numFmtId="3"/>
  </dataFields>
  <formats count="7">
    <format dxfId="365">
      <pivotArea outline="0" collapsedLevelsAreSubtotals="1" fieldPosition="0"/>
    </format>
    <format dxfId="364">
      <pivotArea grandRow="1" outline="0" collapsedLevelsAreSubtotals="1" fieldPosition="0"/>
    </format>
    <format dxfId="363">
      <pivotArea dataOnly="0" labelOnly="1" grandRow="1" outline="0" fieldPosition="0"/>
    </format>
    <format dxfId="362">
      <pivotArea dataOnly="0" labelOnly="1" outline="0" axis="axisValues" fieldPosition="0"/>
    </format>
    <format dxfId="361">
      <pivotArea field="0" type="button" dataOnly="0" labelOnly="1" outline="0" axis="axisRow" fieldPosition="0"/>
    </format>
    <format dxfId="360">
      <pivotArea dataOnly="0" labelOnly="1" grandRow="1" outline="0" fieldPosition="0"/>
    </format>
    <format dxfId="35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0000000}" name="TablaDinámica2" cacheId="3" applyNumberFormats="0" applyBorderFormats="0" applyFontFormats="0" applyPatternFormats="0" applyAlignmentFormats="0" applyWidthHeightFormats="1" dataCaption="Valores" grandTotalCaption="Total Jornales Generales" updatedVersion="8" minRefreshableVersion="3" useAutoFormatting="1" itemPrintTitles="1" createdVersion="8" indent="0" multipleFieldFilters="0">
  <location ref="A65:B83" firstHeaderRow="1" firstDataRow="1" firstDataCol="1"/>
  <pivotFields count="4">
    <pivotField axis="axisRow" showAll="0">
      <items count="18">
        <item x="0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5"/>
        <item x="6"/>
        <item x="1"/>
        <item t="default"/>
      </items>
    </pivotField>
    <pivotField showAll="0"/>
    <pivotField showAll="0"/>
    <pivotField dataFiel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Jorn" fld="3" baseField="0" baseItem="0" numFmtId="3"/>
  </dataFields>
  <formats count="7">
    <format dxfId="330">
      <pivotArea outline="0" collapsedLevelsAreSubtotals="1" fieldPosition="0"/>
    </format>
    <format dxfId="329">
      <pivotArea grandRow="1" outline="0" collapsedLevelsAreSubtotals="1" fieldPosition="0"/>
    </format>
    <format dxfId="328">
      <pivotArea dataOnly="0" labelOnly="1" grandRow="1" outline="0" fieldPosition="0"/>
    </format>
    <format dxfId="327">
      <pivotArea dataOnly="0" labelOnly="1" outline="0" axis="axisValues" fieldPosition="0"/>
    </format>
    <format dxfId="326">
      <pivotArea field="0" type="button" dataOnly="0" labelOnly="1" outline="0" axis="axisRow" fieldPosition="0"/>
    </format>
    <format dxfId="325">
      <pivotArea dataOnly="0" labelOnly="1" grandRow="1" outline="0" fieldPosition="0"/>
    </format>
    <format dxfId="32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1000000}" name="TablaDinámica4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rowHeaderCaption="La Chimbera">
  <location ref="A18:B61" firstHeaderRow="1" firstDataRow="1" firstDataCol="1"/>
  <pivotFields count="4">
    <pivotField axis="axisRow" showAll="0">
      <items count="14">
        <item x="7"/>
        <item x="8"/>
        <item x="9"/>
        <item x="10"/>
        <item x="12"/>
        <item x="11"/>
        <item x="0"/>
        <item x="1"/>
        <item x="3"/>
        <item x="2"/>
        <item x="6"/>
        <item x="4"/>
        <item x="5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dataField="1" showAll="0"/>
  </pivotFields>
  <rowFields count="2">
    <field x="2"/>
    <field x="0"/>
  </rowFields>
  <rowItems count="4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Jorn" fld="3" baseField="0" baseItem="0" numFmtId="3"/>
  </dataFields>
  <formats count="10">
    <format dxfId="340">
      <pivotArea outline="0" collapsedLevelsAreSubtotals="1" fieldPosition="0"/>
    </format>
    <format dxfId="339">
      <pivotArea collapsedLevelsAreSubtotals="1" fieldPosition="0">
        <references count="1">
          <reference field="2" count="1">
            <x v="0"/>
          </reference>
        </references>
      </pivotArea>
    </format>
    <format dxfId="338">
      <pivotArea collapsedLevelsAreSubtotals="1" fieldPosition="0">
        <references count="1">
          <reference field="2" count="1">
            <x v="1"/>
          </reference>
        </references>
      </pivotArea>
    </format>
    <format dxfId="337">
      <pivotArea grandRow="1" outline="0" collapsedLevelsAreSubtotals="1" fieldPosition="0"/>
    </format>
    <format dxfId="336">
      <pivotArea dataOnly="0" labelOnly="1" fieldPosition="0">
        <references count="1">
          <reference field="2" count="1">
            <x v="0"/>
          </reference>
        </references>
      </pivotArea>
    </format>
    <format dxfId="335">
      <pivotArea dataOnly="0" labelOnly="1" fieldPosition="0">
        <references count="1">
          <reference field="2" count="1">
            <x v="0"/>
          </reference>
        </references>
      </pivotArea>
    </format>
    <format dxfId="334">
      <pivotArea dataOnly="0" labelOnly="1" fieldPosition="0">
        <references count="1">
          <reference field="2" count="0"/>
        </references>
      </pivotArea>
    </format>
    <format dxfId="333">
      <pivotArea dataOnly="0" labelOnly="1" fieldPosition="0">
        <references count="1">
          <reference field="2" count="0"/>
        </references>
      </pivotArea>
    </format>
    <format dxfId="332">
      <pivotArea dataOnly="0" labelOnly="1" grandRow="1" outline="0" fieldPosition="0"/>
    </format>
    <format dxfId="331">
      <pivotArea collapsedLevelsAreSubtotals="1" fieldPosition="0">
        <references count="1">
          <reference field="2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1000000}" name="TablaDinámica4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rowHeaderCaption="El Espejo">
  <location ref="A24:B102" firstHeaderRow="1" firstDataRow="1" firstDataCol="1"/>
  <pivotFields count="6">
    <pivotField axis="axisRow" showAll="0">
      <items count="11">
        <item x="7"/>
        <item x="9"/>
        <item x="8"/>
        <item x="0"/>
        <item x="1"/>
        <item x="3"/>
        <item x="2"/>
        <item x="6"/>
        <item x="4"/>
        <item x="5"/>
        <item t="default"/>
      </items>
    </pivotField>
    <pivotField showAll="0"/>
    <pivotField showAll="0"/>
    <pivotField showAll="0"/>
    <pivotField dataField="1" showAll="0"/>
    <pivotField axis="axisRow" showAll="0">
      <items count="8">
        <item x="2"/>
        <item x="4"/>
        <item x="0"/>
        <item x="1"/>
        <item x="5"/>
        <item x="3"/>
        <item x="6"/>
        <item t="default"/>
      </items>
    </pivotField>
  </pivotFields>
  <rowFields count="2">
    <field x="5"/>
    <field x="0"/>
  </rowFields>
  <rowItems count="7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Jorn" fld="4" baseField="0" baseItem="0" numFmtId="3"/>
  </dataFields>
  <formats count="6">
    <format dxfId="308">
      <pivotArea outline="0" collapsedLevelsAreSubtotals="1" fieldPosition="0"/>
    </format>
    <format dxfId="307">
      <pivotArea grandRow="1" outline="0" collapsedLevelsAreSubtotals="1" fieldPosition="0"/>
    </format>
    <format dxfId="306">
      <pivotArea dataOnly="0" labelOnly="1" grandRow="1" outline="0" fieldPosition="0"/>
    </format>
    <format dxfId="305">
      <pivotArea dataOnly="0" labelOnly="1" outline="0" axis="axisValues" fieldPosition="0"/>
    </format>
    <format dxfId="304">
      <pivotArea collapsedLevelsAreSubtotals="1" fieldPosition="0">
        <references count="1">
          <reference field="5" count="1">
            <x v="0"/>
          </reference>
        </references>
      </pivotArea>
    </format>
    <format dxfId="303">
      <pivotArea collapsedLevelsAreSubtotals="1" fieldPosition="0">
        <references count="1">
          <reference field="5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0000000}" name="TablaDinámica2" cacheId="6" applyNumberFormats="0" applyBorderFormats="0" applyFontFormats="0" applyPatternFormats="0" applyAlignmentFormats="0" applyWidthHeightFormats="1" dataCaption="Valores" grandTotalCaption="Total Jornales Generales" updatedVersion="8" minRefreshableVersion="3" useAutoFormatting="1" itemPrintTitles="1" createdVersion="8" indent="0" multipleFieldFilters="0">
  <location ref="A106:B125" firstHeaderRow="1" firstDataRow="1" firstDataCol="1"/>
  <pivotFields count="4">
    <pivotField axis="axisRow" showAll="0">
      <items count="19">
        <item x="0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6"/>
        <item t="default"/>
      </items>
    </pivotField>
    <pivotField showAll="0"/>
    <pivotField showAll="0"/>
    <pivotField dataFiel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Jorn" fld="3" baseField="0" baseItem="0" numFmtId="3"/>
  </dataFields>
  <formats count="7">
    <format dxfId="315">
      <pivotArea outline="0" collapsedLevelsAreSubtotals="1" fieldPosition="0"/>
    </format>
    <format dxfId="314">
      <pivotArea grandRow="1" outline="0" collapsedLevelsAreSubtotals="1" fieldPosition="0"/>
    </format>
    <format dxfId="313">
      <pivotArea dataOnly="0" labelOnly="1" grandRow="1" outline="0" fieldPosition="0"/>
    </format>
    <format dxfId="312">
      <pivotArea dataOnly="0" labelOnly="1" outline="0" axis="axisValues" fieldPosition="0"/>
    </format>
    <format dxfId="311">
      <pivotArea field="0" type="button" dataOnly="0" labelOnly="1" outline="0" axis="axisRow" fieldPosition="0"/>
    </format>
    <format dxfId="310">
      <pivotArea dataOnly="0" labelOnly="1" grandRow="1" outline="0" fieldPosition="0"/>
    </format>
    <format dxfId="30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000-000000000000}" name="TablaDiná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outline="1" outlineData="1" compactData="0" multipleFieldFilters="0">
  <location ref="AE1:AH196" firstHeaderRow="1" firstDataRow="1" firstDataCol="3"/>
  <pivotFields count="8">
    <pivotField axis="axisRow" compact="0" showAll="0" defaultSubtotal="0">
      <items count="7">
        <item x="1"/>
        <item x="3"/>
        <item m="1" x="6"/>
        <item x="4"/>
        <item x="5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 defaultSubtotal="0">
      <items count="6">
        <item x="2"/>
        <item x="4"/>
        <item x="1"/>
        <item x="0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 defaultSubtotal="0">
      <items count="12">
        <item x="0"/>
        <item x="3"/>
        <item x="10"/>
        <item x="2"/>
        <item x="4"/>
        <item x="6"/>
        <item x="5"/>
        <item x="8"/>
        <item x="7"/>
        <item x="11"/>
        <item x="9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195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5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1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9"/>
    </i>
    <i r="2">
      <x v="10"/>
    </i>
    <i r="2">
      <x v="11"/>
    </i>
    <i>
      <x v="3"/>
    </i>
    <i r="1">
      <x v="1"/>
    </i>
    <i r="2">
      <x v="9"/>
    </i>
    <i r="1">
      <x v="2"/>
    </i>
    <i r="2">
      <x v="9"/>
    </i>
    <i r="1">
      <x v="3"/>
    </i>
    <i r="2">
      <x v="9"/>
    </i>
    <i>
      <x v="4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9"/>
    </i>
    <i r="2">
      <x v="10"/>
    </i>
    <i r="2">
      <x v="11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9"/>
    </i>
    <i r="2">
      <x v="10"/>
    </i>
    <i r="2">
      <x v="11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9"/>
    </i>
    <i r="2">
      <x v="10"/>
    </i>
    <i r="2">
      <x v="11"/>
    </i>
    <i>
      <x v="5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10"/>
    </i>
    <i r="2">
      <x v="11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10"/>
    </i>
    <i r="2">
      <x v="11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10"/>
    </i>
    <i r="2">
      <x v="11"/>
    </i>
    <i>
      <x v="6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10"/>
    </i>
    <i r="2">
      <x v="11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10"/>
    </i>
    <i r="2">
      <x v="11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10"/>
    </i>
    <i r="2">
      <x v="11"/>
    </i>
    <i t="grand">
      <x/>
    </i>
  </rowItems>
  <colItems count="1">
    <i/>
  </colItems>
  <dataFields count="1">
    <dataField name="Suma de Jorn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400-000000000000}" name="TablaDinámica1" cacheId="8" applyNumberFormats="0" applyBorderFormats="0" applyFontFormats="0" applyPatternFormats="0" applyAlignmentFormats="0" applyWidthHeightFormats="1" dataCaption="Valores" grandTotalCaption="Tot" updatedVersion="8" minRefreshableVersion="3" useAutoFormatting="1" itemPrintTitles="1" createdVersion="8" indent="0" compact="0" compactData="0" multipleFieldFilters="0">
  <location ref="F3:T33" firstHeaderRow="1" firstDataRow="2" firstDataCol="2" rowPageCount="1" colPageCount="1"/>
  <pivotFields count="6">
    <pivotField axis="axisRow" compact="0" outline="0" showAll="0" defaultSubtotal="0">
      <items count="29">
        <item x="1"/>
        <item x="5"/>
        <item x="0"/>
        <item x="2"/>
        <item x="6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m="1" x="28"/>
        <item x="21"/>
        <item x="22"/>
        <item x="23"/>
        <item x="24"/>
        <item x="25"/>
        <item x="27"/>
        <item x="26"/>
      </items>
    </pivotField>
    <pivotField axis="axisCol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outline="0" showAll="0" defaultSubtotal="0"/>
    <pivotField axis="axisPage" compact="0" outline="0" multipleItemSelectionAllowed="1" showAll="0" defaultSubtotal="0">
      <items count="5">
        <item x="0"/>
        <item x="3"/>
        <item x="4"/>
        <item x="1"/>
        <item x="2"/>
      </items>
    </pivotField>
    <pivotField axis="axisRow" compact="0" outline="0" showAll="0" defaultSubtotal="0">
      <items count="11">
        <item x="6"/>
        <item x="0"/>
        <item x="1"/>
        <item x="8"/>
        <item x="2"/>
        <item m="1" x="9"/>
        <item x="3"/>
        <item x="4"/>
        <item x="5"/>
        <item m="1" x="10"/>
        <item x="7"/>
      </items>
    </pivotField>
    <pivotField compact="0" numFmtId="164" outline="0" showAll="0" defaultSubtotal="0"/>
  </pivotFields>
  <rowFields count="2">
    <field x="4"/>
    <field x="0"/>
  </rowFields>
  <rowItems count="29">
    <i>
      <x/>
      <x v="23"/>
    </i>
    <i r="1">
      <x v="24"/>
    </i>
    <i>
      <x v="1"/>
      <x v="1"/>
    </i>
    <i r="1">
      <x v="2"/>
    </i>
    <i r="1">
      <x v="4"/>
    </i>
    <i r="1">
      <x v="5"/>
    </i>
    <i r="1">
      <x v="6"/>
    </i>
    <i>
      <x v="2"/>
      <x/>
    </i>
    <i r="1">
      <x v="13"/>
    </i>
    <i r="1">
      <x v="27"/>
    </i>
    <i r="1">
      <x v="28"/>
    </i>
    <i>
      <x v="3"/>
      <x v="26"/>
    </i>
    <i>
      <x v="4"/>
      <x v="3"/>
    </i>
    <i>
      <x v="6"/>
      <x v="7"/>
    </i>
    <i r="1">
      <x v="8"/>
    </i>
    <i r="1">
      <x v="9"/>
    </i>
    <i r="1">
      <x v="10"/>
    </i>
    <i r="1">
      <x v="11"/>
    </i>
    <i r="1">
      <x v="12"/>
    </i>
    <i>
      <x v="7"/>
      <x v="14"/>
    </i>
    <i r="1">
      <x v="15"/>
    </i>
    <i r="1">
      <x v="16"/>
    </i>
    <i r="1">
      <x v="17"/>
    </i>
    <i>
      <x v="8"/>
      <x v="18"/>
    </i>
    <i r="1">
      <x v="19"/>
    </i>
    <i r="1">
      <x v="20"/>
    </i>
    <i r="1">
      <x v="22"/>
    </i>
    <i>
      <x v="10"/>
      <x v="25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3" hier="-1"/>
  </pageFields>
  <dataFields count="1">
    <dataField name="USD" fld="2" baseField="0" baseItem="0" numFmtId="3"/>
  </dataFields>
  <formats count="10">
    <format dxfId="52">
      <pivotArea outline="0" collapsedLevelsAreSubtotals="1" fieldPosition="0"/>
    </format>
    <format dxfId="51">
      <pivotArea dataOnly="0" labelOnly="1" outline="0" axis="axisValues" fieldPosition="0"/>
    </format>
    <format dxfId="50">
      <pivotArea dataOnly="0" labelOnly="1" outline="0" fieldPosition="0">
        <references count="2">
          <reference field="0" count="1">
            <x v="0"/>
          </reference>
          <reference field="4" count="1" selected="0">
            <x v="2"/>
          </reference>
        </references>
      </pivotArea>
    </format>
    <format dxfId="49">
      <pivotArea dataOnly="0" labelOnly="1" outline="0" fieldPosition="0">
        <references count="2">
          <reference field="0" count="1">
            <x v="3"/>
          </reference>
          <reference field="4" count="1" selected="0">
            <x v="4"/>
          </reference>
        </references>
      </pivotArea>
    </format>
    <format dxfId="48">
      <pivotArea dataOnly="0" labelOnly="1" outline="0" fieldPosition="0">
        <references count="2">
          <reference field="0" count="1">
            <x v="2"/>
          </reference>
          <reference field="4" count="1" selected="0">
            <x v="1"/>
          </reference>
        </references>
      </pivotArea>
    </format>
    <format dxfId="47">
      <pivotArea dataOnly="0" labelOnly="1" grandCol="1" outline="0" fieldPosition="0"/>
    </format>
    <format dxfId="46">
      <pivotArea outline="0" collapsedLevelsAreSubtotals="1" fieldPosition="0"/>
    </format>
    <format dxfId="45">
      <pivotArea outline="0" collapsedLevelsAreSubtotals="1" fieldPosition="0"/>
    </format>
    <format dxfId="44">
      <pivotArea outline="0" collapsedLevelsAreSubtotals="1" fieldPosition="0"/>
    </format>
    <format dxfId="43">
      <pivotArea outline="0" collapsedLevelsAreSubtotals="1" fieldPosition="0"/>
    </format>
  </formats>
  <conditionalFormats count="1">
    <conditionalFormat priority="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0" count="2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2"/>
            </reference>
            <reference field="4" count="6" selected="0">
              <x v="1"/>
              <x v="2"/>
              <x v="4"/>
              <x v="5"/>
              <x v="7"/>
              <x v="8"/>
            </reference>
          </references>
        </pivotArea>
      </pivotAreas>
    </conditionalFormat>
  </conditionalFormats>
  <pivotTableStyleInfo name="PivotStyleDark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21" xr16:uid="{00000000-0016-0000-0000-000000000000}" autoFormatId="16" applyNumberFormats="0" applyBorderFormats="0" applyFontFormats="0" applyPatternFormats="0" applyAlignmentFormats="0" applyWidthHeightFormats="0">
  <queryTableRefresh nextId="5">
    <queryTableFields count="4">
      <queryTableField id="1" name="Faenas" tableColumnId="1"/>
      <queryTableField id="2" name="Finca" tableColumnId="2"/>
      <queryTableField id="3" name="Variedad" tableColumnId="3"/>
      <queryTableField id="4" name="Jornale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20" xr16:uid="{00000000-0016-0000-0100-000001000000}" autoFormatId="16" applyNumberFormats="0" applyBorderFormats="0" applyFontFormats="0" applyPatternFormats="0" applyAlignmentFormats="0" applyWidthHeightFormats="0">
  <queryTableRefresh nextId="5">
    <queryTableFields count="4">
      <queryTableField id="1" name="Faenas" tableColumnId="1"/>
      <queryTableField id="2" name="Finca" tableColumnId="2"/>
      <queryTableField id="3" name="Variedad" tableColumnId="3"/>
      <queryTableField id="4" name="Jornale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6" xr16:uid="{00000000-0016-0000-0200-000002000000}" autoFormatId="16" applyNumberFormats="0" applyBorderFormats="0" applyFontFormats="0" applyPatternFormats="0" applyAlignmentFormats="0" applyWidthHeightFormats="0">
  <queryTableRefresh nextId="5">
    <queryTableFields count="3">
      <queryTableField id="1" name="Faenas" tableColumnId="1"/>
      <queryTableField id="2" name="Finca" tableColumnId="2"/>
      <queryTableField id="4" name="Jornales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00000000-0016-0000-0300-000003000000}" autoFormatId="16" applyNumberFormats="0" applyBorderFormats="0" applyFontFormats="0" applyPatternFormats="0" applyAlignmentFormats="0" applyWidthHeightFormats="0">
  <queryTableRefresh nextId="9">
    <queryTableFields count="4">
      <queryTableField id="5" name="Faenas" tableColumnId="5"/>
      <queryTableField id="2" name="Finca" tableColumnId="2"/>
      <queryTableField id="1" name="Variedad" tableColumnId="1"/>
      <queryTableField id="4" name="Jornales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9" xr16:uid="{00000000-0016-0000-0400-000004000000}" autoFormatId="16" applyNumberFormats="0" applyBorderFormats="0" applyFontFormats="0" applyPatternFormats="0" applyAlignmentFormats="0" applyWidthHeightFormats="0">
  <queryTableRefresh nextId="5">
    <queryTableFields count="4">
      <queryTableField id="1" name="Faenas" tableColumnId="1"/>
      <queryTableField id="2" name="Finca" tableColumnId="2"/>
      <queryTableField id="3" name="Variedad" tableColumnId="3"/>
      <queryTableField id="4" name="Jornales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8" xr16:uid="{00000000-0016-0000-0500-000005000000}" autoFormatId="16" applyNumberFormats="0" applyBorderFormats="0" applyFontFormats="0" applyPatternFormats="0" applyAlignmentFormats="0" applyWidthHeightFormats="0">
  <queryTableRefresh nextId="5">
    <queryTableFields count="4">
      <queryTableField id="1" name="Faenas" tableColumnId="1"/>
      <queryTableField id="2" name="Finca" tableColumnId="2"/>
      <queryTableField id="3" name="Variedad" tableColumnId="3"/>
      <queryTableField id="4" name="Jornales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7" xr16:uid="{00000000-0016-0000-0600-000006000000}" autoFormatId="16" applyNumberFormats="0" applyBorderFormats="0" applyFontFormats="0" applyPatternFormats="0" applyAlignmentFormats="0" applyWidthHeightFormats="0">
  <queryTableRefresh nextId="8" unboundColumnsRight="1">
    <queryTableFields count="6">
      <queryTableField id="1" name="Faenas" tableColumnId="1"/>
      <queryTableField id="2" name="Finca" tableColumnId="2"/>
      <queryTableField id="3" name="Variedad" tableColumnId="3"/>
      <queryTableField id="5" name="Año de plantación" tableColumnId="5"/>
      <queryTableField id="4" name="Jornales" tableColumnId="4"/>
      <queryTableField id="7" dataBound="0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8" xr16:uid="{00000000-0016-0000-0700-000007000000}" autoFormatId="16" applyNumberFormats="0" applyBorderFormats="0" applyFontFormats="0" applyPatternFormats="0" applyAlignmentFormats="0" applyWidthHeightFormats="0">
  <queryTableRefresh nextId="5">
    <queryTableFields count="4">
      <queryTableField id="1" name="Faenas" tableColumnId="1"/>
      <queryTableField id="2" name="Finca" tableColumnId="2"/>
      <queryTableField id="3" name="Variedad" tableColumnId="3"/>
      <queryTableField id="4" name="Jornales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32" xr16:uid="{00000000-0016-0000-0800-000008000000}" autoFormatId="16" applyNumberFormats="0" applyBorderFormats="0" applyFontFormats="0" applyPatternFormats="0" applyAlignmentFormats="0" applyWidthHeightFormats="0">
  <queryTableRefresh nextId="5">
    <queryTableFields count="4">
      <queryTableField id="1" name="Detalle" tableColumnId="1"/>
      <queryTableField id="2" name="MES" tableColumnId="2"/>
      <queryTableField id="3" name="Valor" tableColumnId="3"/>
      <queryTableField id="4" name="Finca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31" xr16:uid="{00000000-0016-0000-0900-000009000000}" autoFormatId="16" applyNumberFormats="0" applyBorderFormats="0" applyFontFormats="0" applyPatternFormats="0" applyAlignmentFormats="0" applyWidthHeightFormats="0">
  <queryTableRefresh nextId="5">
    <queryTableFields count="4">
      <queryTableField id="1" name="Detalle" tableColumnId="1"/>
      <queryTableField id="2" name="MES" tableColumnId="2"/>
      <queryTableField id="3" name="Valor" tableColumnId="3"/>
      <queryTableField id="4" name="Finca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4" xr16:uid="{00000000-0016-0000-0A00-00000A000000}" autoFormatId="16" applyNumberFormats="0" applyBorderFormats="0" applyFontFormats="0" applyPatternFormats="0" applyAlignmentFormats="0" applyWidthHeightFormats="0">
  <queryTableRefresh nextId="6">
    <queryTableFields count="4">
      <queryTableField id="1" name="Detalle" tableColumnId="1"/>
      <queryTableField id="3" name="MES" tableColumnId="3"/>
      <queryTableField id="4" name="Valor" tableColumnId="4"/>
      <queryTableField id="5" name="Finca" tableColumnId="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3" xr16:uid="{00000000-0016-0000-0B00-00000B000000}" autoFormatId="16" applyNumberFormats="0" applyBorderFormats="0" applyFontFormats="0" applyPatternFormats="0" applyAlignmentFormats="0" applyWidthHeightFormats="0">
  <queryTableRefresh nextId="5">
    <queryTableFields count="4">
      <queryTableField id="1" name="Detalle" tableColumnId="1"/>
      <queryTableField id="2" name="MES" tableColumnId="2"/>
      <queryTableField id="3" name="Valor" tableColumnId="3"/>
      <queryTableField id="4" name="Finca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2" xr16:uid="{00000000-0016-0000-1200-00000C000000}" autoFormatId="16" applyNumberFormats="0" applyBorderFormats="0" applyFontFormats="0" applyPatternFormats="0" applyAlignmentFormats="0" applyWidthHeightFormats="0">
  <queryTableRefresh nextId="17">
    <queryTableFields count="4">
      <queryTableField id="1" name="Finca" tableColumnId="1"/>
      <queryTableField id="2" name="Detalle" tableColumnId="2"/>
      <queryTableField id="15" name="MES" tableColumnId="15"/>
      <queryTableField id="16" name="Valor" tableColumnId="16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6" xr16:uid="{00000000-0016-0000-1300-00000D000000}" autoFormatId="16" applyNumberFormats="0" applyBorderFormats="0" applyFontFormats="0" applyPatternFormats="0" applyAlignmentFormats="0" applyWidthHeightFormats="0">
  <queryTableRefresh nextId="5">
    <queryTableFields count="4">
      <queryTableField id="1" name="Finca" tableColumnId="1"/>
      <queryTableField id="2" name="MES" tableColumnId="2"/>
      <queryTableField id="3" name="Valor" tableColumnId="3"/>
      <queryTableField id="4" name="Detalle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0" xr16:uid="{00000000-0016-0000-1400-00000E000000}" autoFormatId="16" applyNumberFormats="0" applyBorderFormats="0" applyFontFormats="0" applyPatternFormats="0" applyAlignmentFormats="0" applyWidthHeightFormats="0">
  <queryTableRefresh nextId="23">
    <queryTableFields count="4">
      <queryTableField id="19" name="Detalle" tableColumnId="19"/>
      <queryTableField id="20" name="MES" tableColumnId="20"/>
      <queryTableField id="21" name="Valor" tableColumnId="21"/>
      <queryTableField id="22" name="Finca" tableColumnId="22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25" xr16:uid="{00000000-0016-0000-1500-00000F000000}" autoFormatId="16" applyNumberFormats="0" applyBorderFormats="0" applyFontFormats="0" applyPatternFormats="0" applyAlignmentFormats="0" applyWidthHeightFormats="0">
  <queryTableRefresh nextId="5">
    <queryTableFields count="4">
      <queryTableField id="1" name="Finca" tableColumnId="1"/>
      <queryTableField id="2" name="Detalle" tableColumnId="2"/>
      <queryTableField id="3" name="MES" tableColumnId="3"/>
      <queryTableField id="4" name="Valor" tableColumnId="4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26" xr16:uid="{00000000-0016-0000-1600-000010000000}" autoFormatId="16" applyNumberFormats="0" applyBorderFormats="0" applyFontFormats="0" applyPatternFormats="0" applyAlignmentFormats="0" applyWidthHeightFormats="0">
  <queryTableRefresh nextId="5">
    <queryTableFields count="4">
      <queryTableField id="1" name="Finca" tableColumnId="1"/>
      <queryTableField id="2" name="Detalle" tableColumnId="2"/>
      <queryTableField id="3" name="MES" tableColumnId="3"/>
      <queryTableField id="4" name="Valor" tableColumnId="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24" xr16:uid="{00000000-0016-0000-1700-000011000000}" autoFormatId="16" applyNumberFormats="0" applyBorderFormats="0" applyFontFormats="0" applyPatternFormats="0" applyAlignmentFormats="0" applyWidthHeightFormats="0">
  <queryTableRefresh nextId="5">
    <queryTableFields count="4">
      <queryTableField id="1" name="Finca" tableColumnId="1"/>
      <queryTableField id="2" name="Detalle" tableColumnId="2"/>
      <queryTableField id="3" name="MES" tableColumnId="3"/>
      <queryTableField id="4" name="Valor" tableColumnId="4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23" xr16:uid="{00000000-0016-0000-1800-000012000000}" autoFormatId="16" applyNumberFormats="0" applyBorderFormats="0" applyFontFormats="0" applyPatternFormats="0" applyAlignmentFormats="0" applyWidthHeightFormats="0">
  <queryTableRefresh nextId="5">
    <queryTableFields count="4">
      <queryTableField id="1" name="Finca" tableColumnId="1"/>
      <queryTableField id="2" name="Detalle" tableColumnId="2"/>
      <queryTableField id="3" name="MES" tableColumnId="3"/>
      <queryTableField id="4" name="Valor" tableColumnId="4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11" xr16:uid="{00000000-0016-0000-1900-000013000000}" autoFormatId="16" applyNumberFormats="0" applyBorderFormats="0" applyFontFormats="0" applyPatternFormats="0" applyAlignmentFormats="0" applyWidthHeightFormats="0">
  <queryTableRefresh nextId="5">
    <queryTableFields count="4">
      <queryTableField id="1" name="Detalle" tableColumnId="1"/>
      <queryTableField id="2" name="Finca" tableColumnId="2"/>
      <queryTableField id="3" name="MES" tableColumnId="3"/>
      <queryTableField id="4" name="Valor" tableColumnId="4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5" xr16:uid="{00000000-0016-0000-1A00-000014000000}" autoFormatId="16" applyNumberFormats="0" applyBorderFormats="0" applyFontFormats="0" applyPatternFormats="0" applyAlignmentFormats="0" applyWidthHeightFormats="0">
  <queryTableRefresh nextId="5">
    <queryTableFields count="4">
      <queryTableField id="1" name="Detalle" tableColumnId="1"/>
      <queryTableField id="2" name="Finca" tableColumnId="2"/>
      <queryTableField id="3" name="MES" tableColumnId="3"/>
      <queryTableField id="4" name="Valor" tableColumnId="4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13" xr16:uid="{00000000-0016-0000-1B00-000015000000}" autoFormatId="16" applyNumberFormats="0" applyBorderFormats="0" applyFontFormats="0" applyPatternFormats="0" applyAlignmentFormats="0" applyWidthHeightFormats="0">
  <queryTableRefresh nextId="5">
    <queryTableFields count="4">
      <queryTableField id="1" name="Detalle" tableColumnId="1"/>
      <queryTableField id="2" name="Finca" tableColumnId="2"/>
      <queryTableField id="3" name="MES" tableColumnId="3"/>
      <queryTableField id="4" name="Valor" tableColumnId="4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2" xr16:uid="{00000000-0016-0000-1C00-000016000000}" autoFormatId="16" applyNumberFormats="0" applyBorderFormats="0" applyFontFormats="0" applyPatternFormats="0" applyAlignmentFormats="0" applyWidthHeightFormats="0">
  <queryTableRefresh nextId="5">
    <queryTableFields count="4">
      <queryTableField id="1" name="Detalle" tableColumnId="1"/>
      <queryTableField id="2" name="Finca" tableColumnId="2"/>
      <queryTableField id="3" name="MES" tableColumnId="3"/>
      <queryTableField id="4" name="Valor" tableColumnId="4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4" xr16:uid="{00000000-0016-0000-1D00-000017000000}" autoFormatId="16" applyNumberFormats="0" applyBorderFormats="0" applyFontFormats="0" applyPatternFormats="0" applyAlignmentFormats="0" applyWidthHeightFormats="0">
  <queryTableRefresh nextId="5">
    <queryTableFields count="4">
      <queryTableField id="1" name="Detalle" tableColumnId="1"/>
      <queryTableField id="2" name="Finca" tableColumnId="2"/>
      <queryTableField id="3" name="MES" tableColumnId="3"/>
      <queryTableField id="4" name="Valor" tableColumnId="4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4" xr16:uid="{00000000-0016-0000-1E00-000018000000}" autoFormatId="16" applyNumberFormats="0" applyBorderFormats="0" applyFontFormats="0" applyPatternFormats="0" applyAlignmentFormats="0" applyWidthHeightFormats="0">
  <queryTableRefresh nextId="5">
    <queryTableFields count="4">
      <queryTableField id="1" name="Finca" tableColumnId="1"/>
      <queryTableField id="2" name="Detalle" tableColumnId="2"/>
      <queryTableField id="3" name="MES" tableColumnId="3"/>
      <queryTableField id="4" name="Valor" tableColumnId="4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00000000-0016-0000-1F00-000019000000}" autoFormatId="16" applyNumberFormats="0" applyBorderFormats="0" applyFontFormats="0" applyPatternFormats="0" applyAlignmentFormats="0" applyWidthHeightFormats="0">
  <queryTableRefresh nextId="115" unboundColumnsRight="13">
    <queryTableFields count="19">
      <queryTableField id="1" name="Finca" tableColumnId="1"/>
      <queryTableField id="4" name="Variedad" tableColumnId="4"/>
      <queryTableField id="96" name="Faena" tableColumnId="96"/>
      <queryTableField id="24" name="Tipo de Cosecha" tableColumnId="24"/>
      <queryTableField id="97" name="KG uva" tableColumnId="97"/>
      <queryTableField id="98" name="Jornales" tableColumnId="98"/>
      <queryTableField id="100" dataBound="0" tableColumnId="99"/>
      <queryTableField id="101" dataBound="0" tableColumnId="100"/>
      <queryTableField id="102" dataBound="0" tableColumnId="101"/>
      <queryTableField id="104" dataBound="0" tableColumnId="103"/>
      <queryTableField id="105" dataBound="0" tableColumnId="104"/>
      <queryTableField id="106" dataBound="0" tableColumnId="105"/>
      <queryTableField id="107" dataBound="0" tableColumnId="106"/>
      <queryTableField id="108" dataBound="0" tableColumnId="107"/>
      <queryTableField id="110" dataBound="0" tableColumnId="2"/>
      <queryTableField id="111" dataBound="0" tableColumnId="3"/>
      <queryTableField id="112" dataBound="0" tableColumnId="5"/>
      <queryTableField id="113" dataBound="0" tableColumnId="6"/>
      <queryTableField id="114" dataBound="0" tableColumnId="7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28" xr16:uid="{00000000-0016-0000-2000-00001A000000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Finca" tableColumnId="1"/>
      <queryTableField id="2" name="Variedad" tableColumnId="2"/>
      <queryTableField id="3" name="Faena" tableColumnId="3"/>
      <queryTableField id="4" name="Tipo de Cosecha" tableColumnId="4"/>
      <queryTableField id="5" name="KG uva" tableColumnId="5"/>
      <queryTableField id="6" name="Jornales" tableColumnId="6"/>
      <queryTableField id="7" dataBound="0" tableColumnId="7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29" xr16:uid="{00000000-0016-0000-2100-00001B000000}" autoFormatId="16" applyNumberFormats="0" applyBorderFormats="0" applyFontFormats="0" applyPatternFormats="0" applyAlignmentFormats="0" applyWidthHeightFormats="0">
  <queryTableRefresh nextId="5">
    <queryTableFields count="4">
      <queryTableField id="1" name="Finca" tableColumnId="1"/>
      <queryTableField id="2" name="Detalle" tableColumnId="2"/>
      <queryTableField id="3" name="MES" tableColumnId="3"/>
      <queryTableField id="4" name="Valor" tableColumnId="4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0" xr16:uid="{00000000-0016-0000-2200-00001C000000}" autoFormatId="16" applyNumberFormats="0" applyBorderFormats="0" applyFontFormats="0" applyPatternFormats="0" applyAlignmentFormats="0" applyWidthHeightFormats="0">
  <queryTableRefresh nextId="5">
    <queryTableFields count="4">
      <queryTableField id="1" name="Valor" tableColumnId="1"/>
      <queryTableField id="2" name="Finca" tableColumnId="2"/>
      <queryTableField id="3" name="MES" tableColumnId="3"/>
      <queryTableField id="4" name="Detalle" tableColumnId="4"/>
    </queryTable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7" xr16:uid="{00000000-0016-0000-2500-00001D000000}" autoFormatId="16" applyNumberFormats="0" applyBorderFormats="0" applyFontFormats="0" applyPatternFormats="0" applyAlignmentFormats="0" applyWidthHeightFormats="0">
  <queryTableRefresh nextId="5">
    <queryTableFields count="4">
      <queryTableField id="1" name="MES" tableColumnId="1"/>
      <queryTableField id="2" name="Finca" tableColumnId="2"/>
      <queryTableField id="3" name="Valor" tableColumnId="3"/>
      <queryTableField id="4" name="Detalle" tableColumnId="4"/>
    </queryTable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9" xr16:uid="{00000000-0016-0000-2A00-00001E000000}" autoFormatId="16" applyNumberFormats="0" applyBorderFormats="0" applyFontFormats="0" applyPatternFormats="0" applyAlignmentFormats="0" applyWidthHeightFormats="0">
  <queryTableRefresh nextId="5">
    <queryTableFields count="4">
      <queryTableField id="1" name="MES" tableColumnId="1"/>
      <queryTableField id="2" name="Valor" tableColumnId="2"/>
      <queryTableField id="3" name="Finca" tableColumnId="3"/>
      <queryTableField id="4" name="Detalle" tableColumnId="4"/>
    </queryTableFields>
  </queryTableRefresh>
</queryTable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1" xr16:uid="{00000000-0016-0000-2B00-00001F000000}" autoFormatId="16" applyNumberFormats="0" applyBorderFormats="0" applyFontFormats="0" applyPatternFormats="0" applyAlignmentFormats="0" applyWidthHeightFormats="0">
  <queryTableRefresh nextId="5">
    <queryTableFields count="4">
      <queryTableField id="1" name="Detalle" tableColumnId="1"/>
      <queryTableField id="2" name="MES" tableColumnId="2"/>
      <queryTableField id="3" name="Valor" tableColumnId="3"/>
      <queryTableField id="4" name="Finca" tableColumnId="4"/>
    </queryTableFields>
  </queryTableRefresh>
</queryTable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17" xr16:uid="{00000000-0016-0000-2D00-000020000000}" autoFormatId="16" applyNumberFormats="0" applyBorderFormats="0" applyFontFormats="0" applyPatternFormats="0" applyAlignmentFormats="0" applyWidthHeightFormats="0">
  <queryTableRefresh nextId="5">
    <queryTableFields count="4">
      <queryTableField id="1" name="MES" tableColumnId="1"/>
      <queryTableField id="2" name="Finca" tableColumnId="2"/>
      <queryTableField id="3" name="Valor" tableColumnId="3"/>
      <queryTableField id="4" name="Detalle" tableColumnId="4"/>
    </queryTableFields>
  </queryTableRefresh>
</queryTable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2" xr16:uid="{00000000-0016-0000-2F00-000021000000}" autoFormatId="16" applyNumberFormats="0" applyBorderFormats="0" applyFontFormats="0" applyPatternFormats="0" applyAlignmentFormats="0" applyWidthHeightFormats="0">
  <queryTableRefresh nextId="9" unboundColumnsRight="3">
    <queryTableFields count="7">
      <queryTableField id="1" name="Detalle" tableColumnId="1"/>
      <queryTableField id="2" name="MES" tableColumnId="2"/>
      <queryTableField id="3" name="Valor" tableColumnId="3"/>
      <queryTableField id="4" name="Finca" tableColumnId="4"/>
      <queryTableField id="6" dataBound="0" tableColumnId="6"/>
      <queryTableField id="7" dataBound="0" tableColumnId="7"/>
      <queryTableField id="8" dataBound="0" tableColumnId="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inca1" xr10:uid="{00000000-0013-0000-FFFF-FFFF01000000}" sourceName="Finca">
  <pivotTables>
    <pivotTable tabId="18" name="TablaDinámica1"/>
  </pivotTables>
  <data>
    <tabular pivotCacheId="1636462337">
      <items count="5">
        <i x="0" s="1"/>
        <i x="3" s="1"/>
        <i x="4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inca" xr10:uid="{00000000-0013-0000-FFFF-FFFF02000000}" sourceName="Finca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ariedad" xr10:uid="{00000000-0013-0000-FFFF-FFFF03000000}" sourceName="Variedad">
  <extLst>
    <x:ext xmlns:x15="http://schemas.microsoft.com/office/spreadsheetml/2010/11/main" uri="{2F2917AC-EB37-4324-AD4E-5DD8C200BD13}">
      <x15:tableSlicerCache tableId="1" column="4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inca" xr10:uid="{00000000-0014-0000-FFFF-FFFF01000000}" cache="SegmentaciónDeDatos_Finca" caption="Finca" rowHeight="241300"/>
  <slicer name="Variedad" xr10:uid="{00000000-0014-0000-FFFF-FFFF02000000}" cache="SegmentaciónDeDatos_Variedad" caption="Variedad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inca 1" xr10:uid="{00000000-0014-0000-FFFF-FFFF03000000}" cache="SegmentaciónDeDatos_Finca1" caption="Finca" columnCount="5" showCaption="0" style="SlicerStyleDark5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3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_rels/table4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tables/_rels/table4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PA_Gen" displayName="PA_Gen" ref="A1:D49" tableType="queryTable" totalsRowShown="0">
  <autoFilter ref="A1:D49" xr:uid="{00000000-0009-0000-0100-000006000000}"/>
  <tableColumns count="4">
    <tableColumn id="1" xr3:uid="{00000000-0010-0000-0000-000001000000}" uniqueName="1" name="Faenas" queryTableFieldId="1" dataDxfId="440"/>
    <tableColumn id="2" xr3:uid="{00000000-0010-0000-0000-000002000000}" uniqueName="2" name="Finca" queryTableFieldId="2" dataDxfId="439"/>
    <tableColumn id="3" xr3:uid="{00000000-0010-0000-0000-000003000000}" uniqueName="3" name="Variedad" queryTableFieldId="3" dataDxfId="438"/>
    <tableColumn id="4" xr3:uid="{00000000-0010-0000-0000-000004000000}" uniqueName="4" name="Jornales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PA_Esp" displayName="PA_Esp" ref="A1:D40" tableType="queryTable" totalsRowShown="0">
  <autoFilter ref="A1:D40" xr:uid="{00000000-0009-0000-0100-000005000000}"/>
  <tableColumns count="4">
    <tableColumn id="1" xr3:uid="{00000000-0010-0000-0100-000001000000}" uniqueName="1" name="Faenas" queryTableFieldId="1" dataDxfId="437"/>
    <tableColumn id="2" xr3:uid="{00000000-0010-0000-0100-000002000000}" uniqueName="2" name="Finca" queryTableFieldId="2" dataDxfId="436"/>
    <tableColumn id="3" xr3:uid="{00000000-0010-0000-0100-000003000000}" uniqueName="3" name="Variedad" queryTableFieldId="3" dataDxfId="435"/>
    <tableColumn id="4" xr3:uid="{00000000-0010-0000-0100-000004000000}" uniqueName="4" name="Jornales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CT_Gen" displayName="CT_Gen" ref="A1:C20" tableType="queryTable" totalsRowCount="1">
  <autoFilter ref="A1:C19" xr:uid="{00000000-0009-0000-0100-000004000000}"/>
  <tableColumns count="3">
    <tableColumn id="1" xr3:uid="{00000000-0010-0000-0200-000001000000}" uniqueName="1" name="Faenas" queryTableFieldId="1" dataDxfId="434"/>
    <tableColumn id="2" xr3:uid="{00000000-0010-0000-0200-000002000000}" uniqueName="2" name="Finca" queryTableFieldId="2" dataDxfId="433"/>
    <tableColumn id="4" xr3:uid="{00000000-0010-0000-0200-000004000000}" uniqueName="4" name="Jornales" totalsRowFunction="sum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CT_Esp" displayName="CT_Esp" ref="A1:D67" tableType="queryTable" totalsRowCount="1">
  <autoFilter ref="A1:D66" xr:uid="{00000000-0009-0000-0100-000003000000}"/>
  <tableColumns count="4">
    <tableColumn id="5" xr3:uid="{00000000-0010-0000-0300-000005000000}" uniqueName="5" name="Faenas" queryTableFieldId="5" dataDxfId="432"/>
    <tableColumn id="2" xr3:uid="{00000000-0010-0000-0300-000002000000}" uniqueName="2" name="Finca" queryTableFieldId="2" dataDxfId="431"/>
    <tableColumn id="1" xr3:uid="{00000000-0010-0000-0300-000001000000}" uniqueName="1" name="Variedad" queryTableFieldId="1" dataDxfId="430"/>
    <tableColumn id="4" xr3:uid="{00000000-0010-0000-0300-000004000000}" uniqueName="4" name="Jornales" totalsRowFunction="sum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LCH_Gen" displayName="LCH_Gen" ref="A1:D52" tableType="queryTable" totalsRowShown="0">
  <autoFilter ref="A1:D52" xr:uid="{00000000-0009-0000-0100-000008000000}"/>
  <tableColumns count="4">
    <tableColumn id="1" xr3:uid="{00000000-0010-0000-0400-000001000000}" uniqueName="1" name="Faenas" queryTableFieldId="1" dataDxfId="429"/>
    <tableColumn id="2" xr3:uid="{00000000-0010-0000-0400-000002000000}" uniqueName="2" name="Finca" queryTableFieldId="2" dataDxfId="428"/>
    <tableColumn id="3" xr3:uid="{00000000-0010-0000-0400-000003000000}" uniqueName="3" name="Variedad" queryTableFieldId="3" dataDxfId="427"/>
    <tableColumn id="4" xr3:uid="{00000000-0010-0000-0400-000004000000}" uniqueName="4" name="Jornales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LCH_Esp" displayName="LCH_Esp" ref="A1:D40" tableType="queryTable" totalsRowShown="0">
  <autoFilter ref="A1:D40" xr:uid="{00000000-0009-0000-0100-000007000000}"/>
  <tableColumns count="4">
    <tableColumn id="1" xr3:uid="{00000000-0010-0000-0500-000001000000}" uniqueName="1" name="Faenas" queryTableFieldId="1" dataDxfId="426"/>
    <tableColumn id="2" xr3:uid="{00000000-0010-0000-0500-000002000000}" uniqueName="2" name="Finca" queryTableFieldId="2" dataDxfId="425"/>
    <tableColumn id="3" xr3:uid="{00000000-0010-0000-0500-000003000000}" uniqueName="3" name="Variedad" queryTableFieldId="3" dataDxfId="424"/>
    <tableColumn id="4" xr3:uid="{00000000-0010-0000-0500-000004000000}" uniqueName="4" name="Jornales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6000000}" name="EE_Esp" displayName="EE_Esp" ref="A1:F81" tableType="queryTable" totalsRowShown="0">
  <autoFilter ref="A1:F81" xr:uid="{00000000-0009-0000-0100-00000A000000}"/>
  <tableColumns count="6">
    <tableColumn id="1" xr3:uid="{00000000-0010-0000-0600-000001000000}" uniqueName="1" name="Faenas" queryTableFieldId="1" dataDxfId="423"/>
    <tableColumn id="2" xr3:uid="{00000000-0010-0000-0600-000002000000}" uniqueName="2" name="Finca" queryTableFieldId="2" dataDxfId="422"/>
    <tableColumn id="3" xr3:uid="{00000000-0010-0000-0600-000003000000}" uniqueName="3" name="Variedad" queryTableFieldId="3" dataDxfId="421"/>
    <tableColumn id="5" xr3:uid="{00000000-0010-0000-0600-000005000000}" uniqueName="5" name="Año de plantación" queryTableFieldId="5" dataDxfId="420"/>
    <tableColumn id="4" xr3:uid="{00000000-0010-0000-0600-000004000000}" uniqueName="4" name="Jornales" queryTableFieldId="4"/>
    <tableColumn id="6" xr3:uid="{00000000-0010-0000-0600-000006000000}" uniqueName="6" name="Txt ref" queryTableFieldId="7" dataDxfId="419">
      <calculatedColumnFormula>+EE_Esp[[#This Row],[Variedad]]&amp;" "&amp;EE_Esp[[#This Row],[Año de plantación]]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EE_Gen" displayName="EE_Gen" ref="A1:D127" tableType="queryTable" totalsRowShown="0">
  <autoFilter ref="A1:D127" xr:uid="{00000000-0009-0000-0100-000009000000}"/>
  <tableColumns count="4">
    <tableColumn id="1" xr3:uid="{00000000-0010-0000-0700-000001000000}" uniqueName="1" name="Faenas" queryTableFieldId="1" dataDxfId="418"/>
    <tableColumn id="2" xr3:uid="{00000000-0010-0000-0700-000002000000}" uniqueName="2" name="Finca" queryTableFieldId="2" dataDxfId="417"/>
    <tableColumn id="3" xr3:uid="{00000000-0010-0000-0700-000003000000}" uniqueName="3" name="Variedad" queryTableFieldId="3" dataDxfId="416"/>
    <tableColumn id="4" xr3:uid="{00000000-0010-0000-0700-000004000000}" uniqueName="4" name="Jornales" queryTableField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Visualización_Jornales_EE_III" displayName="Visualización_Jornales_EE_III" ref="A1:D25" tableType="queryTable" totalsRowShown="0">
  <autoFilter ref="A1:D25" xr:uid="{00000000-0009-0000-0100-000010000000}"/>
  <tableColumns count="4">
    <tableColumn id="1" xr3:uid="{00000000-0010-0000-0800-000001000000}" uniqueName="1" name="Detalle" queryTableFieldId="1" dataDxfId="415"/>
    <tableColumn id="2" xr3:uid="{00000000-0010-0000-0800-000002000000}" uniqueName="2" name="MES" queryTableFieldId="2" dataDxfId="414"/>
    <tableColumn id="3" xr3:uid="{00000000-0010-0000-0800-000003000000}" uniqueName="3" name="Valor" queryTableFieldId="3"/>
    <tableColumn id="4" xr3:uid="{00000000-0010-0000-0800-000004000000}" uniqueName="4" name="Finca" queryTableFieldId="4" dataDxfId="41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9000000}" name="Visualización_Jornales_EE_I_y_II" displayName="Visualización_Jornales_EE_I_y_II" ref="A1:D25" tableType="queryTable" totalsRowShown="0">
  <autoFilter ref="A1:D25" xr:uid="{00000000-0009-0000-0100-00000F000000}"/>
  <tableColumns count="4">
    <tableColumn id="1" xr3:uid="{00000000-0010-0000-0900-000001000000}" uniqueName="1" name="Detalle" queryTableFieldId="1" dataDxfId="412"/>
    <tableColumn id="2" xr3:uid="{00000000-0010-0000-0900-000002000000}" uniqueName="2" name="MES" queryTableFieldId="2" dataDxfId="411"/>
    <tableColumn id="3" xr3:uid="{00000000-0010-0000-0900-000003000000}" uniqueName="3" name="Valor" queryTableFieldId="3"/>
    <tableColumn id="4" xr3:uid="{00000000-0010-0000-0900-000004000000}" uniqueName="4" name="Finca" queryTableFieldId="4" dataDxfId="41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A000000}" name="Visualización_Jornales_PA" displayName="Visualización_Jornales_PA" ref="A1:D25" tableType="queryTable" totalsRowShown="0">
  <autoFilter ref="A1:D25" xr:uid="{00000000-0009-0000-0100-00000E000000}"/>
  <tableColumns count="4">
    <tableColumn id="1" xr3:uid="{00000000-0010-0000-0A00-000001000000}" uniqueName="1" name="Detalle" queryTableFieldId="1" dataDxfId="409"/>
    <tableColumn id="3" xr3:uid="{00000000-0010-0000-0A00-000003000000}" uniqueName="3" name="MES" queryTableFieldId="3" dataDxfId="408"/>
    <tableColumn id="4" xr3:uid="{00000000-0010-0000-0A00-000004000000}" uniqueName="4" name="Valor" queryTableFieldId="4"/>
    <tableColumn id="5" xr3:uid="{00000000-0010-0000-0A00-000005000000}" uniqueName="5" name="Finca" queryTableFieldId="5" dataDxfId="40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B000000}" name="Visualización_Jornales_LCH" displayName="Visualización_Jornales_LCH" ref="A1:D25" tableType="queryTable" totalsRowShown="0">
  <autoFilter ref="A1:D25" xr:uid="{00000000-0009-0000-0100-00000D000000}"/>
  <tableColumns count="4">
    <tableColumn id="1" xr3:uid="{00000000-0010-0000-0B00-000001000000}" uniqueName="1" name="Detalle" queryTableFieldId="1" dataDxfId="406"/>
    <tableColumn id="2" xr3:uid="{00000000-0010-0000-0B00-000002000000}" uniqueName="2" name="MES" queryTableFieldId="2" dataDxfId="405"/>
    <tableColumn id="3" xr3:uid="{00000000-0010-0000-0B00-000003000000}" uniqueName="3" name="Valor" queryTableFieldId="3"/>
    <tableColumn id="4" xr3:uid="{00000000-0010-0000-0B00-000004000000}" uniqueName="4" name="Finca" queryTableFieldId="4" dataDxfId="40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C000000}" name="Personal_Camino_Truncado" displayName="Personal_Camino_Truncado" ref="A1:D49" tableType="queryTable" totalsRowShown="0">
  <autoFilter ref="A1:D49" xr:uid="{00000000-0009-0000-0100-000013000000}"/>
  <tableColumns count="4">
    <tableColumn id="1" xr3:uid="{00000000-0010-0000-0C00-000001000000}" uniqueName="1" name="Finca" queryTableFieldId="1"/>
    <tableColumn id="2" xr3:uid="{00000000-0010-0000-0C00-000002000000}" uniqueName="2" name="Detalle" queryTableFieldId="2"/>
    <tableColumn id="15" xr3:uid="{00000000-0010-0000-0C00-00000F000000}" uniqueName="15" name="MES" queryTableFieldId="15" dataDxfId="302"/>
    <tableColumn id="16" xr3:uid="{00000000-0010-0000-0C00-000010000000}" uniqueName="16" name="Valor" queryTableFieldId="16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D000000}" name="Fletes_Varios" displayName="Fletes_Varios" ref="A1:D61" tableType="queryTable" totalsRowShown="0">
  <autoFilter ref="A1:D61" xr:uid="{00000000-0009-0000-0100-00001D000000}"/>
  <tableColumns count="4">
    <tableColumn id="1" xr3:uid="{00000000-0010-0000-0D00-000001000000}" uniqueName="1" name="Finca" queryTableFieldId="1" dataDxfId="301"/>
    <tableColumn id="2" xr3:uid="{00000000-0010-0000-0D00-000002000000}" uniqueName="2" name="MES" queryTableFieldId="2" dataDxfId="300"/>
    <tableColumn id="3" xr3:uid="{00000000-0010-0000-0D00-000003000000}" uniqueName="3" name="Valor" queryTableFieldId="3"/>
    <tableColumn id="4" xr3:uid="{00000000-0010-0000-0D00-000004000000}" uniqueName="4" name="Detalle" queryTableFieldId="4" dataDxfId="299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E000000}" name="Visualización_Jornales_CT" displayName="Visualización_Jornales_CT" ref="A1:D25" tableType="queryTable" totalsRowShown="0">
  <autoFilter ref="A1:D25" xr:uid="{00000000-0009-0000-0100-00000C000000}"/>
  <tableColumns count="4">
    <tableColumn id="19" xr3:uid="{00000000-0010-0000-0E00-000013000000}" uniqueName="19" name="Detalle" queryTableFieldId="19" dataDxfId="298"/>
    <tableColumn id="20" xr3:uid="{00000000-0010-0000-0E00-000014000000}" uniqueName="20" name="MES" queryTableFieldId="20" dataDxfId="297"/>
    <tableColumn id="21" xr3:uid="{00000000-0010-0000-0E00-000015000000}" uniqueName="21" name="Valor" queryTableFieldId="21"/>
    <tableColumn id="22" xr3:uid="{00000000-0010-0000-0E00-000016000000}" uniqueName="22" name="Finca" queryTableFieldId="22" dataDxfId="296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F000000}" name="Personal_La_Chimbera" displayName="Personal_La_Chimbera" ref="A1:D49" tableType="queryTable" totalsRowShown="0">
  <autoFilter ref="A1:D49" xr:uid="{00000000-0009-0000-0100-000015000000}"/>
  <tableColumns count="4">
    <tableColumn id="1" xr3:uid="{00000000-0010-0000-0F00-000001000000}" uniqueName="1" name="Finca" queryTableFieldId="1"/>
    <tableColumn id="2" xr3:uid="{00000000-0010-0000-0F00-000002000000}" uniqueName="2" name="Detalle" queryTableFieldId="2"/>
    <tableColumn id="3" xr3:uid="{00000000-0010-0000-0F00-000003000000}" uniqueName="3" name="MES" queryTableFieldId="3" dataDxfId="295"/>
    <tableColumn id="4" xr3:uid="{00000000-0010-0000-0F00-000004000000}" uniqueName="4" name="Valor" queryTableFieldId="4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0000000}" name="Personal_Puente_Alto" displayName="Personal_Puente_Alto" ref="A1:D49" tableType="queryTable" totalsRowShown="0">
  <autoFilter ref="A1:D49" xr:uid="{00000000-0009-0000-0100-000014000000}"/>
  <tableColumns count="4">
    <tableColumn id="1" xr3:uid="{00000000-0010-0000-1000-000001000000}" uniqueName="1" name="Finca" queryTableFieldId="1"/>
    <tableColumn id="2" xr3:uid="{00000000-0010-0000-1000-000002000000}" uniqueName="2" name="Detalle" queryTableFieldId="2"/>
    <tableColumn id="3" xr3:uid="{00000000-0010-0000-1000-000003000000}" uniqueName="3" name="MES" queryTableFieldId="3" dataDxfId="294"/>
    <tableColumn id="4" xr3:uid="{00000000-0010-0000-1000-000004000000}" uniqueName="4" name="Valor" queryTableFieldId="4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1000000}" name="Personal_El_Espejo_III" displayName="Personal_El_Espejo_III" ref="A1:D37" tableType="queryTable" totalsRowShown="0">
  <autoFilter ref="A1:D37" xr:uid="{00000000-0009-0000-0100-000017000000}"/>
  <tableColumns count="4">
    <tableColumn id="1" xr3:uid="{00000000-0010-0000-1100-000001000000}" uniqueName="1" name="Finca" queryTableFieldId="1"/>
    <tableColumn id="2" xr3:uid="{00000000-0010-0000-1100-000002000000}" uniqueName="2" name="Detalle" queryTableFieldId="2"/>
    <tableColumn id="3" xr3:uid="{00000000-0010-0000-1100-000003000000}" uniqueName="3" name="MES" queryTableFieldId="3" dataDxfId="293"/>
    <tableColumn id="4" xr3:uid="{00000000-0010-0000-1100-000004000000}" uniqueName="4" name="Valor" queryTableFieldId="4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2000000}" name="Personal_El_Espejo_I_y_II" displayName="Personal_El_Espejo_I_y_II" ref="A1:D37" tableType="queryTable" totalsRowShown="0">
  <autoFilter ref="A1:D37" xr:uid="{00000000-0009-0000-0100-000016000000}"/>
  <tableColumns count="4">
    <tableColumn id="1" xr3:uid="{00000000-0010-0000-1200-000001000000}" uniqueName="1" name="Finca" queryTableFieldId="1"/>
    <tableColumn id="2" xr3:uid="{00000000-0010-0000-1200-000002000000}" uniqueName="2" name="Detalle" queryTableFieldId="2"/>
    <tableColumn id="3" xr3:uid="{00000000-0010-0000-1200-000003000000}" uniqueName="3" name="MES" queryTableFieldId="3" dataDxfId="292"/>
    <tableColumn id="4" xr3:uid="{00000000-0010-0000-1200-000004000000}" uniqueName="4" name="Valor" queryTableFieldId="4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3000000}" name="Fito_CT" displayName="Fito_CT" ref="A1:D89" tableType="queryTable" totalsRowShown="0">
  <autoFilter ref="A1:D89" xr:uid="{00000000-0009-0000-0100-000018000000}"/>
  <tableColumns count="4">
    <tableColumn id="1" xr3:uid="{00000000-0010-0000-1300-000001000000}" uniqueName="1" name="Detalle" queryTableFieldId="1" dataDxfId="291"/>
    <tableColumn id="2" xr3:uid="{00000000-0010-0000-1300-000002000000}" uniqueName="2" name="Finca" queryTableFieldId="2"/>
    <tableColumn id="3" xr3:uid="{00000000-0010-0000-1300-000003000000}" uniqueName="3" name="MES" queryTableFieldId="3" dataDxfId="290"/>
    <tableColumn id="4" xr3:uid="{00000000-0010-0000-1300-000004000000}" uniqueName="4" name="Valor" queryTableFieldId="4" dataDxfId="289" dataCellStyle="Millares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4000000}" name="Fito_PA" displayName="Fito_PA" ref="A1:D89" tableType="queryTable" totalsRowShown="0">
  <autoFilter ref="A1:D89" xr:uid="{00000000-0009-0000-0100-00001A000000}"/>
  <tableColumns count="4">
    <tableColumn id="1" xr3:uid="{00000000-0010-0000-1400-000001000000}" uniqueName="1" name="Detalle" queryTableFieldId="1"/>
    <tableColumn id="2" xr3:uid="{00000000-0010-0000-1400-000002000000}" uniqueName="2" name="Finca" queryTableFieldId="2"/>
    <tableColumn id="3" xr3:uid="{00000000-0010-0000-1400-000003000000}" uniqueName="3" name="MES" queryTableFieldId="3" dataDxfId="288"/>
    <tableColumn id="4" xr3:uid="{00000000-0010-0000-1400-000004000000}" uniqueName="4" name="Valor" queryTableFieldId="4" dataDxfId="287" dataCellStyle="Millares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5000000}" name="Fito_EE_III" displayName="Fito_EE_III" ref="A1:D89" tableType="queryTable" totalsRowShown="0">
  <autoFilter ref="A1:D89" xr:uid="{00000000-0009-0000-0100-00001C000000}"/>
  <tableColumns count="4">
    <tableColumn id="1" xr3:uid="{00000000-0010-0000-1500-000001000000}" uniqueName="1" name="Detalle" queryTableFieldId="1"/>
    <tableColumn id="2" xr3:uid="{00000000-0010-0000-1500-000002000000}" uniqueName="2" name="Finca" queryTableFieldId="2"/>
    <tableColumn id="3" xr3:uid="{00000000-0010-0000-1500-000003000000}" uniqueName="3" name="MES" queryTableFieldId="3" dataDxfId="286"/>
    <tableColumn id="4" xr3:uid="{00000000-0010-0000-1500-000004000000}" uniqueName="4" name="Valor" queryTableFieldId="4" dataDxfId="285" dataCellStyle="Millares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6000000}" name="Fito_EE_I_y_II" displayName="Fito_EE_I_y_II" ref="A1:D89" tableType="queryTable" totalsRowShown="0">
  <autoFilter ref="A1:D89" xr:uid="{00000000-0009-0000-0100-00001B000000}"/>
  <tableColumns count="4">
    <tableColumn id="1" xr3:uid="{00000000-0010-0000-1600-000001000000}" uniqueName="1" name="Detalle" queryTableFieldId="1"/>
    <tableColumn id="2" xr3:uid="{00000000-0010-0000-1600-000002000000}" uniqueName="2" name="Finca" queryTableFieldId="2"/>
    <tableColumn id="3" xr3:uid="{00000000-0010-0000-1600-000003000000}" uniqueName="3" name="MES" queryTableFieldId="3" dataDxfId="284"/>
    <tableColumn id="4" xr3:uid="{00000000-0010-0000-1600-000004000000}" uniqueName="4" name="Valor" queryTableFieldId="4" dataDxfId="283" dataCellStyle="Millares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7000000}" name="Fito_LCH" displayName="Fito_LCH" ref="A1:D89" tableType="queryTable" totalsRowShown="0">
  <autoFilter ref="A1:D89" xr:uid="{00000000-0009-0000-0100-000019000000}"/>
  <tableColumns count="4">
    <tableColumn id="1" xr3:uid="{00000000-0010-0000-1700-000001000000}" uniqueName="1" name="Detalle" queryTableFieldId="1"/>
    <tableColumn id="2" xr3:uid="{00000000-0010-0000-1700-000002000000}" uniqueName="2" name="Finca" queryTableFieldId="2"/>
    <tableColumn id="3" xr3:uid="{00000000-0010-0000-1700-000003000000}" uniqueName="3" name="MES" queryTableFieldId="3" dataDxfId="282"/>
    <tableColumn id="4" xr3:uid="{00000000-0010-0000-1700-000004000000}" uniqueName="4" name="Valor" queryTableFieldId="4" dataDxfId="281" dataCellStyle="Millares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8000000}" name="Cosechas_" displayName="Cosechas_" ref="A1:D81" tableType="queryTable" totalsRowShown="0">
  <autoFilter ref="A1:D81" xr:uid="{00000000-0009-0000-0100-000020000000}"/>
  <tableColumns count="4">
    <tableColumn id="1" xr3:uid="{00000000-0010-0000-1800-000001000000}" uniqueName="1" name="Finca" queryTableFieldId="1" dataDxfId="280"/>
    <tableColumn id="2" xr3:uid="{00000000-0010-0000-1800-000002000000}" uniqueName="2" name="Detalle" queryTableFieldId="2" dataDxfId="279"/>
    <tableColumn id="3" xr3:uid="{00000000-0010-0000-1800-000003000000}" uniqueName="3" name="MES" queryTableFieldId="3" dataDxfId="278"/>
    <tableColumn id="4" xr3:uid="{00000000-0010-0000-1800-000004000000}" uniqueName="4" name="Valor" queryTableFieldId="4" dataDxfId="277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9000000}" name="COSECHA" displayName="COSECHA" ref="A1:S114" tableType="queryTable" totalsRowCount="1">
  <autoFilter ref="A1:S113" xr:uid="{00000000-0009-0000-0100-00001E000000}"/>
  <tableColumns count="19">
    <tableColumn id="1" xr3:uid="{00000000-0010-0000-1900-000001000000}" uniqueName="1" name="Finca" queryTableFieldId="1" dataDxfId="276"/>
    <tableColumn id="4" xr3:uid="{00000000-0010-0000-1900-000004000000}" uniqueName="4" name="Variedad" queryTableFieldId="4" dataDxfId="275"/>
    <tableColumn id="96" xr3:uid="{00000000-0010-0000-1900-000060000000}" uniqueName="96" name="Faena" queryTableFieldId="96" dataDxfId="274"/>
    <tableColumn id="24" xr3:uid="{00000000-0010-0000-1900-000018000000}" uniqueName="24" name="Tipo de Cosecha" queryTableFieldId="24" dataDxfId="273"/>
    <tableColumn id="97" xr3:uid="{00000000-0010-0000-1900-000061000000}" uniqueName="97" name="KG uva" queryTableFieldId="97" dataDxfId="272" totalsRowDxfId="271" dataCellStyle="Millares"/>
    <tableColumn id="98" xr3:uid="{00000000-0010-0000-1900-000062000000}" uniqueName="98" name="Jornales" totalsRowFunction="sum" queryTableFieldId="98" dataDxfId="270" totalsRowDxfId="269"/>
    <tableColumn id="99" xr3:uid="{00000000-0010-0000-1900-000063000000}" uniqueName="99" name="Bins" queryTableFieldId="100" dataDxfId="268"/>
    <tableColumn id="100" xr3:uid="{00000000-0010-0000-1900-000064000000}" uniqueName="100" name="KG" totalsRowFunction="sum" queryTableFieldId="101" dataDxfId="267">
      <calculatedColumnFormula>+IFERROR(COSECHA[[#This Row],[KG uva]]/COUNTIFS(COSECHA[Finca],COSECHA[[#This Row],[Finca]],COSECHA[Variedad],COSECHA[[#This Row],[Variedad]],COSECHA[Tipo de Cosecha],COSECHA[[#This Row],[Tipo de Cosecha]]),0)</calculatedColumnFormula>
    </tableColumn>
    <tableColumn id="101" xr3:uid="{00000000-0010-0000-1900-000065000000}" uniqueName="101" name="Días Hab" queryTableFieldId="102" dataDxfId="266"/>
    <tableColumn id="103" xr3:uid="{00000000-0010-0000-1900-000067000000}" uniqueName="103" name="Carros" queryTableFieldId="104" dataDxfId="265"/>
    <tableColumn id="104" xr3:uid="{00000000-0010-0000-1900-000068000000}" uniqueName="104" name="Mes" queryTableFieldId="105" dataDxfId="264"/>
    <tableColumn id="105" xr3:uid="{00000000-0010-0000-1900-000069000000}" uniqueName="105" name="Bins + Carros" totalsRowFunction="sum" queryTableFieldId="106" dataDxfId="263" totalsRowDxfId="262">
      <calculatedColumnFormula>+IFERROR(IF(COSECHA[[#This Row],[Bins]]="",COSECHA[[#This Row],[KG]]*INDEX(Tabla2[Precio Kg Uva Carro],MATCH(COSECHA[[#This Row],[Mes]],Tabla2[Mes],0)),COSECHA[[#This Row],[Bins]]*INDEX(Tabla2[Precio Bins],MATCH(COSECHA[[#This Row],[Mes]],Tabla2[Mes],0))),0)</calculatedColumnFormula>
    </tableColumn>
    <tableColumn id="106" xr3:uid="{00000000-0010-0000-1900-00006A000000}" uniqueName="106" name="Jornales $" totalsRowFunction="sum" queryTableFieldId="107" totalsRowDxfId="261">
      <calculatedColumnFormula>+IFERROR(INDEX(Tabla2[Precio Jornal],MATCH(COSECHA[[#This Row],[Mes]],Tabla2[Mes],0))*COSECHA[[#This Row],[Jornales]],0)</calculatedColumnFormula>
    </tableColumn>
    <tableColumn id="107" xr3:uid="{00000000-0010-0000-1900-00006B000000}" uniqueName="107" name="Cosecha" totalsRowFunction="sum" queryTableFieldId="108" dataDxfId="260" totalsRowDxfId="259">
      <calculatedColumnFormula>+COSECHA[[#This Row],[Jornales $]]+SUM(COSECHA[[#This Row],[PA]:[EE III]])</calculatedColumnFormula>
    </tableColumn>
    <tableColumn id="2" xr3:uid="{00000000-0010-0000-1900-000002000000}" uniqueName="2" name="PA" queryTableFieldId="110" dataDxfId="258">
      <calculatedColumnFormula>+IF(COSECHA[[#This Row],[Finca]]="Puente Alto",INDEX(Tabla2[kg pa],MATCH(COSECHA[[#This Row],[Mes]],Tabla2[Mes],0))*COSECHA[[#This Row],[KG]],"")</calculatedColumnFormula>
    </tableColumn>
    <tableColumn id="3" xr3:uid="{00000000-0010-0000-1900-000003000000}" uniqueName="3" name="CT" queryTableFieldId="111" dataDxfId="257"/>
    <tableColumn id="5" xr3:uid="{00000000-0010-0000-1900-000005000000}" uniqueName="5" name="LCH" queryTableFieldId="112" dataDxfId="256"/>
    <tableColumn id="6" xr3:uid="{00000000-0010-0000-1900-000006000000}" uniqueName="6" name="EE I y II" queryTableFieldId="113" dataDxfId="255"/>
    <tableColumn id="7" xr3:uid="{00000000-0010-0000-1900-000007000000}" uniqueName="7" name="EE III" queryTableFieldId="114" dataDxfId="254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A000000}" name="Cosechas" displayName="Cosechas" ref="U2:Z22" totalsRowShown="0">
  <autoFilter ref="U2:Z22" xr:uid="{00000000-0009-0000-0100-00001F000000}"/>
  <tableColumns count="6">
    <tableColumn id="1" xr3:uid="{00000000-0010-0000-1A00-000001000000}" name="Finca" dataDxfId="253"/>
    <tableColumn id="2" xr3:uid="{00000000-0010-0000-1A00-000002000000}" name="Detalle"/>
    <tableColumn id="3" xr3:uid="{00000000-0010-0000-1A00-000003000000}" name="Enero"/>
    <tableColumn id="4" xr3:uid="{00000000-0010-0000-1A00-000004000000}" name="Febrero"/>
    <tableColumn id="5" xr3:uid="{00000000-0010-0000-1A00-000005000000}" name="Marzo"/>
    <tableColumn id="6" xr3:uid="{00000000-0010-0000-1A00-000006000000}" name="Abril" dataDxfId="252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1B000000}" name="SECADERO" displayName="SECADERO" ref="A1:G218" tableType="queryTable" totalsRowShown="0">
  <autoFilter ref="A1:G218" xr:uid="{00000000-0009-0000-0100-000021000000}"/>
  <tableColumns count="7">
    <tableColumn id="1" xr3:uid="{00000000-0010-0000-1B00-000001000000}" uniqueName="1" name="Finca" queryTableFieldId="1" dataDxfId="251"/>
    <tableColumn id="2" xr3:uid="{00000000-0010-0000-1B00-000002000000}" uniqueName="2" name="Variedad" queryTableFieldId="2" dataDxfId="250"/>
    <tableColumn id="3" xr3:uid="{00000000-0010-0000-1B00-000003000000}" uniqueName="3" name="Faena" queryTableFieldId="3" dataDxfId="249"/>
    <tableColumn id="4" xr3:uid="{00000000-0010-0000-1B00-000004000000}" uniqueName="4" name="Tipo de Cosecha" queryTableFieldId="4" dataDxfId="248"/>
    <tableColumn id="5" xr3:uid="{00000000-0010-0000-1B00-000005000000}" uniqueName="5" name="KG uva" queryTableFieldId="5"/>
    <tableColumn id="6" xr3:uid="{00000000-0010-0000-1B00-000006000000}" uniqueName="6" name="Jornales" queryTableFieldId="6"/>
    <tableColumn id="7" xr3:uid="{00000000-0010-0000-1B00-000007000000}" uniqueName="7" name="KG" queryTableFieldId="7" dataDxfId="247">
      <calculatedColumnFormula>+IFERROR(SECADERO[[#This Row],[KG uva]]/COUNTIFS(SECADERO[Finca],SECADERO[[#This Row],[Finca]],SECADERO[Variedad],SECADERO[[#This Row],[Variedad]],SECADERO[Tipo de Cosecha],SECADERO[[#This Row],[Tipo de Cosecha]]),0)</calculatedColumnFormula>
    </tableColumn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1C000000}" name="Secaderos" displayName="Secaderos" ref="I3:V23" totalsRowShown="0" dataDxfId="246">
  <autoFilter ref="I3:V23" xr:uid="{00000000-0009-0000-0100-000022000000}"/>
  <tableColumns count="14">
    <tableColumn id="1" xr3:uid="{00000000-0010-0000-1C00-000001000000}" name="Finca"/>
    <tableColumn id="2" xr3:uid="{00000000-0010-0000-1C00-000002000000}" name="Detalle"/>
    <tableColumn id="3" xr3:uid="{00000000-0010-0000-1C00-000003000000}" name="Mayo"/>
    <tableColumn id="4" xr3:uid="{00000000-0010-0000-1C00-000004000000}" name="Junio" dataDxfId="245"/>
    <tableColumn id="5" xr3:uid="{00000000-0010-0000-1C00-000005000000}" name="Julio" dataDxfId="244"/>
    <tableColumn id="6" xr3:uid="{00000000-0010-0000-1C00-000006000000}" name="Agosto" dataDxfId="243"/>
    <tableColumn id="7" xr3:uid="{00000000-0010-0000-1C00-000007000000}" name="Septiembre" dataDxfId="242"/>
    <tableColumn id="8" xr3:uid="{00000000-0010-0000-1C00-000008000000}" name="Octubre" dataDxfId="241"/>
    <tableColumn id="9" xr3:uid="{00000000-0010-0000-1C00-000009000000}" name="Noviembre" dataDxfId="240"/>
    <tableColumn id="10" xr3:uid="{00000000-0010-0000-1C00-00000A000000}" name="Diciembre" dataDxfId="239"/>
    <tableColumn id="11" xr3:uid="{00000000-0010-0000-1C00-00000B000000}" name="Enero" dataDxfId="238"/>
    <tableColumn id="12" xr3:uid="{00000000-0010-0000-1C00-00000C000000}" name="Febrero" dataDxfId="237"/>
    <tableColumn id="13" xr3:uid="{00000000-0010-0000-1C00-00000D000000}" name="Marzo" dataDxfId="236"/>
    <tableColumn id="14" xr3:uid="{00000000-0010-0000-1C00-00000E000000}" name="Abril" dataDxfId="235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1D000000}" name="Secaderos_1" displayName="Secaderos_1" ref="A1:D198" tableType="queryTable" totalsRowShown="0">
  <autoFilter ref="A1:D198" xr:uid="{00000000-0009-0000-0100-000023000000}"/>
  <tableColumns count="4">
    <tableColumn id="1" xr3:uid="{00000000-0010-0000-1D00-000001000000}" uniqueName="1" name="Finca" queryTableFieldId="1" dataDxfId="234"/>
    <tableColumn id="2" xr3:uid="{00000000-0010-0000-1D00-000002000000}" uniqueName="2" name="Detalle" queryTableFieldId="2" dataDxfId="233"/>
    <tableColumn id="3" xr3:uid="{00000000-0010-0000-1D00-000003000000}" uniqueName="3" name="MES" queryTableFieldId="3" dataDxfId="232"/>
    <tableColumn id="4" xr3:uid="{00000000-0010-0000-1D00-000004000000}" uniqueName="4" name="Valor" queryTableFieldId="4" dataDxfId="231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E000000}" name="Fertilizantes" displayName="Fertilizantes" ref="A1:D9" tableType="queryTable" totalsRowShown="0">
  <autoFilter ref="A1:D9" xr:uid="{00000000-0009-0000-0100-000012000000}"/>
  <tableColumns count="4">
    <tableColumn id="1" xr3:uid="{00000000-0010-0000-1E00-000001000000}" uniqueName="1" name="Valor" queryTableFieldId="1"/>
    <tableColumn id="2" xr3:uid="{00000000-0010-0000-1E00-000002000000}" uniqueName="2" name="Finca" queryTableFieldId="2" dataDxfId="230"/>
    <tableColumn id="3" xr3:uid="{00000000-0010-0000-1E00-000003000000}" uniqueName="3" name="MES" queryTableFieldId="3"/>
    <tableColumn id="4" xr3:uid="{00000000-0010-0000-1E00-000004000000}" uniqueName="4" name="Detalle" queryTableFieldId="4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1F000000}" name="TablaGeneral" displayName="TablaGeneral" ref="A2:CS110" totalsRowCount="1">
  <autoFilter ref="A2:CS109" xr:uid="{00000000-0009-0000-0100-000001000000}"/>
  <tableColumns count="97">
    <tableColumn id="1" xr3:uid="{00000000-0010-0000-1F00-000001000000}" name="Finca"/>
    <tableColumn id="2" xr3:uid="{00000000-0010-0000-1F00-000002000000}" name="Cuartel"/>
    <tableColumn id="3" xr3:uid="{00000000-0010-0000-1F00-000003000000}" name="Has" totalsRowFunction="sum"/>
    <tableColumn id="4" xr3:uid="{00000000-0010-0000-1F00-000004000000}" name="Variedad"/>
    <tableColumn id="5" xr3:uid="{00000000-0010-0000-1F00-000005000000}" name="Kg x Has" dataDxfId="229" totalsRowDxfId="228"/>
    <tableColumn id="6" xr3:uid="{00000000-0010-0000-1F00-000006000000}" name="Kg 2026" totalsRowFunction="sum" dataDxfId="227" totalsRowDxfId="226">
      <calculatedColumnFormula>+TablaGeneral[[#This Row],[Has]]*TablaGeneral[[#This Row],[Kg x Has]]</calculatedColumnFormula>
    </tableColumn>
    <tableColumn id="96" xr3:uid="{00000000-0010-0000-1F00-000060000000}" name="Kg Pasa" totalsRowFunction="sum" dataDxfId="225" totalsRowDxfId="224">
      <calculatedColumnFormula>+TablaGeneral[[#This Row],[Kg 2026]]/4</calculatedColumnFormula>
    </tableColumn>
    <tableColumn id="7" xr3:uid="{00000000-0010-0000-1F00-000007000000}" name="Plantas" totalsRowFunction="sum" totalsRowDxfId="223"/>
    <tableColumn id="89" xr3:uid="{00000000-0010-0000-1F00-000059000000}" name="Año de plantación" totalsRowDxfId="222"/>
    <tableColumn id="8" xr3:uid="{00000000-0010-0000-1F00-000008000000}" name="Marco de plantación"/>
    <tableColumn id="9" xr3:uid="{00000000-0010-0000-1F00-000009000000}" name="Plantas x Has" dataDxfId="221" totalsRowDxfId="220">
      <calculatedColumnFormula>10000/IF(LEN(TablaGeneral[[#This Row],[Marco de plantación]])&gt;3,(MID(TablaGeneral[[#This Row],[Marco de plantación]],1,3)*MID(TablaGeneral[[#This Row],[Marco de plantación]],5,3)),(3*2))</calculatedColumnFormula>
    </tableColumn>
    <tableColumn id="11" xr3:uid="{00000000-0010-0000-1F00-00000B000000}" name="N° de Guías x planta" totalsRowDxfId="219"/>
    <tableColumn id="12" xr3:uid="{00000000-0010-0000-1F00-00000C000000}" name="N° de Guias x Has" dataDxfId="218" totalsRowDxfId="217">
      <calculatedColumnFormula>+TablaGeneral[[#This Row],[Plantas x Has]]*TablaGeneral[[#This Row],[N° de Guías x planta]]</calculatedColumnFormula>
    </tableColumn>
    <tableColumn id="13" xr3:uid="{00000000-0010-0000-1F00-00000D000000}" name="N° de Yemas x Guias" totalsRowDxfId="216"/>
    <tableColumn id="14" xr3:uid="{00000000-0010-0000-1F00-00000E000000}" name="N° de Yemas x Planta" dataDxfId="215" totalsRowDxfId="214">
      <calculatedColumnFormula>+TablaGeneral[[#This Row],[N° de Guías x planta]]*TablaGeneral[[#This Row],[N° de Yemas x Guias]]</calculatedColumnFormula>
    </tableColumn>
    <tableColumn id="15" xr3:uid="{00000000-0010-0000-1F00-00000F000000}" name="% de Brotación" dataDxfId="213" totalsRowDxfId="212"/>
    <tableColumn id="16" xr3:uid="{00000000-0010-0000-1F00-000010000000}" name="N° de Brotes x Planta" dataDxfId="211" totalsRowDxfId="210">
      <calculatedColumnFormula>+TablaGeneral[[#This Row],[N° de Yemas x Planta]]*TablaGeneral[[#This Row],[% de Brotación]]</calculatedColumnFormula>
    </tableColumn>
    <tableColumn id="17" xr3:uid="{00000000-0010-0000-1F00-000011000000}" name="% de Fertilidad" dataDxfId="209" totalsRowDxfId="208"/>
    <tableColumn id="18" xr3:uid="{00000000-0010-0000-1F00-000012000000}" name="Cantidad de Racimos x Brote" dataDxfId="207" totalsRowDxfId="206"/>
    <tableColumn id="19" xr3:uid="{00000000-0010-0000-1F00-000013000000}" name="Cantidad de Racimos x Planta" dataDxfId="205" totalsRowDxfId="204">
      <calculatedColumnFormula>+TablaGeneral[[#This Row],[N° de Brotes x Planta]]*TablaGeneral[[#This Row],[% de Fertilidad]]*TablaGeneral[[#This Row],[Cantidad de Racimos x Brote]]</calculatedColumnFormula>
    </tableColumn>
    <tableColumn id="20" xr3:uid="{00000000-0010-0000-1F00-000014000000}" name="Peso del Racimo" dataDxfId="203" totalsRowDxfId="202"/>
    <tableColumn id="21" xr3:uid="{00000000-0010-0000-1F00-000015000000}" name="Kg x Planta" dataDxfId="201" totalsRowDxfId="200">
      <calculatedColumnFormula>+TablaGeneral[[#This Row],[Cantidad de Racimos x Planta]]*TablaGeneral[[#This Row],[Peso del Racimo]]</calculatedColumnFormula>
    </tableColumn>
    <tableColumn id="22" xr3:uid="{00000000-0010-0000-1F00-000016000000}" name="Kg x Cuartel" totalsRowFunction="sum" dataDxfId="199" totalsRowDxfId="198">
      <calculatedColumnFormula>+TablaGeneral[[#This Row],[Plantas]]*TablaGeneral[[#This Row],[Kg x Planta]]</calculatedColumnFormula>
    </tableColumn>
    <tableColumn id="23" xr3:uid="{00000000-0010-0000-1F00-000017000000}" name="KGxHas" dataDxfId="197" totalsRowDxfId="196">
      <calculatedColumnFormula>+TablaGeneral[[#This Row],[Kg x Cuartel]]/TablaGeneral[[#This Row],[Has]]</calculatedColumnFormula>
    </tableColumn>
    <tableColumn id="24" xr3:uid="{00000000-0010-0000-1F00-000018000000}" name="Tipo de Cosecha" dataDxfId="195" totalsRowDxfId="194"/>
    <tableColumn id="25" xr3:uid="{00000000-0010-0000-1F00-000019000000}" name="Rendimiento Poda" dataDxfId="193" totalsRowDxfId="192"/>
    <tableColumn id="26" xr3:uid="{00000000-0010-0000-1F00-00001A000000}" name="Rendimiento Atada" dataDxfId="191" totalsRowDxfId="190">
      <calculatedColumnFormula>+TablaGeneral[[#This Row],[Rendimiento Poda]]*1.5</calculatedColumnFormula>
    </tableColumn>
    <tableColumn id="27" xr3:uid="{00000000-0010-0000-1F00-00001B000000}" name="Rendimiento Desbrote de troncos" dataDxfId="189" totalsRowDxfId="188"/>
    <tableColumn id="28" xr3:uid="{00000000-0010-0000-1F00-00001C000000}" name="Rendimiento Acomodo de brotes " dataDxfId="187" totalsRowDxfId="186"/>
    <tableColumn id="29" xr3:uid="{00000000-0010-0000-1F00-00001D000000}" name="Rendimiento Desniete, deshoje " dataDxfId="185" totalsRowDxfId="184"/>
    <tableColumn id="30" xr3:uid="{00000000-0010-0000-1F00-00001E000000}" name="Rendimiento Desbrote con criterio de Poda" dataDxfId="183" totalsRowDxfId="182"/>
    <tableColumn id="31" xr3:uid="{00000000-0010-0000-1F00-00001F000000}" name="Rendimiento Raleo de Racimos" dataDxfId="181" totalsRowDxfId="180"/>
    <tableColumn id="32" xr3:uid="{00000000-0010-0000-1F00-000020000000}" name="Poda" totalsRowFunction="sum" dataDxfId="179" totalsRowDxfId="178">
      <calculatedColumnFormula>+IFERROR(TablaGeneral[[#This Row],[Plantas]]/TablaGeneral[[#This Row],[Rendimiento Poda]],0)</calculatedColumnFormula>
    </tableColumn>
    <tableColumn id="33" xr3:uid="{00000000-0010-0000-1F00-000021000000}" name="Atada" totalsRowFunction="sum" dataDxfId="177" totalsRowDxfId="176">
      <calculatedColumnFormula>+TablaGeneral[[#This Row],[Plantas]]/TablaGeneral[[#This Row],[Rendimiento Atada]]</calculatedColumnFormula>
    </tableColumn>
    <tableColumn id="34" xr3:uid="{00000000-0010-0000-1F00-000022000000}" name="Desbrote de troncos" totalsRowFunction="sum" dataDxfId="175" totalsRowDxfId="174">
      <calculatedColumnFormula>+IFERROR(TablaGeneral[[#This Row],[Plantas]]/TablaGeneral[[#This Row],[Rendimiento Desbrote de troncos]],0)</calculatedColumnFormula>
    </tableColumn>
    <tableColumn id="35" xr3:uid="{00000000-0010-0000-1F00-000023000000}" name="Acomodo de brotes" totalsRowFunction="sum" dataDxfId="173" totalsRowDxfId="172">
      <calculatedColumnFormula>+IFERROR(TablaGeneral[[#This Row],[Plantas]]/TablaGeneral[[#This Row],[Rendimiento Acomodo de brotes ]],0)</calculatedColumnFormula>
    </tableColumn>
    <tableColumn id="36" xr3:uid="{00000000-0010-0000-1F00-000024000000}" name="Desniete Deshoje" totalsRowFunction="sum" dataDxfId="171" totalsRowDxfId="170">
      <calculatedColumnFormula>+IFERROR(TablaGeneral[[#This Row],[Plantas]]/TablaGeneral[[#This Row],[Rendimiento Desniete, deshoje ]],0)</calculatedColumnFormula>
    </tableColumn>
    <tableColumn id="37" xr3:uid="{00000000-0010-0000-1F00-000025000000}" name="Desbrote con criterio de Poda" totalsRowFunction="sum" dataDxfId="169" totalsRowDxfId="168">
      <calculatedColumnFormula>+IFERROR(TablaGeneral[[#This Row],[Plantas]]/TablaGeneral[[#This Row],[Rendimiento Desbrote con criterio de Poda]],0)</calculatedColumnFormula>
    </tableColumn>
    <tableColumn id="38" xr3:uid="{00000000-0010-0000-1F00-000026000000}" name="Raleo de Racimos" totalsRowFunction="sum" dataDxfId="167" totalsRowDxfId="166">
      <calculatedColumnFormula>+IFERROR(TablaGeneral[[#This Row],[Plantas]]/TablaGeneral[[#This Row],[Rendimiento Raleo de Racimos]],0)</calculatedColumnFormula>
    </tableColumn>
    <tableColumn id="39" xr3:uid="{00000000-0010-0000-1F00-000027000000}" name="Tractorista Subsolado" totalsRowFunction="sum" dataDxfId="165" totalsRowDxfId="164"/>
    <tableColumn id="40" xr3:uid="{00000000-0010-0000-1F00-000028000000}" name="Tractorista Triturado de sarmiento" totalsRowFunction="sum" dataDxfId="163" totalsRowDxfId="162"/>
    <tableColumn id="10" xr3:uid="{00000000-0010-0000-1F00-00000A000000}" name="Tractorista Cincelado" totalsRowFunction="sum" dataDxfId="161" totalsRowDxfId="160"/>
    <tableColumn id="41" xr3:uid="{00000000-0010-0000-1F00-000029000000}" name="Tractorista Rastra" totalsRowFunction="sum" dataDxfId="159" totalsRowDxfId="158"/>
    <tableColumn id="62" xr3:uid="{00000000-0010-0000-1F00-00003E000000}" name="Tractor Herbicida" totalsRowFunction="sum" dataDxfId="157" totalsRowDxfId="156"/>
    <tableColumn id="42" xr3:uid="{00000000-0010-0000-1F00-00002A000000}" name="Tractor Atomizadora" totalsRowFunction="sum" dataDxfId="155" totalsRowDxfId="154"/>
    <tableColumn id="43" xr3:uid="{00000000-0010-0000-1F00-00002B000000}" name="Riego" totalsRowFunction="sum" dataDxfId="153" totalsRowDxfId="152"/>
    <tableColumn id="44" xr3:uid="{00000000-0010-0000-1F00-00002C000000}" name="Mantenimiento" totalsRowFunction="sum" dataDxfId="151" totalsRowDxfId="150"/>
    <tableColumn id="45" xr3:uid="{00000000-0010-0000-1F00-00002D000000}" name="Mangueras" totalsRowFunction="sum" dataDxfId="149" totalsRowDxfId="148"/>
    <tableColumn id="46" xr3:uid="{00000000-0010-0000-1F00-00002E000000}" name="Calicatas" totalsRowFunction="sum" dataDxfId="147" totalsRowDxfId="146"/>
    <tableColumn id="47" xr3:uid="{00000000-0010-0000-1F00-00002F000000}" name="Malezas Mochila" totalsRowFunction="sum" dataDxfId="145" totalsRowDxfId="144"/>
    <tableColumn id="48" xr3:uid="{00000000-0010-0000-1F00-000030000000}" name="Desmalezar manual" totalsRowFunction="sum" dataDxfId="143" totalsRowDxfId="142"/>
    <tableColumn id="63" xr3:uid="{00000000-0010-0000-1F00-00003F000000}" name="Mugrones" totalsRowFunction="sum" totalsRowDxfId="141"/>
    <tableColumn id="64" xr3:uid="{00000000-0010-0000-1F00-000040000000}" name="Seguridad" totalsRowFunction="sum" totalsRowDxfId="140"/>
    <tableColumn id="49" xr3:uid="{00000000-0010-0000-1F00-000031000000}" name="Jardinería" totalsRowFunction="sum" dataDxfId="139" totalsRowDxfId="138"/>
    <tableColumn id="50" xr3:uid="{00000000-0010-0000-1F00-000032000000}" name="Hormigas" totalsRowFunction="sum" dataDxfId="137" totalsRowDxfId="136"/>
    <tableColumn id="51" xr3:uid="{00000000-0010-0000-1F00-000033000000}" name="Limpieza" totalsRowFunction="sum" dataDxfId="135" totalsRowDxfId="134"/>
    <tableColumn id="52" xr3:uid="{00000000-0010-0000-1F00-000034000000}" name="Taller" totalsRowFunction="sum" dataDxfId="133" totalsRowDxfId="132"/>
    <tableColumn id="53" xr3:uid="{00000000-0010-0000-1F00-000035000000}" name="Datos" totalsRowFunction="sum" dataDxfId="131" totalsRowDxfId="130"/>
    <tableColumn id="54" xr3:uid="{00000000-0010-0000-1F00-000036000000}" name="Reparar Estructura" totalsRowFunction="sum" dataDxfId="129" totalsRowDxfId="128"/>
    <tableColumn id="55" xr3:uid="{00000000-0010-0000-1F00-000037000000}" name="Tractorista Generales" totalsRowFunction="sum" dataDxfId="127" totalsRowDxfId="126"/>
    <tableColumn id="56" xr3:uid="{00000000-0010-0000-1F00-000038000000}" name="Hoyar y Replantar" totalsRowFunction="sum" dataDxfId="125" totalsRowDxfId="124"/>
    <tableColumn id="57" xr3:uid="{00000000-0010-0000-1F00-000039000000}" name="Varios" totalsRowFunction="sum" dataDxfId="123" totalsRowDxfId="122"/>
    <tableColumn id="58" xr3:uid="{00000000-0010-0000-1F00-00003A000000}" name="P/ Medico" totalsRowFunction="sum" dataDxfId="121" totalsRowDxfId="120"/>
    <tableColumn id="59" xr3:uid="{00000000-0010-0000-1F00-00003B000000}" name="Vacaciones" totalsRowFunction="sum" dataDxfId="119" totalsRowDxfId="118"/>
    <tableColumn id="60" xr3:uid="{00000000-0010-0000-1F00-00003C000000}" name="Feriados" totalsRowFunction="sum" dataDxfId="117" totalsRowDxfId="116"/>
    <tableColumn id="61" xr3:uid="{00000000-0010-0000-1F00-00003D000000}" name="Combustible" totalsRowFunction="sum" dataDxfId="115" totalsRowDxfId="114">
      <calculatedColumnFormula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calculatedColumnFormula>
    </tableColumn>
    <tableColumn id="90" xr3:uid="{00000000-0010-0000-1F00-00005A000000}" name="Aceite Motor" totalsRowFunction="sum" dataDxfId="113" totalsRowDxfId="112">
      <calculatedColumnFormula>+TablaGeneral[[#This Row],[Combustible]]/100</calculatedColumnFormula>
    </tableColumn>
    <tableColumn id="91" xr3:uid="{00000000-0010-0000-1F00-00005B000000}" name="Aceite Hidráulico" totalsRowFunction="sum" dataDxfId="111" totalsRowDxfId="110">
      <calculatedColumnFormula>+TablaGeneral[[#This Row],[Combustible]]/150</calculatedColumnFormula>
    </tableColumn>
    <tableColumn id="92" xr3:uid="{00000000-0010-0000-1F00-00005C000000}" name="Ac. Multiproposito" totalsRowFunction="sum" dataDxfId="109" totalsRowDxfId="108">
      <calculatedColumnFormula>+TablaGeneral[[#This Row],[Combustible]]/200</calculatedColumnFormula>
    </tableColumn>
    <tableColumn id="65" xr3:uid="{00000000-0010-0000-1F00-000041000000}" name="Anotador" totalsRowFunction="sum" dataDxfId="107" totalsRowDxfId="106"/>
    <tableColumn id="66" xr3:uid="{00000000-0010-0000-1F00-000042000000}" name="Tracto elevador" totalsRowFunction="sum" dataDxfId="105" totalsRowDxfId="104"/>
    <tableColumn id="67" xr3:uid="{00000000-0010-0000-1F00-000043000000}" name="Tractor con uñas" totalsRowFunction="sum" dataDxfId="103" totalsRowDxfId="102"/>
    <tableColumn id="68" xr3:uid="{00000000-0010-0000-1F00-000044000000}" name="Lavar Bines" totalsRowFunction="sum" dataDxfId="101" totalsRowDxfId="100"/>
    <tableColumn id="69" xr3:uid="{00000000-0010-0000-1F00-000045000000}" name="Tractor con acoplado" totalsRowFunction="sum" dataDxfId="99" totalsRowDxfId="98"/>
    <tableColumn id="70" xr3:uid="{00000000-0010-0000-1F00-000046000000}" name="Colocación de malla" totalsRowFunction="sum" dataDxfId="97" totalsRowDxfId="96"/>
    <tableColumn id="71" xr3:uid="{00000000-0010-0000-1F00-000047000000}" name="Tractor Volcado de bins" totalsRowFunction="sum" dataDxfId="95" totalsRowDxfId="94"/>
    <tableColumn id="72" xr3:uid="{00000000-0010-0000-1F00-000048000000}" name="Desparramado de uva" totalsRowFunction="sum" dataDxfId="93" totalsRowDxfId="92"/>
    <tableColumn id="73" xr3:uid="{00000000-0010-0000-1F00-000049000000}" name="Dar vuelta la pasa" totalsRowFunction="sum" dataDxfId="91" totalsRowDxfId="90"/>
    <tableColumn id="74" xr3:uid="{00000000-0010-0000-1F00-00004A000000}" name="Levantar pasa" totalsRowFunction="sum" dataDxfId="89" totalsRowDxfId="88"/>
    <tableColumn id="75" xr3:uid="{00000000-0010-0000-1F00-00004B000000}" name="Recolección de malla" totalsRowFunction="sum" dataDxfId="87" totalsRowDxfId="86"/>
    <tableColumn id="76" xr3:uid="{00000000-0010-0000-1F00-00004C000000}" name="Limpieza de secadero" totalsRowFunction="sum" dataDxfId="85" totalsRowDxfId="84"/>
    <tableColumn id="77" xr3:uid="{00000000-0010-0000-1F00-00004D000000}" name="Tractor Cincelado de piedras" totalsRowFunction="sum" dataDxfId="83" totalsRowDxfId="82"/>
    <tableColumn id="78" xr3:uid="{00000000-0010-0000-1F00-00004E000000}" name="Tractor Carga de pasa" totalsRowFunction="sum" dataDxfId="81" totalsRowDxfId="80"/>
    <tableColumn id="79" xr3:uid="{00000000-0010-0000-1F00-00004F000000}" name="Sereno" totalsRowFunction="sum" dataDxfId="79" totalsRowDxfId="78"/>
    <tableColumn id="80" xr3:uid="{00000000-0010-0000-1F00-000050000000}" name="Tractor Descarga y carga de bines con tracto elevador" totalsRowFunction="sum" dataDxfId="77" totalsRowDxfId="76"/>
    <tableColumn id="81" xr3:uid="{00000000-0010-0000-1F00-000051000000}" name="Descarga y carga de bines con Autoelevador" totalsRowFunction="sum" dataDxfId="75" totalsRowDxfId="74"/>
    <tableColumn id="82" xr3:uid="{00000000-0010-0000-1F00-000052000000}" name="Resumen de Jornales Tractores Generales" totalsRowFunction="sum" dataDxfId="73" totalsRowDxfId="72">
      <calculatedColumnFormula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calculatedColumnFormula>
    </tableColumn>
    <tableColumn id="83" xr3:uid="{00000000-0010-0000-1F00-000053000000}" name="Resumen de Jornales tractoristas de Cosecha" totalsRowFunction="sum" dataDxfId="71" totalsRowDxfId="70">
      <calculatedColumnFormula>+TablaGeneral[[#This Row],[Tracto elevador]]+TablaGeneral[[#This Row],[Tractor con uñas]]+TablaGeneral[[#This Row],[Tractor con acoplado]]</calculatedColumnFormula>
    </tableColumn>
    <tableColumn id="84" xr3:uid="{00000000-0010-0000-1F00-000054000000}" name="Resumen de Jornales tractoristas de Secado" totalsRowFunction="sum" dataDxfId="69" totalsRowDxfId="68">
      <calculatedColumnFormula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calculatedColumnFormula>
    </tableColumn>
    <tableColumn id="85" xr3:uid="{00000000-0010-0000-1F00-000055000000}" name="Resumen Jornales totales de Cosecha" totalsRowFunction="sum" dataDxfId="67" totalsRowDxfId="66">
      <calculatedColumnFormula>+SUM(BR3:BV3)+TablaGeneral[[#This Row],[Cosecha DOV]]+TablaGeneral[[#This Row],[Corte DOV]]</calculatedColumnFormula>
    </tableColumn>
    <tableColumn id="86" xr3:uid="{00000000-0010-0000-1F00-000056000000}" name="Resumen Jornales totales de Secado" totalsRowFunction="sum" dataDxfId="65" totalsRowDxfId="64">
      <calculatedColumnFormula>+SUM(TablaGeneral[[#This Row],[Colocación de malla]:[Descarga y carga de bines con Autoelevador]])</calculatedColumnFormula>
    </tableColumn>
    <tableColumn id="87" xr3:uid="{00000000-0010-0000-1F00-000057000000}" name="Cosecha DOV" totalsRowFunction="sum" dataDxfId="63" totalsRowDxfId="62"/>
    <tableColumn id="88" xr3:uid="{00000000-0010-0000-1F00-000058000000}" name="Corte DOV" totalsRowFunction="sum" dataDxfId="61" totalsRowDxfId="60"/>
    <tableColumn id="93" xr3:uid="{00000000-0010-0000-1F00-00005D000000}" name="Ref Fincas" dataDxfId="59" totalsRowDxfId="58">
      <calculatedColumnFormula>+IF(TablaGeneral[[#This Row],[Finca]]="Puente Alto","Fincas Viejas",IF(TablaGeneral[[#This Row],[Finca]]="Camino Truncado","Fincas Viejas",IF(TablaGeneral[[#This Row],[Finca]]="La Chimbera","Fincas Viejas","El Espejo")))</calculatedColumnFormula>
    </tableColumn>
    <tableColumn id="94" xr3:uid="{00000000-0010-0000-1F00-00005E000000}" name="Ref 2" dataDxfId="57" totalsRowDxfId="56">
      <calculatedColumnFormula>+TablaGeneral[[#This Row],[Variedad]]&amp;" "&amp;TablaGeneral[[#This Row],[Año de plantación]]</calculatedColumnFormula>
    </tableColumn>
    <tableColumn id="95" xr3:uid="{00000000-0010-0000-1F00-00005F000000}" name="Ref 3" dataDxfId="55" totalsRowDxfId="54">
      <calculatedColumnFormula>+IF(TablaGeneral[[#This Row],[Finca]]="El Espejo I","El Espejo I y II",IF(TablaGeneral[[#This Row],[Finca]]="El Espejo II","El Espejo I y II",TablaGeneral[[#This Row],[Finca]]))</calculatedColumnFormula>
    </tableColumn>
    <tableColumn id="97" xr3:uid="{A7F4A1F6-19D5-4CE0-9A21-4B8D944006C8}" name="Ref 4" totalsRowFunction="custom" totalsRowDxfId="0">
      <totalsRowFormula>SUM(TablaGeneral[[#Totals],[Poda]:[Corte DOV]])</totalsRowFormula>
    </tableColumn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0000000}" name="RepRep_" displayName="RepRep_" ref="A1:D121" tableType="queryTable" totalsRowShown="0">
  <autoFilter ref="A1:D121" xr:uid="{00000000-0009-0000-0100-00002B000000}"/>
  <tableColumns count="4">
    <tableColumn id="1" xr3:uid="{00000000-0010-0000-2000-000001000000}" uniqueName="1" name="MES" queryTableFieldId="1" dataDxfId="42"/>
    <tableColumn id="2" xr3:uid="{00000000-0010-0000-2000-000002000000}" uniqueName="2" name="Finca" queryTableFieldId="2" dataDxfId="41"/>
    <tableColumn id="3" xr3:uid="{00000000-0010-0000-2000-000003000000}" uniqueName="3" name="Valor" queryTableFieldId="3"/>
    <tableColumn id="4" xr3:uid="{00000000-0010-0000-2000-000004000000}" uniqueName="4" name="Detalle" queryTableFieldId="4" dataDxfId="40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21000000}" name="Tabla2" displayName="Tabla2" ref="A1:O13" insertRowShift="1" totalsRowShown="0">
  <autoFilter ref="A1:O13" xr:uid="{00000000-0009-0000-0100-000002000000}"/>
  <tableColumns count="15">
    <tableColumn id="1" xr3:uid="{00000000-0010-0000-2100-000001000000}" name="Mes"/>
    <tableColumn id="2" xr3:uid="{00000000-0010-0000-2100-000002000000}" name="Año"/>
    <tableColumn id="3" xr3:uid="{00000000-0010-0000-2100-000003000000}" name="TC" dataDxfId="39"/>
    <tableColumn id="4" xr3:uid="{00000000-0010-0000-2100-000004000000}" name="Paritaria" dataDxfId="38"/>
    <tableColumn id="5" xr3:uid="{00000000-0010-0000-2100-000005000000}" name="Precio Jornal" dataDxfId="37">
      <calculatedColumnFormula>19000*Tabla2[[#This Row],[Paritaria]]</calculatedColumnFormula>
    </tableColumn>
    <tableColumn id="6" xr3:uid="{00000000-0010-0000-2100-000006000000}" name="Índice de inflación" dataDxfId="36"/>
    <tableColumn id="7" xr3:uid="{00000000-0010-0000-2100-000007000000}" name="Combustible" dataDxfId="35">
      <calculatedColumnFormula>1.025*Tabla2[[#This Row],[TC]]</calculatedColumnFormula>
    </tableColumn>
    <tableColumn id="8" xr3:uid="{00000000-0010-0000-2100-000008000000}" name="Lubricantes" dataDxfId="34">
      <calculatedColumnFormula>5.65*Tabla2[[#This Row],[TC]]</calculatedColumnFormula>
    </tableColumn>
    <tableColumn id="9" xr3:uid="{00000000-0010-0000-2100-000009000000}" name="Precio Bins" dataDxfId="33">
      <calculatedColumnFormula>+((3500+4000)/2)*Tabla2[[#This Row],[Índice de inflación]]</calculatedColumnFormula>
    </tableColumn>
    <tableColumn id="10" xr3:uid="{00000000-0010-0000-2100-00000A000000}" name="Precio Kg Uva Carro" dataDxfId="32">
      <calculatedColumnFormula>23*Tabla2[[#This Row],[Índice de inflación]]</calculatedColumnFormula>
    </tableColumn>
    <tableColumn id="11" xr3:uid="{00000000-0010-0000-2100-00000B000000}" name="Gamela DOV" dataDxfId="31">
      <calculatedColumnFormula>+(500+600)/2*Tabla2[[#This Row],[Índice de inflación]]</calculatedColumnFormula>
    </tableColumn>
    <tableColumn id="12" xr3:uid="{00000000-0010-0000-2100-00000C000000}" name="Inf 24-25" dataDxfId="30"/>
    <tableColumn id="13" xr3:uid="{00000000-0010-0000-2100-00000D000000}" name="Inf 24-26" dataDxfId="29"/>
    <tableColumn id="14" xr3:uid="{00000000-0010-0000-2100-00000E000000}" name="USD" dataDxfId="28"/>
    <tableColumn id="15" xr3:uid="{00000000-0010-0000-2100-00000F000000}" name="kg pa" dataDxfId="27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22000000}" name="Productos" displayName="Productos" ref="R1:AC26" totalsRowShown="0">
  <autoFilter ref="R1:AC26" xr:uid="{00000000-0009-0000-0100-00000B000000}"/>
  <tableColumns count="12">
    <tableColumn id="1" xr3:uid="{00000000-0010-0000-2200-000001000000}" name="Producto"/>
    <tableColumn id="2" xr3:uid="{00000000-0010-0000-2200-000002000000}" name="Precio (ARS)" dataDxfId="26"/>
    <tableColumn id="3" xr3:uid="{00000000-0010-0000-2200-000003000000}" name="Presentación"/>
    <tableColumn id="4" xr3:uid="{00000000-0010-0000-2200-000004000000}" name="Unidad Kg/L" dataDxfId="25" dataCellStyle="Millares"/>
    <tableColumn id="5" xr3:uid="{00000000-0010-0000-2200-000005000000}" name="USD x Unidad" dataDxfId="24" dataCellStyle="Millares">
      <calculatedColumnFormula>+U2/1190</calculatedColumnFormula>
    </tableColumn>
    <tableColumn id="6" xr3:uid="{00000000-0010-0000-2200-000006000000}" name="Marca"/>
    <tableColumn id="7" xr3:uid="{00000000-0010-0000-2200-000007000000}" name="Proveedor"/>
    <tableColumn id="8" xr3:uid="{00000000-0010-0000-2200-000008000000}" name="$ Pes" dataDxfId="23"/>
    <tableColumn id="9" xr3:uid="{00000000-0010-0000-2200-000009000000}" name="Productos"/>
    <tableColumn id="10" xr3:uid="{00000000-0010-0000-2200-00000A000000}" name="U$D" dataDxfId="22">
      <calculatedColumnFormula>+Productos[[#This Row],[$ Pes]]/1106</calculatedColumnFormula>
    </tableColumn>
    <tableColumn id="11" xr3:uid="{00000000-0010-0000-2200-00000B000000}" name="Cotización"/>
    <tableColumn id="12" xr3:uid="{00000000-0010-0000-2200-00000C000000}" name="USD" dataDxfId="21">
      <calculatedColumnFormula>+IF(Productos[[#This Row],[Cotización]]="",Productos[[#This Row],[U$D]],Productos[[#This Row],[Cotización]])</calculatedColumnFormula>
    </tableColumn>
  </tableColumns>
  <tableStyleInfo name="TableStyleLight1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3000000}" name="RepRep" displayName="RepRep" ref="O1:R121" totalsRowShown="0">
  <autoFilter ref="O1:R121" xr:uid="{00000000-0009-0000-0100-00002A000000}"/>
  <tableColumns count="4">
    <tableColumn id="1" xr3:uid="{00000000-0010-0000-2300-000001000000}" name="MES"/>
    <tableColumn id="2" xr3:uid="{00000000-0010-0000-2300-000002000000}" name="Finca"/>
    <tableColumn id="3" xr3:uid="{00000000-0010-0000-2300-000003000000}" name="Valor"/>
    <tableColumn id="4" xr3:uid="{00000000-0010-0000-2300-000004000000}" name="Detall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4000000}" name="EnergiaFincas" displayName="EnergiaFincas" ref="O1:R61" totalsRowShown="0">
  <autoFilter ref="O1:R61" xr:uid="{00000000-0009-0000-0100-000028000000}"/>
  <tableColumns count="4">
    <tableColumn id="1" xr3:uid="{00000000-0010-0000-2400-000001000000}" name="MES"/>
    <tableColumn id="2" xr3:uid="{00000000-0010-0000-2400-000002000000}" name="Valor"/>
    <tableColumn id="3" xr3:uid="{00000000-0010-0000-2400-000003000000}" name="Finca"/>
    <tableColumn id="4" xr3:uid="{00000000-0010-0000-2400-000004000000}" name="Detalle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5000000}" name="EnergiaFincas_1" displayName="EnergiaFincas_1" ref="A1:D61" tableType="queryTable" totalsRowShown="0">
  <autoFilter ref="A1:D61" xr:uid="{00000000-0009-0000-0100-000029000000}"/>
  <tableColumns count="4">
    <tableColumn id="1" xr3:uid="{00000000-0010-0000-2500-000001000000}" uniqueName="1" name="MES" queryTableFieldId="1" dataDxfId="20"/>
    <tableColumn id="2" xr3:uid="{00000000-0010-0000-2500-000002000000}" uniqueName="2" name="Valor" queryTableFieldId="2"/>
    <tableColumn id="3" xr3:uid="{00000000-0010-0000-2500-000003000000}" uniqueName="3" name="Finca" queryTableFieldId="3" dataDxfId="19"/>
    <tableColumn id="4" xr3:uid="{00000000-0010-0000-2500-000004000000}" uniqueName="4" name="Detalle" queryTableFieldId="4" dataDxfId="18"/>
  </tableColumns>
  <tableStyleInfo name="TableStyleMedium7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6000000}" name="ADM_1" displayName="ADM_1" ref="A1:D121" tableType="queryTable" totalsRowShown="0">
  <autoFilter ref="A1:D121" xr:uid="{00000000-0009-0000-0100-000025000000}"/>
  <tableColumns count="4">
    <tableColumn id="1" xr3:uid="{00000000-0010-0000-2600-000001000000}" uniqueName="1" name="Detalle" queryTableFieldId="1" dataDxfId="17"/>
    <tableColumn id="2" xr3:uid="{00000000-0010-0000-2600-000002000000}" uniqueName="2" name="MES" queryTableFieldId="2" dataDxfId="16"/>
    <tableColumn id="3" xr3:uid="{00000000-0010-0000-2600-000003000000}" uniqueName="3" name="Valor" queryTableFieldId="3"/>
    <tableColumn id="4" xr3:uid="{00000000-0010-0000-2600-000004000000}" uniqueName="4" name="Finca" queryTableFieldId="4" dataDxfId="15"/>
  </tableColumns>
  <tableStyleInfo name="TableStyleMedium7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7000000}" name="ADM" displayName="ADM" ref="O1:R121" totalsRowShown="0" headerRowDxfId="14" headerRowBorderDxfId="13" tableBorderDxfId="12">
  <autoFilter ref="O1:R121" xr:uid="{00000000-0009-0000-0100-000024000000}"/>
  <tableColumns count="4">
    <tableColumn id="1" xr3:uid="{00000000-0010-0000-2700-000001000000}" name="Detalle"/>
    <tableColumn id="2" xr3:uid="{00000000-0010-0000-2700-000002000000}" name="MES"/>
    <tableColumn id="3" xr3:uid="{00000000-0010-0000-2700-000003000000}" name="Valor" dataDxfId="11"/>
    <tableColumn id="4" xr3:uid="{00000000-0010-0000-2700-000004000000}" name="Finca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8000000}" name="Inversiones_1" displayName="Inversiones_1" ref="A1:D34" tableType="queryTable" totalsRowShown="0">
  <autoFilter ref="A1:D34" xr:uid="{00000000-0009-0000-0100-000027000000}"/>
  <tableColumns count="4">
    <tableColumn id="1" xr3:uid="{00000000-0010-0000-2800-000001000000}" uniqueName="1" name="MES" queryTableFieldId="1" dataDxfId="10"/>
    <tableColumn id="2" xr3:uid="{00000000-0010-0000-2800-000002000000}" uniqueName="2" name="Finca" queryTableFieldId="2" dataDxfId="9"/>
    <tableColumn id="3" xr3:uid="{00000000-0010-0000-2800-000003000000}" uniqueName="3" name="Valor" queryTableFieldId="3"/>
    <tableColumn id="4" xr3:uid="{00000000-0010-0000-2800-000004000000}" uniqueName="4" name="Detalle" queryTableFieldId="4" dataDxfId="8"/>
  </tableColumns>
  <tableStyleInfo name="TableStyleMedium7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9000000}" name="Inversiones" displayName="Inversiones" ref="A1:D41" totalsRowShown="0">
  <autoFilter ref="A1:D41" xr:uid="{00000000-0009-0000-0100-000026000000}"/>
  <tableColumns count="4">
    <tableColumn id="1" xr3:uid="{00000000-0010-0000-2900-000001000000}" name="MES"/>
    <tableColumn id="2" xr3:uid="{00000000-0010-0000-2900-000002000000}" name="Finca"/>
    <tableColumn id="3" xr3:uid="{00000000-0010-0000-2900-000003000000}" name="Valor"/>
    <tableColumn id="4" xr3:uid="{00000000-0010-0000-2900-000004000000}" name="Detalle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2A000000}" name="Compilado" displayName="Compilado" ref="A1:G1455" tableType="queryTable" totalsRowShown="0">
  <autoFilter ref="A1:G1455" xr:uid="{00000000-0009-0000-0100-000011000000}"/>
  <tableColumns count="7">
    <tableColumn id="1" xr3:uid="{00000000-0010-0000-2A00-000001000000}" uniqueName="1" name="Items" queryTableFieldId="1" dataDxfId="7"/>
    <tableColumn id="2" xr3:uid="{00000000-0010-0000-2A00-000002000000}" uniqueName="2" name="Mes" queryTableFieldId="2" dataDxfId="6"/>
    <tableColumn id="3" xr3:uid="{00000000-0010-0000-2A00-000003000000}" uniqueName="3" name="USD" queryTableFieldId="3" dataDxfId="5"/>
    <tableColumn id="4" xr3:uid="{00000000-0010-0000-2A00-000004000000}" uniqueName="4" name="FINCA" queryTableFieldId="4" dataDxfId="4"/>
    <tableColumn id="6" xr3:uid="{00000000-0010-0000-2A00-000006000000}" uniqueName="6" name="Gastos" queryTableFieldId="6" dataDxfId="3">
      <calculatedColumnFormula>+INDEX(Check!$B$5:$B$33,MATCH(Compilado[[#This Row],[Items]],Check!$C$5:$C$33,0))</calculatedColumnFormula>
    </tableColumn>
    <tableColumn id="7" xr3:uid="{00000000-0010-0000-2A00-000007000000}" uniqueName="7" name="Importe en $" queryTableFieldId="7" dataDxfId="2" dataCellStyle="Millares">
      <calculatedColumnFormula>+IFERROR(INDEX(Tabla2[TC],MATCH(Compilado[[#This Row],[Mes]],Tabla2[Mes],0))*Compilado[[#This Row],[USD]],0)</calculatedColumnFormula>
    </tableColumn>
    <tableColumn id="5" xr3:uid="{00000000-0010-0000-2A00-000005000000}" uniqueName="5" name="Fecha Ref" queryTableFieldId="8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27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pivotTable" Target="../pivotTables/pivotTable1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openxmlformats.org/officeDocument/2006/relationships/comments" Target="../comments2.xml"/><Relationship Id="rId5" Type="http://schemas.microsoft.com/office/2007/relationships/slicer" Target="../slicers/slicer1.xml"/><Relationship Id="rId4" Type="http://schemas.openxmlformats.org/officeDocument/2006/relationships/table" Target="../tables/table32.xml"/></Relationships>
</file>

<file path=xl/worksheets/_rels/sheet37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1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4.xml"/><Relationship Id="rId4" Type="http://schemas.openxmlformats.org/officeDocument/2006/relationships/table" Target="../tables/table35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opLeftCell="A2" workbookViewId="0"/>
  </sheetViews>
  <sheetFormatPr baseColWidth="10" defaultRowHeight="15"/>
  <cols>
    <col min="1" max="1" width="19.85546875" bestFit="1" customWidth="1"/>
    <col min="2" max="2" width="11.42578125" bestFit="1" customWidth="1"/>
    <col min="3" max="3" width="11.28515625" bestFit="1" customWidth="1"/>
    <col min="4" max="4" width="12" bestFit="1" customWidth="1"/>
  </cols>
  <sheetData>
    <row r="1" spans="1:4">
      <c r="A1" t="s">
        <v>107</v>
      </c>
      <c r="B1" t="s">
        <v>0</v>
      </c>
      <c r="C1" t="s">
        <v>3</v>
      </c>
      <c r="D1" t="s">
        <v>105</v>
      </c>
    </row>
    <row r="2" spans="1:4">
      <c r="A2" t="s">
        <v>65</v>
      </c>
      <c r="B2" t="s">
        <v>4</v>
      </c>
      <c r="C2" t="s">
        <v>5</v>
      </c>
      <c r="D2">
        <v>20.649307479224376</v>
      </c>
    </row>
    <row r="3" spans="1:4">
      <c r="A3" t="s">
        <v>68</v>
      </c>
      <c r="B3" t="s">
        <v>4</v>
      </c>
      <c r="C3" t="s">
        <v>5</v>
      </c>
      <c r="D3">
        <v>2</v>
      </c>
    </row>
    <row r="4" spans="1:4">
      <c r="A4" t="s">
        <v>69</v>
      </c>
      <c r="B4" t="s">
        <v>4</v>
      </c>
      <c r="C4" t="s">
        <v>5</v>
      </c>
      <c r="D4">
        <v>20.660753880266075</v>
      </c>
    </row>
    <row r="5" spans="1:4">
      <c r="A5" t="s">
        <v>70</v>
      </c>
      <c r="B5" t="s">
        <v>4</v>
      </c>
      <c r="C5" t="s">
        <v>5</v>
      </c>
      <c r="D5">
        <v>4.1298614958448754</v>
      </c>
    </row>
    <row r="6" spans="1:4">
      <c r="A6" t="s">
        <v>118</v>
      </c>
      <c r="B6" t="s">
        <v>4</v>
      </c>
      <c r="C6" t="s">
        <v>5</v>
      </c>
      <c r="D6">
        <v>23.333733998437403</v>
      </c>
    </row>
    <row r="7" spans="1:4">
      <c r="A7" t="s">
        <v>119</v>
      </c>
      <c r="B7" t="s">
        <v>4</v>
      </c>
      <c r="C7" t="s">
        <v>5</v>
      </c>
      <c r="D7">
        <v>4.1298614958448754</v>
      </c>
    </row>
    <row r="8" spans="1:4">
      <c r="A8" t="s">
        <v>72</v>
      </c>
      <c r="B8" t="s">
        <v>4</v>
      </c>
      <c r="C8" t="s">
        <v>5</v>
      </c>
      <c r="D8">
        <v>3.3038921253337401</v>
      </c>
    </row>
    <row r="9" spans="1:4">
      <c r="A9" t="s">
        <v>73</v>
      </c>
      <c r="B9" t="s">
        <v>4</v>
      </c>
      <c r="C9" t="s">
        <v>5</v>
      </c>
      <c r="D9">
        <v>9.2994011976047908</v>
      </c>
    </row>
    <row r="10" spans="1:4">
      <c r="A10" t="s">
        <v>75</v>
      </c>
      <c r="B10" t="s">
        <v>4</v>
      </c>
      <c r="C10" t="s">
        <v>5</v>
      </c>
      <c r="D10">
        <v>4.1298614958448754</v>
      </c>
    </row>
    <row r="11" spans="1:4">
      <c r="A11" t="s">
        <v>76</v>
      </c>
      <c r="B11" t="s">
        <v>4</v>
      </c>
      <c r="C11" t="s">
        <v>5</v>
      </c>
      <c r="D11">
        <v>6.6077608214670676</v>
      </c>
    </row>
    <row r="12" spans="1:4">
      <c r="A12" t="s">
        <v>77</v>
      </c>
      <c r="B12" t="s">
        <v>4</v>
      </c>
      <c r="C12" t="s">
        <v>5</v>
      </c>
      <c r="D12">
        <v>9.9116693472211566</v>
      </c>
    </row>
    <row r="13" spans="1:4">
      <c r="A13" t="s">
        <v>78</v>
      </c>
      <c r="B13" t="s">
        <v>4</v>
      </c>
      <c r="C13" t="s">
        <v>5</v>
      </c>
      <c r="D13">
        <v>3.5109269027882437</v>
      </c>
    </row>
    <row r="14" spans="1:4">
      <c r="A14" t="s">
        <v>79</v>
      </c>
      <c r="B14" t="s">
        <v>4</v>
      </c>
      <c r="C14" t="s">
        <v>5</v>
      </c>
      <c r="D14">
        <v>11.976602053682631</v>
      </c>
    </row>
    <row r="15" spans="1:4">
      <c r="A15" t="s">
        <v>80</v>
      </c>
      <c r="B15" t="s">
        <v>4</v>
      </c>
      <c r="C15" t="s">
        <v>5</v>
      </c>
      <c r="D15">
        <v>2.2714253328035454</v>
      </c>
    </row>
    <row r="16" spans="1:4">
      <c r="A16" t="s">
        <v>81</v>
      </c>
      <c r="B16" t="s">
        <v>4</v>
      </c>
      <c r="C16" t="s">
        <v>5</v>
      </c>
      <c r="D16">
        <v>13.009060829016992</v>
      </c>
    </row>
    <row r="17" spans="1:4">
      <c r="A17" t="s">
        <v>82</v>
      </c>
      <c r="B17" t="s">
        <v>4</v>
      </c>
      <c r="C17" t="s">
        <v>5</v>
      </c>
      <c r="D17">
        <v>6.1947785157262807</v>
      </c>
    </row>
    <row r="18" spans="1:4">
      <c r="A18" t="s">
        <v>65</v>
      </c>
      <c r="B18" t="s">
        <v>4</v>
      </c>
      <c r="C18" t="s">
        <v>6</v>
      </c>
      <c r="D18">
        <v>54.067590027700831</v>
      </c>
    </row>
    <row r="19" spans="1:4">
      <c r="A19" t="s">
        <v>68</v>
      </c>
      <c r="B19" t="s">
        <v>4</v>
      </c>
      <c r="C19" t="s">
        <v>6</v>
      </c>
      <c r="D19">
        <v>3</v>
      </c>
    </row>
    <row r="20" spans="1:4">
      <c r="A20" t="s">
        <v>69</v>
      </c>
      <c r="B20" t="s">
        <v>4</v>
      </c>
      <c r="C20" t="s">
        <v>6</v>
      </c>
      <c r="D20">
        <v>54.097560975609753</v>
      </c>
    </row>
    <row r="21" spans="1:4">
      <c r="A21" t="s">
        <v>70</v>
      </c>
      <c r="B21" t="s">
        <v>4</v>
      </c>
      <c r="C21" t="s">
        <v>6</v>
      </c>
      <c r="D21">
        <v>10.813518005540166</v>
      </c>
    </row>
    <row r="22" spans="1:4">
      <c r="A22" t="s">
        <v>118</v>
      </c>
      <c r="B22" t="s">
        <v>4</v>
      </c>
      <c r="C22" t="s">
        <v>6</v>
      </c>
      <c r="D22">
        <v>61.096420057295106</v>
      </c>
    </row>
    <row r="23" spans="1:4">
      <c r="A23" t="s">
        <v>119</v>
      </c>
      <c r="B23" t="s">
        <v>4</v>
      </c>
      <c r="C23" t="s">
        <v>6</v>
      </c>
      <c r="D23">
        <v>10.813518005540166</v>
      </c>
    </row>
    <row r="24" spans="1:4">
      <c r="A24" t="s">
        <v>72</v>
      </c>
      <c r="B24" t="s">
        <v>4</v>
      </c>
      <c r="C24" t="s">
        <v>6</v>
      </c>
      <c r="D24">
        <v>8.6508220727508682</v>
      </c>
    </row>
    <row r="25" spans="1:4">
      <c r="A25" t="s">
        <v>73</v>
      </c>
      <c r="B25" t="s">
        <v>4</v>
      </c>
      <c r="C25" t="s">
        <v>6</v>
      </c>
      <c r="D25">
        <v>24.34930139720559</v>
      </c>
    </row>
    <row r="26" spans="1:4">
      <c r="A26" t="s">
        <v>75</v>
      </c>
      <c r="B26" t="s">
        <v>4</v>
      </c>
      <c r="C26" t="s">
        <v>6</v>
      </c>
      <c r="D26">
        <v>10.813518005540166</v>
      </c>
    </row>
    <row r="27" spans="1:4">
      <c r="A27" t="s">
        <v>76</v>
      </c>
      <c r="B27" t="s">
        <v>4</v>
      </c>
      <c r="C27" t="s">
        <v>6</v>
      </c>
      <c r="D27">
        <v>17.301582799114993</v>
      </c>
    </row>
    <row r="28" spans="1:4">
      <c r="A28" t="s">
        <v>77</v>
      </c>
      <c r="B28" t="s">
        <v>4</v>
      </c>
      <c r="C28" t="s">
        <v>6</v>
      </c>
      <c r="D28">
        <v>25.95244781428438</v>
      </c>
    </row>
    <row r="29" spans="1:4">
      <c r="A29" t="s">
        <v>78</v>
      </c>
      <c r="B29" t="s">
        <v>4</v>
      </c>
      <c r="C29" t="s">
        <v>6</v>
      </c>
      <c r="D29">
        <v>9.1929163526752067</v>
      </c>
    </row>
    <row r="30" spans="1:4">
      <c r="A30" t="s">
        <v>79</v>
      </c>
      <c r="B30" t="s">
        <v>4</v>
      </c>
      <c r="C30" t="s">
        <v>6</v>
      </c>
      <c r="D30">
        <v>31.359211945240268</v>
      </c>
    </row>
    <row r="31" spans="1:4">
      <c r="A31" t="s">
        <v>80</v>
      </c>
      <c r="B31" t="s">
        <v>4</v>
      </c>
      <c r="C31" t="s">
        <v>6</v>
      </c>
      <c r="D31">
        <v>5.9474388570230623</v>
      </c>
    </row>
    <row r="32" spans="1:4">
      <c r="A32" t="s">
        <v>81</v>
      </c>
      <c r="B32" t="s">
        <v>4</v>
      </c>
      <c r="C32" t="s">
        <v>6</v>
      </c>
      <c r="D32">
        <v>34.062574168958633</v>
      </c>
    </row>
    <row r="33" spans="1:4">
      <c r="A33" t="s">
        <v>82</v>
      </c>
      <c r="B33" t="s">
        <v>4</v>
      </c>
      <c r="C33" t="s">
        <v>6</v>
      </c>
      <c r="D33">
        <v>16.220241063177699</v>
      </c>
    </row>
    <row r="34" spans="1:4">
      <c r="A34" t="s">
        <v>65</v>
      </c>
      <c r="B34" t="s">
        <v>4</v>
      </c>
      <c r="C34" t="s">
        <v>7</v>
      </c>
      <c r="D34">
        <v>25.283102493074793</v>
      </c>
    </row>
    <row r="35" spans="1:4">
      <c r="A35" t="s">
        <v>68</v>
      </c>
      <c r="B35" t="s">
        <v>4</v>
      </c>
      <c r="C35" t="s">
        <v>7</v>
      </c>
      <c r="D35">
        <v>2</v>
      </c>
    </row>
    <row r="36" spans="1:4">
      <c r="A36" t="s">
        <v>69</v>
      </c>
      <c r="B36" t="s">
        <v>4</v>
      </c>
      <c r="C36" t="s">
        <v>7</v>
      </c>
      <c r="D36">
        <v>25.297117516629712</v>
      </c>
    </row>
    <row r="37" spans="1:4">
      <c r="A37" t="s">
        <v>70</v>
      </c>
      <c r="B37" t="s">
        <v>4</v>
      </c>
      <c r="C37" t="s">
        <v>7</v>
      </c>
      <c r="D37">
        <v>5.0566204986149588</v>
      </c>
    </row>
    <row r="38" spans="1:4">
      <c r="A38" t="s">
        <v>118</v>
      </c>
      <c r="B38" t="s">
        <v>4</v>
      </c>
      <c r="C38" t="s">
        <v>7</v>
      </c>
      <c r="D38">
        <v>28.569926077288297</v>
      </c>
    </row>
    <row r="39" spans="1:4">
      <c r="A39" t="s">
        <v>119</v>
      </c>
      <c r="B39" t="s">
        <v>4</v>
      </c>
      <c r="C39" t="s">
        <v>7</v>
      </c>
      <c r="D39">
        <v>5.0566204986149588</v>
      </c>
    </row>
    <row r="40" spans="1:4">
      <c r="A40" t="s">
        <v>72</v>
      </c>
      <c r="B40" t="s">
        <v>4</v>
      </c>
      <c r="C40" t="s">
        <v>7</v>
      </c>
      <c r="D40">
        <v>4.0452999847534485</v>
      </c>
    </row>
    <row r="41" spans="1:4">
      <c r="A41" t="s">
        <v>73</v>
      </c>
      <c r="B41" t="s">
        <v>4</v>
      </c>
      <c r="C41" t="s">
        <v>7</v>
      </c>
      <c r="D41">
        <v>11.386227544910179</v>
      </c>
    </row>
    <row r="42" spans="1:4">
      <c r="A42" t="s">
        <v>75</v>
      </c>
      <c r="B42" t="s">
        <v>4</v>
      </c>
      <c r="C42" t="s">
        <v>7</v>
      </c>
      <c r="D42">
        <v>5.0566204986149588</v>
      </c>
    </row>
    <row r="43" spans="1:4">
      <c r="A43" t="s">
        <v>76</v>
      </c>
      <c r="B43" t="s">
        <v>4</v>
      </c>
      <c r="C43" t="s">
        <v>7</v>
      </c>
      <c r="D43">
        <v>8.0905712826913252</v>
      </c>
    </row>
    <row r="44" spans="1:4">
      <c r="A44" t="s">
        <v>77</v>
      </c>
      <c r="B44" t="s">
        <v>4</v>
      </c>
      <c r="C44" t="s">
        <v>7</v>
      </c>
      <c r="D44">
        <v>12.135891348191263</v>
      </c>
    </row>
    <row r="45" spans="1:4">
      <c r="A45" t="s">
        <v>78</v>
      </c>
      <c r="B45" t="s">
        <v>4</v>
      </c>
      <c r="C45" t="s">
        <v>7</v>
      </c>
      <c r="D45">
        <v>4.2987942727957797</v>
      </c>
    </row>
    <row r="46" spans="1:4">
      <c r="A46" t="s">
        <v>79</v>
      </c>
      <c r="B46" t="s">
        <v>4</v>
      </c>
      <c r="C46" t="s">
        <v>7</v>
      </c>
      <c r="D46">
        <v>14.664203995542511</v>
      </c>
    </row>
    <row r="47" spans="1:4">
      <c r="A47" t="s">
        <v>80</v>
      </c>
      <c r="B47" t="s">
        <v>4</v>
      </c>
      <c r="C47" t="s">
        <v>7</v>
      </c>
      <c r="D47">
        <v>2.7811431231976438</v>
      </c>
    </row>
    <row r="48" spans="1:4">
      <c r="A48" t="s">
        <v>81</v>
      </c>
      <c r="B48" t="s">
        <v>4</v>
      </c>
      <c r="C48" t="s">
        <v>7</v>
      </c>
      <c r="D48">
        <v>15.928351040808634</v>
      </c>
    </row>
    <row r="49" spans="1:4">
      <c r="A49" t="s">
        <v>82</v>
      </c>
      <c r="B49" t="s">
        <v>4</v>
      </c>
      <c r="C49" t="s">
        <v>7</v>
      </c>
      <c r="D49">
        <v>7.5849139392488878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"/>
  <sheetViews>
    <sheetView topLeftCell="A2" workbookViewId="0"/>
  </sheetViews>
  <sheetFormatPr baseColWidth="10" defaultRowHeight="15"/>
  <cols>
    <col min="1" max="1" width="31.42578125" bestFit="1" customWidth="1"/>
    <col min="2" max="2" width="11.42578125" bestFit="1" customWidth="1"/>
    <col min="3" max="3" width="11.28515625" bestFit="1" customWidth="1"/>
    <col min="4" max="4" width="12" bestFit="1" customWidth="1"/>
  </cols>
  <sheetData>
    <row r="1" spans="1:4">
      <c r="A1" t="s">
        <v>107</v>
      </c>
      <c r="B1" t="s">
        <v>0</v>
      </c>
      <c r="C1" t="s">
        <v>3</v>
      </c>
      <c r="D1" t="s">
        <v>105</v>
      </c>
    </row>
    <row r="2" spans="1:4">
      <c r="A2" t="s">
        <v>51</v>
      </c>
      <c r="B2" t="s">
        <v>4</v>
      </c>
      <c r="C2" t="s">
        <v>5</v>
      </c>
      <c r="D2">
        <v>67.938181818181818</v>
      </c>
    </row>
    <row r="3" spans="1:4">
      <c r="A3" t="s">
        <v>52</v>
      </c>
      <c r="B3" t="s">
        <v>4</v>
      </c>
      <c r="C3" t="s">
        <v>5</v>
      </c>
      <c r="D3">
        <v>45.292121212121209</v>
      </c>
    </row>
    <row r="4" spans="1:4">
      <c r="A4" t="s">
        <v>53</v>
      </c>
      <c r="B4" t="s">
        <v>4</v>
      </c>
      <c r="C4" t="s">
        <v>5</v>
      </c>
      <c r="D4">
        <v>71.676923076923075</v>
      </c>
    </row>
    <row r="5" spans="1:4">
      <c r="A5" t="s">
        <v>54</v>
      </c>
      <c r="B5" t="s">
        <v>4</v>
      </c>
      <c r="C5" t="s">
        <v>5</v>
      </c>
      <c r="D5">
        <v>31.06</v>
      </c>
    </row>
    <row r="6" spans="1:4">
      <c r="A6" t="s">
        <v>55</v>
      </c>
      <c r="B6" t="s">
        <v>4</v>
      </c>
      <c r="C6" t="s">
        <v>5</v>
      </c>
      <c r="D6">
        <v>0</v>
      </c>
    </row>
    <row r="7" spans="1:4">
      <c r="A7" t="s">
        <v>56</v>
      </c>
      <c r="B7" t="s">
        <v>4</v>
      </c>
      <c r="C7" t="s">
        <v>5</v>
      </c>
      <c r="D7">
        <v>18.635999999999999</v>
      </c>
    </row>
    <row r="8" spans="1:4">
      <c r="A8" t="s">
        <v>57</v>
      </c>
      <c r="B8" t="s">
        <v>4</v>
      </c>
      <c r="C8" t="s">
        <v>5</v>
      </c>
      <c r="D8">
        <v>0</v>
      </c>
    </row>
    <row r="9" spans="1:4">
      <c r="A9" t="s">
        <v>58</v>
      </c>
      <c r="B9" t="s">
        <v>4</v>
      </c>
      <c r="C9" t="s">
        <v>5</v>
      </c>
      <c r="D9">
        <v>3.3038891966759003</v>
      </c>
    </row>
    <row r="10" spans="1:4">
      <c r="A10" t="s">
        <v>61</v>
      </c>
      <c r="B10" t="s">
        <v>4</v>
      </c>
      <c r="C10" t="s">
        <v>5</v>
      </c>
      <c r="D10">
        <v>1.4454515334852878</v>
      </c>
    </row>
    <row r="11" spans="1:4">
      <c r="A11" t="s">
        <v>62</v>
      </c>
      <c r="B11" t="s">
        <v>4</v>
      </c>
      <c r="C11" t="s">
        <v>5</v>
      </c>
      <c r="D11">
        <v>0.61950668173658663</v>
      </c>
    </row>
    <row r="12" spans="1:4">
      <c r="A12" t="s">
        <v>63</v>
      </c>
      <c r="B12" t="s">
        <v>4</v>
      </c>
      <c r="C12" t="s">
        <v>5</v>
      </c>
      <c r="D12">
        <v>13.009063711363606</v>
      </c>
    </row>
    <row r="13" spans="1:4">
      <c r="A13" t="s">
        <v>106</v>
      </c>
      <c r="B13" t="s">
        <v>4</v>
      </c>
      <c r="C13" t="s">
        <v>5</v>
      </c>
      <c r="D13">
        <v>1.5488696808510638</v>
      </c>
    </row>
    <row r="14" spans="1:4">
      <c r="A14" t="s">
        <v>64</v>
      </c>
      <c r="B14" t="s">
        <v>4</v>
      </c>
      <c r="C14" t="s">
        <v>5</v>
      </c>
      <c r="D14">
        <v>12.423999999999999</v>
      </c>
    </row>
    <row r="15" spans="1:4">
      <c r="A15" t="s">
        <v>51</v>
      </c>
      <c r="B15" t="s">
        <v>4</v>
      </c>
      <c r="C15" t="s">
        <v>6</v>
      </c>
      <c r="D15">
        <v>182.81333333333333</v>
      </c>
    </row>
    <row r="16" spans="1:4">
      <c r="A16" t="s">
        <v>52</v>
      </c>
      <c r="B16" t="s">
        <v>4</v>
      </c>
      <c r="C16" t="s">
        <v>6</v>
      </c>
      <c r="D16">
        <v>121.87555555555555</v>
      </c>
    </row>
    <row r="17" spans="1:4">
      <c r="A17" t="s">
        <v>53</v>
      </c>
      <c r="B17" t="s">
        <v>4</v>
      </c>
      <c r="C17" t="s">
        <v>6</v>
      </c>
      <c r="D17">
        <v>187.67692307692309</v>
      </c>
    </row>
    <row r="18" spans="1:4">
      <c r="A18" t="s">
        <v>54</v>
      </c>
      <c r="B18" t="s">
        <v>4</v>
      </c>
      <c r="C18" t="s">
        <v>6</v>
      </c>
      <c r="D18">
        <v>81.326666666666668</v>
      </c>
    </row>
    <row r="19" spans="1:4">
      <c r="A19" t="s">
        <v>55</v>
      </c>
      <c r="B19" t="s">
        <v>4</v>
      </c>
      <c r="C19" t="s">
        <v>6</v>
      </c>
      <c r="D19">
        <v>0</v>
      </c>
    </row>
    <row r="20" spans="1:4">
      <c r="A20" t="s">
        <v>56</v>
      </c>
      <c r="B20" t="s">
        <v>4</v>
      </c>
      <c r="C20" t="s">
        <v>6</v>
      </c>
      <c r="D20">
        <v>48.795999999999999</v>
      </c>
    </row>
    <row r="21" spans="1:4">
      <c r="A21" t="s">
        <v>57</v>
      </c>
      <c r="B21" t="s">
        <v>4</v>
      </c>
      <c r="C21" t="s">
        <v>6</v>
      </c>
      <c r="D21">
        <v>0</v>
      </c>
    </row>
    <row r="22" spans="1:4">
      <c r="A22" t="s">
        <v>58</v>
      </c>
      <c r="B22" t="s">
        <v>4</v>
      </c>
      <c r="C22" t="s">
        <v>6</v>
      </c>
      <c r="D22">
        <v>8.6508144044321327</v>
      </c>
    </row>
    <row r="23" spans="1:4">
      <c r="A23" t="s">
        <v>61</v>
      </c>
      <c r="B23" t="s">
        <v>4</v>
      </c>
      <c r="C23" t="s">
        <v>6</v>
      </c>
      <c r="D23">
        <v>3.7847313279645904</v>
      </c>
    </row>
    <row r="24" spans="1:4">
      <c r="A24" t="s">
        <v>62</v>
      </c>
      <c r="B24" t="s">
        <v>4</v>
      </c>
      <c r="C24" t="s">
        <v>6</v>
      </c>
      <c r="D24">
        <v>1.6220995944418588</v>
      </c>
    </row>
    <row r="25" spans="1:4">
      <c r="A25" t="s">
        <v>63</v>
      </c>
      <c r="B25" t="s">
        <v>4</v>
      </c>
      <c r="C25" t="s">
        <v>6</v>
      </c>
      <c r="D25">
        <v>34.062581716017306</v>
      </c>
    </row>
    <row r="26" spans="1:4">
      <c r="A26" t="s">
        <v>106</v>
      </c>
      <c r="B26" t="s">
        <v>4</v>
      </c>
      <c r="C26" t="s">
        <v>6</v>
      </c>
      <c r="D26">
        <v>4.0555186170212769</v>
      </c>
    </row>
    <row r="27" spans="1:4">
      <c r="A27" t="s">
        <v>64</v>
      </c>
      <c r="B27" t="s">
        <v>4</v>
      </c>
      <c r="C27" t="s">
        <v>6</v>
      </c>
      <c r="D27">
        <v>32.530666666666669</v>
      </c>
    </row>
    <row r="28" spans="1:4">
      <c r="A28" t="s">
        <v>51</v>
      </c>
      <c r="B28" t="s">
        <v>4</v>
      </c>
      <c r="C28" t="s">
        <v>7</v>
      </c>
      <c r="D28">
        <v>63.383333333333333</v>
      </c>
    </row>
    <row r="29" spans="1:4">
      <c r="A29" t="s">
        <v>52</v>
      </c>
      <c r="B29" t="s">
        <v>4</v>
      </c>
      <c r="C29" t="s">
        <v>7</v>
      </c>
      <c r="D29">
        <v>42.25555555555556</v>
      </c>
    </row>
    <row r="30" spans="1:4">
      <c r="A30" t="s">
        <v>53</v>
      </c>
      <c r="B30" t="s">
        <v>4</v>
      </c>
      <c r="C30" t="s">
        <v>7</v>
      </c>
      <c r="D30">
        <v>87.761538461538464</v>
      </c>
    </row>
    <row r="31" spans="1:4">
      <c r="A31" t="s">
        <v>54</v>
      </c>
      <c r="B31" t="s">
        <v>4</v>
      </c>
      <c r="C31" t="s">
        <v>7</v>
      </c>
      <c r="D31">
        <v>38.03</v>
      </c>
    </row>
    <row r="32" spans="1:4">
      <c r="A32" t="s">
        <v>55</v>
      </c>
      <c r="B32" t="s">
        <v>4</v>
      </c>
      <c r="C32" t="s">
        <v>7</v>
      </c>
      <c r="D32">
        <v>0</v>
      </c>
    </row>
    <row r="33" spans="1:4">
      <c r="A33" t="s">
        <v>56</v>
      </c>
      <c r="B33" t="s">
        <v>4</v>
      </c>
      <c r="C33" t="s">
        <v>7</v>
      </c>
      <c r="D33">
        <v>22.817999999999998</v>
      </c>
    </row>
    <row r="34" spans="1:4">
      <c r="A34" t="s">
        <v>57</v>
      </c>
      <c r="B34" t="s">
        <v>4</v>
      </c>
      <c r="C34" t="s">
        <v>7</v>
      </c>
      <c r="D34">
        <v>0</v>
      </c>
    </row>
    <row r="35" spans="1:4">
      <c r="A35" t="s">
        <v>58</v>
      </c>
      <c r="B35" t="s">
        <v>4</v>
      </c>
      <c r="C35" t="s">
        <v>7</v>
      </c>
      <c r="D35">
        <v>4.045296398891967</v>
      </c>
    </row>
    <row r="36" spans="1:4">
      <c r="A36" t="s">
        <v>61</v>
      </c>
      <c r="B36" t="s">
        <v>4</v>
      </c>
      <c r="C36" t="s">
        <v>7</v>
      </c>
      <c r="D36">
        <v>1.7698171866853025</v>
      </c>
    </row>
    <row r="37" spans="1:4">
      <c r="A37" t="s">
        <v>62</v>
      </c>
      <c r="B37" t="s">
        <v>4</v>
      </c>
      <c r="C37" t="s">
        <v>7</v>
      </c>
      <c r="D37">
        <v>0.75852669370387604</v>
      </c>
    </row>
    <row r="38" spans="1:4">
      <c r="A38" t="s">
        <v>63</v>
      </c>
      <c r="B38" t="s">
        <v>4</v>
      </c>
      <c r="C38" t="s">
        <v>7</v>
      </c>
      <c r="D38">
        <v>15.92835456996645</v>
      </c>
    </row>
    <row r="39" spans="1:4">
      <c r="A39" t="s">
        <v>106</v>
      </c>
      <c r="B39" t="s">
        <v>4</v>
      </c>
      <c r="C39" t="s">
        <v>7</v>
      </c>
      <c r="D39">
        <v>1.8964428191489362</v>
      </c>
    </row>
    <row r="40" spans="1:4">
      <c r="A40" t="s">
        <v>64</v>
      </c>
      <c r="B40" t="s">
        <v>4</v>
      </c>
      <c r="C40" t="s">
        <v>7</v>
      </c>
      <c r="D40">
        <v>15.212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/>
  </sheetViews>
  <sheetFormatPr baseColWidth="10" defaultRowHeight="15"/>
  <cols>
    <col min="1" max="1" width="19.85546875" bestFit="1" customWidth="1"/>
    <col min="2" max="2" width="16.42578125" bestFit="1" customWidth="1"/>
    <col min="3" max="4" width="12" bestFit="1" customWidth="1"/>
  </cols>
  <sheetData>
    <row r="1" spans="1:3">
      <c r="A1" t="s">
        <v>107</v>
      </c>
      <c r="B1" t="s">
        <v>0</v>
      </c>
      <c r="C1" t="s">
        <v>105</v>
      </c>
    </row>
    <row r="2" spans="1:3">
      <c r="A2" t="s">
        <v>65</v>
      </c>
      <c r="B2" t="s">
        <v>8</v>
      </c>
      <c r="C2">
        <v>543.99445214979198</v>
      </c>
    </row>
    <row r="3" spans="1:3">
      <c r="A3" t="s">
        <v>66</v>
      </c>
      <c r="B3" t="s">
        <v>8</v>
      </c>
      <c r="C3">
        <v>39.999999999999993</v>
      </c>
    </row>
    <row r="4" spans="1:3">
      <c r="A4" t="s">
        <v>67</v>
      </c>
      <c r="B4" t="s">
        <v>8</v>
      </c>
      <c r="C4">
        <v>119.99999999999999</v>
      </c>
    </row>
    <row r="5" spans="1:3">
      <c r="A5" t="s">
        <v>68</v>
      </c>
      <c r="B5" t="s">
        <v>8</v>
      </c>
      <c r="C5">
        <v>12.000611932687402</v>
      </c>
    </row>
    <row r="6" spans="1:3">
      <c r="A6" t="s">
        <v>69</v>
      </c>
      <c r="B6" t="s">
        <v>8</v>
      </c>
      <c r="C6">
        <v>255.79565217391303</v>
      </c>
    </row>
    <row r="7" spans="1:3">
      <c r="A7" t="s">
        <v>70</v>
      </c>
      <c r="B7" t="s">
        <v>8</v>
      </c>
      <c r="C7">
        <v>99.999999999999957</v>
      </c>
    </row>
    <row r="8" spans="1:3">
      <c r="A8" t="s">
        <v>71</v>
      </c>
      <c r="B8" t="s">
        <v>8</v>
      </c>
      <c r="C8">
        <v>9.9999999999999982</v>
      </c>
    </row>
    <row r="9" spans="1:3">
      <c r="A9" t="s">
        <v>72</v>
      </c>
      <c r="B9" t="s">
        <v>8</v>
      </c>
      <c r="C9">
        <v>62.016950224527228</v>
      </c>
    </row>
    <row r="10" spans="1:3">
      <c r="A10" t="s">
        <v>73</v>
      </c>
      <c r="B10" t="s">
        <v>8</v>
      </c>
      <c r="C10">
        <v>32.999966345452712</v>
      </c>
    </row>
    <row r="11" spans="1:3">
      <c r="A11" t="s">
        <v>74</v>
      </c>
      <c r="B11" t="s">
        <v>8</v>
      </c>
      <c r="C11">
        <v>99.996600662870733</v>
      </c>
    </row>
    <row r="12" spans="1:3">
      <c r="A12" t="s">
        <v>75</v>
      </c>
      <c r="B12" t="s">
        <v>8</v>
      </c>
      <c r="C12">
        <v>74.999999999999972</v>
      </c>
    </row>
    <row r="13" spans="1:3">
      <c r="A13" t="s">
        <v>76</v>
      </c>
      <c r="B13" t="s">
        <v>8</v>
      </c>
      <c r="C13">
        <v>39.999999999999993</v>
      </c>
    </row>
    <row r="14" spans="1:3">
      <c r="A14" t="s">
        <v>77</v>
      </c>
      <c r="B14" t="s">
        <v>8</v>
      </c>
      <c r="C14">
        <v>59.999999999999993</v>
      </c>
    </row>
    <row r="15" spans="1:3">
      <c r="A15" t="s">
        <v>78</v>
      </c>
      <c r="B15" t="s">
        <v>8</v>
      </c>
      <c r="C15">
        <v>49.999999999999979</v>
      </c>
    </row>
    <row r="16" spans="1:3">
      <c r="A16" t="s">
        <v>79</v>
      </c>
      <c r="B16" t="s">
        <v>8</v>
      </c>
      <c r="C16">
        <v>59.999999999999993</v>
      </c>
    </row>
    <row r="17" spans="1:3">
      <c r="A17" t="s">
        <v>80</v>
      </c>
      <c r="B17" t="s">
        <v>8</v>
      </c>
      <c r="C17">
        <v>36.005507955936352</v>
      </c>
    </row>
    <row r="18" spans="1:3">
      <c r="A18" t="s">
        <v>81</v>
      </c>
      <c r="B18" t="s">
        <v>8</v>
      </c>
      <c r="C18">
        <v>223.99984770462316</v>
      </c>
    </row>
    <row r="19" spans="1:3">
      <c r="A19" t="s">
        <v>82</v>
      </c>
      <c r="B19" t="s">
        <v>8</v>
      </c>
      <c r="C19">
        <v>180</v>
      </c>
    </row>
    <row r="20" spans="1:3">
      <c r="C20">
        <f>SUBTOTAL(109,CT_Gen[Jornales])</f>
        <v>2001.8095891498026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7"/>
  <sheetViews>
    <sheetView topLeftCell="A2" workbookViewId="0"/>
  </sheetViews>
  <sheetFormatPr baseColWidth="10" defaultRowHeight="15"/>
  <cols>
    <col min="1" max="1" width="31.42578125" bestFit="1" customWidth="1"/>
    <col min="2" max="2" width="16.42578125" bestFit="1" customWidth="1"/>
    <col min="3" max="3" width="11.28515625" bestFit="1" customWidth="1"/>
    <col min="4" max="4" width="12" bestFit="1" customWidth="1"/>
    <col min="5" max="5" width="18.42578125" bestFit="1" customWidth="1"/>
    <col min="6" max="6" width="12" bestFit="1" customWidth="1"/>
  </cols>
  <sheetData>
    <row r="1" spans="1:4">
      <c r="A1" t="s">
        <v>107</v>
      </c>
      <c r="B1" t="s">
        <v>0</v>
      </c>
      <c r="C1" t="s">
        <v>3</v>
      </c>
      <c r="D1" t="s">
        <v>105</v>
      </c>
    </row>
    <row r="2" spans="1:4">
      <c r="A2" t="s">
        <v>51</v>
      </c>
      <c r="B2" t="s">
        <v>8</v>
      </c>
      <c r="C2" t="s">
        <v>6</v>
      </c>
      <c r="D2">
        <v>270.44520202020198</v>
      </c>
    </row>
    <row r="3" spans="1:4">
      <c r="A3" t="s">
        <v>52</v>
      </c>
      <c r="B3" t="s">
        <v>8</v>
      </c>
      <c r="C3" t="s">
        <v>6</v>
      </c>
      <c r="D3">
        <v>180.29680134680137</v>
      </c>
    </row>
    <row r="4" spans="1:4">
      <c r="A4" t="s">
        <v>53</v>
      </c>
      <c r="B4" t="s">
        <v>8</v>
      </c>
      <c r="C4" t="s">
        <v>6</v>
      </c>
      <c r="D4">
        <v>67.337999999999994</v>
      </c>
    </row>
    <row r="5" spans="1:4">
      <c r="A5" t="s">
        <v>54</v>
      </c>
      <c r="B5" t="s">
        <v>8</v>
      </c>
      <c r="C5" t="s">
        <v>6</v>
      </c>
      <c r="D5">
        <v>0</v>
      </c>
    </row>
    <row r="6" spans="1:4">
      <c r="A6" t="s">
        <v>55</v>
      </c>
      <c r="B6" t="s">
        <v>8</v>
      </c>
      <c r="C6" t="s">
        <v>6</v>
      </c>
      <c r="D6">
        <v>0</v>
      </c>
    </row>
    <row r="7" spans="1:4">
      <c r="A7" t="s">
        <v>56</v>
      </c>
      <c r="B7" t="s">
        <v>8</v>
      </c>
      <c r="C7" t="s">
        <v>6</v>
      </c>
      <c r="D7">
        <v>48.098571428571432</v>
      </c>
    </row>
    <row r="8" spans="1:4">
      <c r="A8" t="s">
        <v>57</v>
      </c>
      <c r="B8" t="s">
        <v>8</v>
      </c>
      <c r="C8" t="s">
        <v>6</v>
      </c>
      <c r="D8">
        <v>67.337999999999994</v>
      </c>
    </row>
    <row r="9" spans="1:4">
      <c r="A9" t="s">
        <v>58</v>
      </c>
      <c r="B9" t="s">
        <v>8</v>
      </c>
      <c r="C9" t="s">
        <v>6</v>
      </c>
      <c r="D9">
        <v>10</v>
      </c>
    </row>
    <row r="10" spans="1:4">
      <c r="A10" t="s">
        <v>61</v>
      </c>
      <c r="B10" t="s">
        <v>8</v>
      </c>
      <c r="C10" t="s">
        <v>6</v>
      </c>
      <c r="D10">
        <v>6.4999951736054129</v>
      </c>
    </row>
    <row r="11" spans="1:4">
      <c r="A11" t="s">
        <v>62</v>
      </c>
      <c r="B11" t="s">
        <v>8</v>
      </c>
      <c r="C11" t="s">
        <v>6</v>
      </c>
      <c r="D11">
        <v>4.8800037104783334</v>
      </c>
    </row>
    <row r="12" spans="1:4">
      <c r="A12" t="s">
        <v>63</v>
      </c>
      <c r="B12" t="s">
        <v>8</v>
      </c>
      <c r="C12" t="s">
        <v>6</v>
      </c>
      <c r="D12">
        <v>12.990034376193618</v>
      </c>
    </row>
    <row r="13" spans="1:4">
      <c r="A13" t="s">
        <v>106</v>
      </c>
      <c r="B13" t="s">
        <v>8</v>
      </c>
      <c r="C13" t="s">
        <v>6</v>
      </c>
      <c r="D13">
        <v>20</v>
      </c>
    </row>
    <row r="14" spans="1:4">
      <c r="A14" t="s">
        <v>64</v>
      </c>
      <c r="B14" t="s">
        <v>8</v>
      </c>
      <c r="C14" t="s">
        <v>6</v>
      </c>
      <c r="D14">
        <v>27.320085362588134</v>
      </c>
    </row>
    <row r="15" spans="1:4">
      <c r="A15" t="s">
        <v>51</v>
      </c>
      <c r="B15" t="s">
        <v>8</v>
      </c>
      <c r="C15" t="s">
        <v>7</v>
      </c>
      <c r="D15">
        <v>295.64681818181816</v>
      </c>
    </row>
    <row r="16" spans="1:4">
      <c r="A16" t="s">
        <v>52</v>
      </c>
      <c r="B16" t="s">
        <v>8</v>
      </c>
      <c r="C16" t="s">
        <v>7</v>
      </c>
      <c r="D16">
        <v>197.09787878787878</v>
      </c>
    </row>
    <row r="17" spans="1:4">
      <c r="A17" t="s">
        <v>53</v>
      </c>
      <c r="B17" t="s">
        <v>8</v>
      </c>
      <c r="C17" t="s">
        <v>7</v>
      </c>
      <c r="D17">
        <v>90.469999999999985</v>
      </c>
    </row>
    <row r="18" spans="1:4">
      <c r="A18" t="s">
        <v>54</v>
      </c>
      <c r="B18" t="s">
        <v>8</v>
      </c>
      <c r="C18" t="s">
        <v>7</v>
      </c>
      <c r="D18">
        <v>75.391666666666666</v>
      </c>
    </row>
    <row r="19" spans="1:4">
      <c r="A19" t="s">
        <v>55</v>
      </c>
      <c r="B19" t="s">
        <v>8</v>
      </c>
      <c r="C19" t="s">
        <v>7</v>
      </c>
      <c r="D19">
        <v>0</v>
      </c>
    </row>
    <row r="20" spans="1:4">
      <c r="A20" t="s">
        <v>56</v>
      </c>
      <c r="B20" t="s">
        <v>8</v>
      </c>
      <c r="C20" t="s">
        <v>7</v>
      </c>
      <c r="D20">
        <v>64.621428571428581</v>
      </c>
    </row>
    <row r="21" spans="1:4">
      <c r="A21" t="s">
        <v>57</v>
      </c>
      <c r="B21" t="s">
        <v>8</v>
      </c>
      <c r="C21" t="s">
        <v>7</v>
      </c>
      <c r="D21">
        <v>0</v>
      </c>
    </row>
    <row r="22" spans="1:4">
      <c r="A22" t="s">
        <v>58</v>
      </c>
      <c r="B22" t="s">
        <v>8</v>
      </c>
      <c r="C22" t="s">
        <v>7</v>
      </c>
      <c r="D22">
        <v>10.899999999999999</v>
      </c>
    </row>
    <row r="23" spans="1:4">
      <c r="A23" t="s">
        <v>61</v>
      </c>
      <c r="B23" t="s">
        <v>8</v>
      </c>
      <c r="C23" t="s">
        <v>7</v>
      </c>
      <c r="D23">
        <v>7.3000062938044756</v>
      </c>
    </row>
    <row r="24" spans="1:4">
      <c r="A24" t="s">
        <v>62</v>
      </c>
      <c r="B24" t="s">
        <v>8</v>
      </c>
      <c r="C24" t="s">
        <v>7</v>
      </c>
      <c r="D24">
        <v>5.4700017533994787</v>
      </c>
    </row>
    <row r="25" spans="1:4">
      <c r="A25" t="s">
        <v>63</v>
      </c>
      <c r="B25" t="s">
        <v>8</v>
      </c>
      <c r="C25" t="s">
        <v>7</v>
      </c>
      <c r="D25">
        <v>21.860049292031118</v>
      </c>
    </row>
    <row r="26" spans="1:4">
      <c r="A26" t="s">
        <v>106</v>
      </c>
      <c r="B26" t="s">
        <v>8</v>
      </c>
      <c r="C26" t="s">
        <v>7</v>
      </c>
      <c r="D26">
        <v>21.999961092143526</v>
      </c>
    </row>
    <row r="27" spans="1:4">
      <c r="A27" t="s">
        <v>64</v>
      </c>
      <c r="B27" t="s">
        <v>8</v>
      </c>
      <c r="C27" t="s">
        <v>7</v>
      </c>
      <c r="D27">
        <v>26.280014175579659</v>
      </c>
    </row>
    <row r="28" spans="1:4">
      <c r="A28" t="s">
        <v>51</v>
      </c>
      <c r="B28" t="s">
        <v>8</v>
      </c>
      <c r="C28" t="s">
        <v>9</v>
      </c>
      <c r="D28">
        <v>78.538181818181812</v>
      </c>
    </row>
    <row r="29" spans="1:4">
      <c r="A29" t="s">
        <v>52</v>
      </c>
      <c r="B29" t="s">
        <v>8</v>
      </c>
      <c r="C29" t="s">
        <v>9</v>
      </c>
      <c r="D29">
        <v>52.358787878787879</v>
      </c>
    </row>
    <row r="30" spans="1:4">
      <c r="A30" t="s">
        <v>53</v>
      </c>
      <c r="B30" t="s">
        <v>8</v>
      </c>
      <c r="C30" t="s">
        <v>9</v>
      </c>
      <c r="D30">
        <v>16.442</v>
      </c>
    </row>
    <row r="31" spans="1:4">
      <c r="A31" t="s">
        <v>54</v>
      </c>
      <c r="B31" t="s">
        <v>8</v>
      </c>
      <c r="C31" t="s">
        <v>9</v>
      </c>
      <c r="D31">
        <v>0</v>
      </c>
    </row>
    <row r="32" spans="1:4">
      <c r="A32" t="s">
        <v>55</v>
      </c>
      <c r="B32" t="s">
        <v>8</v>
      </c>
      <c r="C32" t="s">
        <v>9</v>
      </c>
      <c r="D32">
        <v>0</v>
      </c>
    </row>
    <row r="33" spans="1:4">
      <c r="A33" t="s">
        <v>56</v>
      </c>
      <c r="B33" t="s">
        <v>8</v>
      </c>
      <c r="C33" t="s">
        <v>9</v>
      </c>
      <c r="D33">
        <v>11.744285714285713</v>
      </c>
    </row>
    <row r="34" spans="1:4">
      <c r="A34" t="s">
        <v>57</v>
      </c>
      <c r="B34" t="s">
        <v>8</v>
      </c>
      <c r="C34" t="s">
        <v>9</v>
      </c>
      <c r="D34">
        <v>0</v>
      </c>
    </row>
    <row r="35" spans="1:4">
      <c r="A35" t="s">
        <v>58</v>
      </c>
      <c r="B35" t="s">
        <v>8</v>
      </c>
      <c r="C35" t="s">
        <v>9</v>
      </c>
      <c r="D35">
        <v>2.8999995766938946</v>
      </c>
    </row>
    <row r="36" spans="1:4">
      <c r="A36" t="s">
        <v>61</v>
      </c>
      <c r="B36" t="s">
        <v>8</v>
      </c>
      <c r="C36" t="s">
        <v>9</v>
      </c>
      <c r="D36">
        <v>1.900000924462194</v>
      </c>
    </row>
    <row r="37" spans="1:4">
      <c r="A37" t="s">
        <v>62</v>
      </c>
      <c r="B37" t="s">
        <v>8</v>
      </c>
      <c r="C37" t="s">
        <v>9</v>
      </c>
      <c r="D37">
        <v>1.4400019618078057</v>
      </c>
    </row>
    <row r="38" spans="1:4">
      <c r="A38" t="s">
        <v>63</v>
      </c>
      <c r="B38" t="s">
        <v>8</v>
      </c>
      <c r="C38" t="s">
        <v>9</v>
      </c>
      <c r="D38">
        <v>3.850008429649888</v>
      </c>
    </row>
    <row r="39" spans="1:4">
      <c r="A39" t="s">
        <v>106</v>
      </c>
      <c r="B39" t="s">
        <v>8</v>
      </c>
      <c r="C39" t="s">
        <v>9</v>
      </c>
      <c r="D39">
        <v>5.9999854032711264</v>
      </c>
    </row>
    <row r="40" spans="1:4">
      <c r="A40" t="s">
        <v>64</v>
      </c>
      <c r="B40" t="s">
        <v>8</v>
      </c>
      <c r="C40" t="s">
        <v>9</v>
      </c>
      <c r="D40">
        <v>6.9000537165111115</v>
      </c>
    </row>
    <row r="41" spans="1:4">
      <c r="A41" t="s">
        <v>51</v>
      </c>
      <c r="B41" t="s">
        <v>8</v>
      </c>
      <c r="C41" t="s">
        <v>10</v>
      </c>
      <c r="D41">
        <v>223.53909090909087</v>
      </c>
    </row>
    <row r="42" spans="1:4">
      <c r="A42" t="s">
        <v>52</v>
      </c>
      <c r="B42" t="s">
        <v>8</v>
      </c>
      <c r="C42" t="s">
        <v>10</v>
      </c>
      <c r="D42">
        <v>149.02606060606061</v>
      </c>
    </row>
    <row r="43" spans="1:4">
      <c r="A43" t="s">
        <v>53</v>
      </c>
      <c r="B43" t="s">
        <v>8</v>
      </c>
      <c r="C43" t="s">
        <v>10</v>
      </c>
      <c r="D43">
        <v>52.886000000000003</v>
      </c>
    </row>
    <row r="44" spans="1:4">
      <c r="A44" t="s">
        <v>54</v>
      </c>
      <c r="B44" t="s">
        <v>8</v>
      </c>
      <c r="C44" t="s">
        <v>10</v>
      </c>
      <c r="D44">
        <v>44.071666666666665</v>
      </c>
    </row>
    <row r="45" spans="1:4">
      <c r="A45" t="s">
        <v>55</v>
      </c>
      <c r="B45" t="s">
        <v>8</v>
      </c>
      <c r="C45" t="s">
        <v>10</v>
      </c>
      <c r="D45">
        <v>39.314999999999998</v>
      </c>
    </row>
    <row r="46" spans="1:4">
      <c r="A46" t="s">
        <v>56</v>
      </c>
      <c r="B46" t="s">
        <v>8</v>
      </c>
      <c r="C46" t="s">
        <v>10</v>
      </c>
      <c r="D46">
        <v>37.775714285714287</v>
      </c>
    </row>
    <row r="47" spans="1:4">
      <c r="A47" t="s">
        <v>57</v>
      </c>
      <c r="B47" t="s">
        <v>8</v>
      </c>
      <c r="C47" t="s">
        <v>10</v>
      </c>
      <c r="D47">
        <v>33.085999999999999</v>
      </c>
    </row>
    <row r="48" spans="1:4">
      <c r="A48" t="s">
        <v>58</v>
      </c>
      <c r="B48" t="s">
        <v>8</v>
      </c>
      <c r="C48" t="s">
        <v>10</v>
      </c>
      <c r="D48">
        <v>7.9000004481337465</v>
      </c>
    </row>
    <row r="49" spans="1:4">
      <c r="A49" t="s">
        <v>61</v>
      </c>
      <c r="B49" t="s">
        <v>8</v>
      </c>
      <c r="C49" t="s">
        <v>10</v>
      </c>
      <c r="D49">
        <v>5.2999949892268381</v>
      </c>
    </row>
    <row r="50" spans="1:4">
      <c r="A50" t="s">
        <v>62</v>
      </c>
      <c r="B50" t="s">
        <v>8</v>
      </c>
      <c r="C50" t="s">
        <v>10</v>
      </c>
      <c r="D50">
        <v>3.9600031149288957</v>
      </c>
    </row>
    <row r="51" spans="1:4">
      <c r="A51" t="s">
        <v>63</v>
      </c>
      <c r="B51" t="s">
        <v>8</v>
      </c>
      <c r="C51" t="s">
        <v>10</v>
      </c>
      <c r="D51">
        <v>5.2800041532385267</v>
      </c>
    </row>
    <row r="52" spans="1:4">
      <c r="A52" t="s">
        <v>106</v>
      </c>
      <c r="B52" t="s">
        <v>8</v>
      </c>
      <c r="C52" t="s">
        <v>10</v>
      </c>
      <c r="D52">
        <v>15.999975797033926</v>
      </c>
    </row>
    <row r="53" spans="1:4">
      <c r="A53" t="s">
        <v>64</v>
      </c>
      <c r="B53" t="s">
        <v>8</v>
      </c>
      <c r="C53" t="s">
        <v>10</v>
      </c>
      <c r="D53">
        <v>19.000093408922709</v>
      </c>
    </row>
    <row r="54" spans="1:4">
      <c r="A54" t="s">
        <v>51</v>
      </c>
      <c r="B54" t="s">
        <v>8</v>
      </c>
      <c r="C54" t="s">
        <v>11</v>
      </c>
      <c r="D54">
        <v>40.98</v>
      </c>
    </row>
    <row r="55" spans="1:4">
      <c r="A55" t="s">
        <v>52</v>
      </c>
      <c r="B55" t="s">
        <v>8</v>
      </c>
      <c r="C55" t="s">
        <v>11</v>
      </c>
      <c r="D55">
        <v>27.32</v>
      </c>
    </row>
    <row r="56" spans="1:4">
      <c r="A56" t="s">
        <v>53</v>
      </c>
      <c r="B56" t="s">
        <v>8</v>
      </c>
      <c r="C56" t="s">
        <v>11</v>
      </c>
      <c r="D56">
        <v>8.1959999999999997</v>
      </c>
    </row>
    <row r="57" spans="1:4">
      <c r="A57" t="s">
        <v>54</v>
      </c>
      <c r="B57" t="s">
        <v>8</v>
      </c>
      <c r="C57" t="s">
        <v>11</v>
      </c>
      <c r="D57">
        <v>0</v>
      </c>
    </row>
    <row r="58" spans="1:4">
      <c r="A58" t="s">
        <v>55</v>
      </c>
      <c r="B58" t="s">
        <v>8</v>
      </c>
      <c r="C58" t="s">
        <v>11</v>
      </c>
      <c r="D58">
        <v>0</v>
      </c>
    </row>
    <row r="59" spans="1:4">
      <c r="A59" t="s">
        <v>56</v>
      </c>
      <c r="B59" t="s">
        <v>8</v>
      </c>
      <c r="C59" t="s">
        <v>11</v>
      </c>
      <c r="D59">
        <v>5.8542857142857141</v>
      </c>
    </row>
    <row r="60" spans="1:4">
      <c r="A60" t="s">
        <v>57</v>
      </c>
      <c r="B60" t="s">
        <v>8</v>
      </c>
      <c r="C60" t="s">
        <v>11</v>
      </c>
      <c r="D60">
        <v>0</v>
      </c>
    </row>
    <row r="61" spans="1:4">
      <c r="A61" t="s">
        <v>58</v>
      </c>
      <c r="B61" t="s">
        <v>8</v>
      </c>
      <c r="C61" t="s">
        <v>11</v>
      </c>
      <c r="D61">
        <v>1</v>
      </c>
    </row>
    <row r="62" spans="1:4">
      <c r="A62" t="s">
        <v>61</v>
      </c>
      <c r="B62" t="s">
        <v>8</v>
      </c>
      <c r="C62" t="s">
        <v>11</v>
      </c>
      <c r="D62">
        <v>1</v>
      </c>
    </row>
    <row r="63" spans="1:4">
      <c r="A63" t="s">
        <v>62</v>
      </c>
      <c r="B63" t="s">
        <v>8</v>
      </c>
      <c r="C63" t="s">
        <v>11</v>
      </c>
      <c r="D63">
        <v>1.3</v>
      </c>
    </row>
    <row r="64" spans="1:4">
      <c r="A64" t="s">
        <v>63</v>
      </c>
      <c r="B64" t="s">
        <v>8</v>
      </c>
      <c r="C64" t="s">
        <v>11</v>
      </c>
      <c r="D64">
        <v>1</v>
      </c>
    </row>
    <row r="65" spans="1:4">
      <c r="A65" t="s">
        <v>106</v>
      </c>
      <c r="B65" t="s">
        <v>8</v>
      </c>
      <c r="C65" t="s">
        <v>11</v>
      </c>
      <c r="D65">
        <v>3</v>
      </c>
    </row>
    <row r="66" spans="1:4">
      <c r="A66" t="s">
        <v>64</v>
      </c>
      <c r="B66" t="s">
        <v>8</v>
      </c>
      <c r="C66" t="s">
        <v>11</v>
      </c>
      <c r="D66">
        <v>3.58</v>
      </c>
    </row>
    <row r="67" spans="1:4">
      <c r="D67">
        <f>SUBTOTAL(109,CT_Esp[Jornales])</f>
        <v>2444.6877137501456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2"/>
  <sheetViews>
    <sheetView workbookViewId="0"/>
  </sheetViews>
  <sheetFormatPr baseColWidth="10" defaultRowHeight="15"/>
  <cols>
    <col min="1" max="1" width="19.85546875" bestFit="1" customWidth="1"/>
    <col min="2" max="2" width="11.85546875" bestFit="1" customWidth="1"/>
    <col min="3" max="3" width="11.28515625" bestFit="1" customWidth="1"/>
    <col min="4" max="4" width="12" bestFit="1" customWidth="1"/>
  </cols>
  <sheetData>
    <row r="1" spans="1:4">
      <c r="A1" t="s">
        <v>107</v>
      </c>
      <c r="B1" t="s">
        <v>0</v>
      </c>
      <c r="C1" t="s">
        <v>3</v>
      </c>
      <c r="D1" t="s">
        <v>105</v>
      </c>
    </row>
    <row r="2" spans="1:4">
      <c r="A2" t="s">
        <v>65</v>
      </c>
      <c r="B2" t="s">
        <v>12</v>
      </c>
      <c r="C2" t="s">
        <v>6</v>
      </c>
      <c r="D2">
        <v>42.693235792190684</v>
      </c>
    </row>
    <row r="3" spans="1:4">
      <c r="A3" t="s">
        <v>66</v>
      </c>
      <c r="B3" t="s">
        <v>12</v>
      </c>
      <c r="C3" t="s">
        <v>6</v>
      </c>
      <c r="D3">
        <v>23.24413450920477</v>
      </c>
    </row>
    <row r="4" spans="1:4">
      <c r="A4" t="s">
        <v>68</v>
      </c>
      <c r="B4" t="s">
        <v>12</v>
      </c>
      <c r="C4" t="s">
        <v>6</v>
      </c>
      <c r="D4">
        <v>1.4231072007409122</v>
      </c>
    </row>
    <row r="5" spans="1:4">
      <c r="A5" t="s">
        <v>69</v>
      </c>
      <c r="B5" t="s">
        <v>12</v>
      </c>
      <c r="C5" t="s">
        <v>6</v>
      </c>
      <c r="D5">
        <v>45.06508570314115</v>
      </c>
    </row>
    <row r="6" spans="1:4">
      <c r="A6" t="s">
        <v>70</v>
      </c>
      <c r="B6" t="s">
        <v>12</v>
      </c>
      <c r="C6" t="s">
        <v>6</v>
      </c>
      <c r="D6">
        <v>11.384836518015248</v>
      </c>
    </row>
    <row r="7" spans="1:4">
      <c r="A7" t="s">
        <v>118</v>
      </c>
      <c r="B7" t="s">
        <v>12</v>
      </c>
      <c r="C7" t="s">
        <v>6</v>
      </c>
      <c r="D7">
        <v>52.180557088402331</v>
      </c>
    </row>
    <row r="8" spans="1:4">
      <c r="A8" t="s">
        <v>119</v>
      </c>
      <c r="B8" t="s">
        <v>12</v>
      </c>
      <c r="C8" t="s">
        <v>6</v>
      </c>
      <c r="D8">
        <v>5.6924288029636489</v>
      </c>
    </row>
    <row r="9" spans="1:4">
      <c r="A9" t="s">
        <v>72</v>
      </c>
      <c r="B9" t="s">
        <v>12</v>
      </c>
      <c r="C9" t="s">
        <v>6</v>
      </c>
      <c r="D9">
        <v>8.7758324790327507</v>
      </c>
    </row>
    <row r="10" spans="1:4">
      <c r="A10" t="s">
        <v>73</v>
      </c>
      <c r="B10" t="s">
        <v>12</v>
      </c>
      <c r="C10" t="s">
        <v>6</v>
      </c>
      <c r="D10">
        <v>21.35649756775539</v>
      </c>
    </row>
    <row r="11" spans="1:4">
      <c r="A11" t="s">
        <v>75</v>
      </c>
      <c r="B11" t="s">
        <v>12</v>
      </c>
      <c r="C11" t="s">
        <v>6</v>
      </c>
      <c r="D11">
        <v>7.8278145695364243</v>
      </c>
    </row>
    <row r="12" spans="1:4">
      <c r="A12" t="s">
        <v>76</v>
      </c>
      <c r="B12" t="s">
        <v>12</v>
      </c>
      <c r="C12" t="s">
        <v>6</v>
      </c>
      <c r="D12">
        <v>14.711345141215892</v>
      </c>
    </row>
    <row r="13" spans="1:4">
      <c r="A13" t="s">
        <v>77</v>
      </c>
      <c r="B13" t="s">
        <v>12</v>
      </c>
      <c r="C13" t="s">
        <v>6</v>
      </c>
      <c r="D13">
        <v>21.35649756775539</v>
      </c>
    </row>
    <row r="14" spans="1:4">
      <c r="A14" t="s">
        <v>78</v>
      </c>
      <c r="B14" t="s">
        <v>12</v>
      </c>
      <c r="C14" t="s">
        <v>6</v>
      </c>
      <c r="D14">
        <v>4.7440568076566842</v>
      </c>
    </row>
    <row r="15" spans="1:4">
      <c r="A15" t="s">
        <v>79</v>
      </c>
      <c r="B15" t="s">
        <v>12</v>
      </c>
      <c r="C15" t="s">
        <v>6</v>
      </c>
      <c r="D15">
        <v>16.132283464566932</v>
      </c>
    </row>
    <row r="16" spans="1:4">
      <c r="A16" t="s">
        <v>80</v>
      </c>
      <c r="B16" t="s">
        <v>12</v>
      </c>
      <c r="C16" t="s">
        <v>6</v>
      </c>
      <c r="D16">
        <v>5.218543046357615</v>
      </c>
    </row>
    <row r="17" spans="1:4">
      <c r="A17" t="s">
        <v>81</v>
      </c>
      <c r="B17" t="s">
        <v>12</v>
      </c>
      <c r="C17" t="s">
        <v>6</v>
      </c>
      <c r="D17">
        <v>29.885348088648588</v>
      </c>
    </row>
    <row r="18" spans="1:4">
      <c r="A18" t="s">
        <v>82</v>
      </c>
      <c r="B18" t="s">
        <v>12</v>
      </c>
      <c r="C18" t="s">
        <v>6</v>
      </c>
      <c r="D18">
        <v>14.234367762853172</v>
      </c>
    </row>
    <row r="19" spans="1:4">
      <c r="A19" t="s">
        <v>65</v>
      </c>
      <c r="B19" t="s">
        <v>12</v>
      </c>
      <c r="C19" t="s">
        <v>10</v>
      </c>
      <c r="D19">
        <v>21.934254195070245</v>
      </c>
    </row>
    <row r="20" spans="1:4">
      <c r="A20" t="s">
        <v>66</v>
      </c>
      <c r="B20" t="s">
        <v>12</v>
      </c>
      <c r="C20" t="s">
        <v>10</v>
      </c>
      <c r="D20">
        <v>11.942003116160164</v>
      </c>
    </row>
    <row r="21" spans="1:4">
      <c r="A21" t="s">
        <v>68</v>
      </c>
      <c r="B21" t="s">
        <v>12</v>
      </c>
      <c r="C21" t="s">
        <v>10</v>
      </c>
      <c r="D21">
        <v>0.73114146793239176</v>
      </c>
    </row>
    <row r="22" spans="1:4">
      <c r="A22" t="s">
        <v>69</v>
      </c>
      <c r="B22" t="s">
        <v>12</v>
      </c>
      <c r="C22" t="s">
        <v>10</v>
      </c>
      <c r="D22">
        <v>23.152825659472072</v>
      </c>
    </row>
    <row r="23" spans="1:4">
      <c r="A23" t="s">
        <v>70</v>
      </c>
      <c r="B23" t="s">
        <v>12</v>
      </c>
      <c r="C23" t="s">
        <v>10</v>
      </c>
      <c r="D23">
        <v>5.8491209092458263</v>
      </c>
    </row>
    <row r="24" spans="1:4">
      <c r="A24" t="s">
        <v>118</v>
      </c>
      <c r="B24" t="s">
        <v>12</v>
      </c>
      <c r="C24" t="s">
        <v>10</v>
      </c>
      <c r="D24">
        <v>26.808499800494094</v>
      </c>
    </row>
    <row r="25" spans="1:4">
      <c r="A25" t="s">
        <v>119</v>
      </c>
      <c r="B25" t="s">
        <v>12</v>
      </c>
      <c r="C25" t="s">
        <v>10</v>
      </c>
      <c r="D25">
        <v>2.9245658717295671</v>
      </c>
    </row>
    <row r="26" spans="1:4">
      <c r="A26" t="s">
        <v>72</v>
      </c>
      <c r="B26" t="s">
        <v>12</v>
      </c>
      <c r="C26" t="s">
        <v>10</v>
      </c>
      <c r="D26">
        <v>4.5087081547392973</v>
      </c>
    </row>
    <row r="27" spans="1:4">
      <c r="A27" t="s">
        <v>73</v>
      </c>
      <c r="B27" t="s">
        <v>12</v>
      </c>
      <c r="C27" t="s">
        <v>10</v>
      </c>
      <c r="D27">
        <v>10.972202918693537</v>
      </c>
    </row>
    <row r="28" spans="1:4">
      <c r="A28" t="s">
        <v>75</v>
      </c>
      <c r="B28" t="s">
        <v>12</v>
      </c>
      <c r="C28" t="s">
        <v>10</v>
      </c>
      <c r="D28">
        <v>4.021650534895568</v>
      </c>
    </row>
    <row r="29" spans="1:4">
      <c r="A29" t="s">
        <v>76</v>
      </c>
      <c r="B29" t="s">
        <v>12</v>
      </c>
      <c r="C29" t="s">
        <v>10</v>
      </c>
      <c r="D29">
        <v>7.5581617999042603</v>
      </c>
    </row>
    <row r="30" spans="1:4">
      <c r="A30" t="s">
        <v>77</v>
      </c>
      <c r="B30" t="s">
        <v>12</v>
      </c>
      <c r="C30" t="s">
        <v>10</v>
      </c>
      <c r="D30">
        <v>10.972202918693537</v>
      </c>
    </row>
    <row r="31" spans="1:4">
      <c r="A31" t="s">
        <v>78</v>
      </c>
      <c r="B31" t="s">
        <v>12</v>
      </c>
      <c r="C31" t="s">
        <v>10</v>
      </c>
      <c r="D31">
        <v>2.4373263352886694</v>
      </c>
    </row>
    <row r="32" spans="1:4">
      <c r="A32" t="s">
        <v>79</v>
      </c>
      <c r="B32" t="s">
        <v>12</v>
      </c>
      <c r="C32" t="s">
        <v>10</v>
      </c>
      <c r="D32">
        <v>8.2881889763779526</v>
      </c>
    </row>
    <row r="33" spans="1:4">
      <c r="A33" t="s">
        <v>80</v>
      </c>
      <c r="B33" t="s">
        <v>12</v>
      </c>
      <c r="C33" t="s">
        <v>10</v>
      </c>
      <c r="D33">
        <v>2.6811003565970455</v>
      </c>
    </row>
    <row r="34" spans="1:4">
      <c r="A34" t="s">
        <v>81</v>
      </c>
      <c r="B34" t="s">
        <v>12</v>
      </c>
      <c r="C34" t="s">
        <v>10</v>
      </c>
      <c r="D34">
        <v>15.354020596501126</v>
      </c>
    </row>
    <row r="35" spans="1:4">
      <c r="A35" t="s">
        <v>82</v>
      </c>
      <c r="B35" t="s">
        <v>12</v>
      </c>
      <c r="C35" t="s">
        <v>10</v>
      </c>
      <c r="D35">
        <v>7.3131079203334872</v>
      </c>
    </row>
    <row r="36" spans="1:4">
      <c r="A36" t="s">
        <v>65</v>
      </c>
      <c r="B36" t="s">
        <v>12</v>
      </c>
      <c r="C36" t="s">
        <v>7</v>
      </c>
      <c r="D36">
        <v>25.372551689072328</v>
      </c>
    </row>
    <row r="37" spans="1:4">
      <c r="A37" t="s">
        <v>66</v>
      </c>
      <c r="B37" t="s">
        <v>12</v>
      </c>
      <c r="C37" t="s">
        <v>7</v>
      </c>
      <c r="D37">
        <v>13.813968263572692</v>
      </c>
    </row>
    <row r="38" spans="1:4">
      <c r="A38" t="s">
        <v>68</v>
      </c>
      <c r="B38" t="s">
        <v>12</v>
      </c>
      <c r="C38" t="s">
        <v>7</v>
      </c>
      <c r="D38">
        <v>0.845751331326696</v>
      </c>
    </row>
    <row r="39" spans="1:4">
      <c r="A39" t="s">
        <v>69</v>
      </c>
      <c r="B39" t="s">
        <v>12</v>
      </c>
      <c r="C39" t="s">
        <v>7</v>
      </c>
      <c r="D39">
        <v>26.782139961023365</v>
      </c>
    </row>
    <row r="40" spans="1:4">
      <c r="A40" t="s">
        <v>70</v>
      </c>
      <c r="B40" t="s">
        <v>12</v>
      </c>
      <c r="C40" t="s">
        <v>7</v>
      </c>
      <c r="D40">
        <v>6.765998118086376</v>
      </c>
    </row>
    <row r="41" spans="1:4">
      <c r="A41" t="s">
        <v>118</v>
      </c>
      <c r="B41" t="s">
        <v>12</v>
      </c>
      <c r="C41" t="s">
        <v>7</v>
      </c>
      <c r="D41">
        <v>31.010858214973979</v>
      </c>
    </row>
    <row r="42" spans="1:4">
      <c r="A42" t="s">
        <v>119</v>
      </c>
      <c r="B42" t="s">
        <v>12</v>
      </c>
      <c r="C42" t="s">
        <v>7</v>
      </c>
      <c r="D42">
        <v>3.383005325306784</v>
      </c>
    </row>
    <row r="43" spans="1:4">
      <c r="A43" t="s">
        <v>72</v>
      </c>
      <c r="B43" t="s">
        <v>12</v>
      </c>
      <c r="C43" t="s">
        <v>7</v>
      </c>
      <c r="D43">
        <v>5.2154693608308662</v>
      </c>
    </row>
    <row r="44" spans="1:4">
      <c r="A44" t="s">
        <v>73</v>
      </c>
      <c r="B44" t="s">
        <v>12</v>
      </c>
      <c r="C44" t="s">
        <v>7</v>
      </c>
      <c r="D44">
        <v>12.692147324530925</v>
      </c>
    </row>
    <row r="45" spans="1:4">
      <c r="A45" t="s">
        <v>75</v>
      </c>
      <c r="B45" t="s">
        <v>12</v>
      </c>
      <c r="C45" t="s">
        <v>7</v>
      </c>
      <c r="D45">
        <v>4.6520631686194598</v>
      </c>
    </row>
    <row r="46" spans="1:4">
      <c r="A46" t="s">
        <v>76</v>
      </c>
      <c r="B46" t="s">
        <v>12</v>
      </c>
      <c r="C46" t="s">
        <v>7</v>
      </c>
      <c r="D46">
        <v>8.7429392053614166</v>
      </c>
    </row>
    <row r="47" spans="1:4">
      <c r="A47" t="s">
        <v>77</v>
      </c>
      <c r="B47" t="s">
        <v>12</v>
      </c>
      <c r="C47" t="s">
        <v>7</v>
      </c>
      <c r="D47">
        <v>12.692147324530925</v>
      </c>
    </row>
    <row r="48" spans="1:4">
      <c r="A48" t="s">
        <v>78</v>
      </c>
      <c r="B48" t="s">
        <v>12</v>
      </c>
      <c r="C48" t="s">
        <v>7</v>
      </c>
      <c r="D48">
        <v>2.8193887002161162</v>
      </c>
    </row>
    <row r="49" spans="1:4">
      <c r="A49" t="s">
        <v>79</v>
      </c>
      <c r="B49" t="s">
        <v>12</v>
      </c>
      <c r="C49" t="s">
        <v>7</v>
      </c>
      <c r="D49">
        <v>9.5874015748031489</v>
      </c>
    </row>
    <row r="50" spans="1:4">
      <c r="A50" t="s">
        <v>80</v>
      </c>
      <c r="B50" t="s">
        <v>12</v>
      </c>
      <c r="C50" t="s">
        <v>7</v>
      </c>
      <c r="D50">
        <v>3.101375445746307</v>
      </c>
    </row>
    <row r="51" spans="1:4">
      <c r="A51" t="s">
        <v>81</v>
      </c>
      <c r="B51" t="s">
        <v>12</v>
      </c>
      <c r="C51" t="s">
        <v>7</v>
      </c>
      <c r="D51">
        <v>17.760835529450663</v>
      </c>
    </row>
    <row r="52" spans="1:4">
      <c r="A52" t="s">
        <v>82</v>
      </c>
      <c r="B52" t="s">
        <v>12</v>
      </c>
      <c r="C52" t="s">
        <v>7</v>
      </c>
      <c r="D52">
        <v>8.4594719777674854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0"/>
  <sheetViews>
    <sheetView workbookViewId="0"/>
  </sheetViews>
  <sheetFormatPr baseColWidth="10" defaultRowHeight="15"/>
  <cols>
    <col min="1" max="1" width="31.42578125" bestFit="1" customWidth="1"/>
    <col min="2" max="2" width="11.85546875" bestFit="1" customWidth="1"/>
    <col min="3" max="3" width="11.28515625" bestFit="1" customWidth="1"/>
    <col min="4" max="4" width="12" bestFit="1" customWidth="1"/>
  </cols>
  <sheetData>
    <row r="1" spans="1:4">
      <c r="A1" t="s">
        <v>107</v>
      </c>
      <c r="B1" t="s">
        <v>0</v>
      </c>
      <c r="C1" t="s">
        <v>3</v>
      </c>
      <c r="D1" t="s">
        <v>105</v>
      </c>
    </row>
    <row r="2" spans="1:4">
      <c r="A2" t="s">
        <v>51</v>
      </c>
      <c r="B2" t="s">
        <v>12</v>
      </c>
      <c r="C2" t="s">
        <v>6</v>
      </c>
      <c r="D2">
        <v>236.40000000000003</v>
      </c>
    </row>
    <row r="3" spans="1:4">
      <c r="A3" t="s">
        <v>52</v>
      </c>
      <c r="B3" t="s">
        <v>12</v>
      </c>
      <c r="C3" t="s">
        <v>6</v>
      </c>
      <c r="D3">
        <v>157.6</v>
      </c>
    </row>
    <row r="4" spans="1:4">
      <c r="A4" t="s">
        <v>53</v>
      </c>
      <c r="B4" t="s">
        <v>12</v>
      </c>
      <c r="C4" t="s">
        <v>6</v>
      </c>
      <c r="D4">
        <v>151.38916256157637</v>
      </c>
    </row>
    <row r="5" spans="1:4">
      <c r="A5" t="s">
        <v>54</v>
      </c>
      <c r="B5" t="s">
        <v>12</v>
      </c>
      <c r="C5" t="s">
        <v>6</v>
      </c>
      <c r="D5">
        <v>61.463999999999999</v>
      </c>
    </row>
    <row r="6" spans="1:4">
      <c r="A6" t="s">
        <v>55</v>
      </c>
      <c r="B6" t="s">
        <v>12</v>
      </c>
      <c r="C6" t="s">
        <v>6</v>
      </c>
      <c r="D6">
        <v>61.463999999999999</v>
      </c>
    </row>
    <row r="7" spans="1:4">
      <c r="A7" t="s">
        <v>56</v>
      </c>
      <c r="B7" t="s">
        <v>12</v>
      </c>
      <c r="C7" t="s">
        <v>6</v>
      </c>
      <c r="D7">
        <v>61.463999999999999</v>
      </c>
    </row>
    <row r="8" spans="1:4">
      <c r="A8" t="s">
        <v>57</v>
      </c>
      <c r="B8" t="s">
        <v>12</v>
      </c>
      <c r="C8" t="s">
        <v>6</v>
      </c>
      <c r="D8">
        <v>102.44000000000001</v>
      </c>
    </row>
    <row r="9" spans="1:4">
      <c r="A9" t="s">
        <v>58</v>
      </c>
      <c r="B9" t="s">
        <v>12</v>
      </c>
      <c r="C9" t="s">
        <v>6</v>
      </c>
      <c r="D9">
        <v>9.0123167155425215</v>
      </c>
    </row>
    <row r="10" spans="1:4">
      <c r="A10" t="s">
        <v>61</v>
      </c>
      <c r="B10" t="s">
        <v>12</v>
      </c>
      <c r="C10" t="s">
        <v>6</v>
      </c>
      <c r="D10">
        <v>2.3718453345681874</v>
      </c>
    </row>
    <row r="11" spans="1:4">
      <c r="A11" t="s">
        <v>62</v>
      </c>
      <c r="B11" t="s">
        <v>12</v>
      </c>
      <c r="C11" t="s">
        <v>6</v>
      </c>
      <c r="D11">
        <v>1.8982087708462017</v>
      </c>
    </row>
    <row r="12" spans="1:4">
      <c r="A12" t="s">
        <v>63</v>
      </c>
      <c r="B12" t="s">
        <v>12</v>
      </c>
      <c r="C12" t="s">
        <v>6</v>
      </c>
      <c r="D12">
        <v>2.3718453345681874</v>
      </c>
    </row>
    <row r="13" spans="1:4">
      <c r="A13" t="s">
        <v>106</v>
      </c>
      <c r="B13" t="s">
        <v>12</v>
      </c>
      <c r="C13" t="s">
        <v>6</v>
      </c>
      <c r="D13">
        <v>11.384857605927298</v>
      </c>
    </row>
    <row r="14" spans="1:4">
      <c r="A14" t="s">
        <v>64</v>
      </c>
      <c r="B14" t="s">
        <v>12</v>
      </c>
      <c r="C14" t="s">
        <v>6</v>
      </c>
      <c r="D14">
        <v>34.154636081752408</v>
      </c>
    </row>
    <row r="15" spans="1:4">
      <c r="A15" t="s">
        <v>51</v>
      </c>
      <c r="B15" t="s">
        <v>12</v>
      </c>
      <c r="C15" t="s">
        <v>10</v>
      </c>
      <c r="D15">
        <v>96.701709401709394</v>
      </c>
    </row>
    <row r="16" spans="1:4">
      <c r="A16" t="s">
        <v>52</v>
      </c>
      <c r="B16" t="s">
        <v>12</v>
      </c>
      <c r="C16" t="s">
        <v>10</v>
      </c>
      <c r="D16">
        <v>64.467806267806267</v>
      </c>
    </row>
    <row r="17" spans="1:4">
      <c r="A17" t="s">
        <v>53</v>
      </c>
      <c r="B17" t="s">
        <v>12</v>
      </c>
      <c r="C17" t="s">
        <v>10</v>
      </c>
      <c r="D17">
        <v>77.778325123152712</v>
      </c>
    </row>
    <row r="18" spans="1:4">
      <c r="A18" t="s">
        <v>54</v>
      </c>
      <c r="B18" t="s">
        <v>12</v>
      </c>
      <c r="C18" t="s">
        <v>10</v>
      </c>
      <c r="D18">
        <v>31.578000000000003</v>
      </c>
    </row>
    <row r="19" spans="1:4">
      <c r="A19" t="s">
        <v>55</v>
      </c>
      <c r="B19" t="s">
        <v>12</v>
      </c>
      <c r="C19" t="s">
        <v>10</v>
      </c>
      <c r="D19">
        <v>31.578000000000003</v>
      </c>
    </row>
    <row r="20" spans="1:4">
      <c r="A20" t="s">
        <v>56</v>
      </c>
      <c r="B20" t="s">
        <v>12</v>
      </c>
      <c r="C20" t="s">
        <v>10</v>
      </c>
      <c r="D20">
        <v>31.578000000000003</v>
      </c>
    </row>
    <row r="21" spans="1:4">
      <c r="A21" t="s">
        <v>57</v>
      </c>
      <c r="B21" t="s">
        <v>12</v>
      </c>
      <c r="C21" t="s">
        <v>10</v>
      </c>
      <c r="D21">
        <v>52.63</v>
      </c>
    </row>
    <row r="22" spans="1:4">
      <c r="A22" t="s">
        <v>58</v>
      </c>
      <c r="B22" t="s">
        <v>12</v>
      </c>
      <c r="C22" t="s">
        <v>10</v>
      </c>
      <c r="D22">
        <v>4.630205278592376</v>
      </c>
    </row>
    <row r="23" spans="1:4">
      <c r="A23" t="s">
        <v>61</v>
      </c>
      <c r="B23" t="s">
        <v>12</v>
      </c>
      <c r="C23" t="s">
        <v>10</v>
      </c>
      <c r="D23">
        <v>1.2185691132206529</v>
      </c>
    </row>
    <row r="24" spans="1:4">
      <c r="A24" t="s">
        <v>62</v>
      </c>
      <c r="B24" t="s">
        <v>12</v>
      </c>
      <c r="C24" t="s">
        <v>10</v>
      </c>
      <c r="D24">
        <v>0.97523162445954292</v>
      </c>
    </row>
    <row r="25" spans="1:4">
      <c r="A25" t="s">
        <v>63</v>
      </c>
      <c r="B25" t="s">
        <v>12</v>
      </c>
      <c r="C25" t="s">
        <v>10</v>
      </c>
      <c r="D25">
        <v>1.2185691132206529</v>
      </c>
    </row>
    <row r="26" spans="1:4">
      <c r="A26" t="s">
        <v>106</v>
      </c>
      <c r="B26" t="s">
        <v>12</v>
      </c>
      <c r="C26" t="s">
        <v>10</v>
      </c>
      <c r="D26">
        <v>5.8491317434591341</v>
      </c>
    </row>
    <row r="27" spans="1:4">
      <c r="A27" t="s">
        <v>64</v>
      </c>
      <c r="B27" t="s">
        <v>12</v>
      </c>
      <c r="C27" t="s">
        <v>10</v>
      </c>
      <c r="D27">
        <v>17.547427733137734</v>
      </c>
    </row>
    <row r="28" spans="1:4">
      <c r="A28" t="s">
        <v>51</v>
      </c>
      <c r="B28" t="s">
        <v>12</v>
      </c>
      <c r="C28" t="s">
        <v>7</v>
      </c>
      <c r="D28">
        <v>132.94945054945055</v>
      </c>
    </row>
    <row r="29" spans="1:4">
      <c r="A29" t="s">
        <v>52</v>
      </c>
      <c r="B29" t="s">
        <v>12</v>
      </c>
      <c r="C29" t="s">
        <v>7</v>
      </c>
      <c r="D29">
        <v>88.632967032967031</v>
      </c>
    </row>
    <row r="30" spans="1:4">
      <c r="A30" t="s">
        <v>53</v>
      </c>
      <c r="B30" t="s">
        <v>12</v>
      </c>
      <c r="C30" t="s">
        <v>7</v>
      </c>
      <c r="D30">
        <v>89.970443349753694</v>
      </c>
    </row>
    <row r="31" spans="1:4">
      <c r="A31" t="s">
        <v>54</v>
      </c>
      <c r="B31" t="s">
        <v>12</v>
      </c>
      <c r="C31" t="s">
        <v>7</v>
      </c>
      <c r="D31">
        <v>36.527999999999999</v>
      </c>
    </row>
    <row r="32" spans="1:4">
      <c r="A32" t="s">
        <v>55</v>
      </c>
      <c r="B32" t="s">
        <v>12</v>
      </c>
      <c r="C32" t="s">
        <v>7</v>
      </c>
      <c r="D32">
        <v>36.527999999999999</v>
      </c>
    </row>
    <row r="33" spans="1:4">
      <c r="A33" t="s">
        <v>56</v>
      </c>
      <c r="B33" t="s">
        <v>12</v>
      </c>
      <c r="C33" t="s">
        <v>7</v>
      </c>
      <c r="D33">
        <v>36.527999999999999</v>
      </c>
    </row>
    <row r="34" spans="1:4">
      <c r="A34" t="s">
        <v>57</v>
      </c>
      <c r="B34" t="s">
        <v>12</v>
      </c>
      <c r="C34" t="s">
        <v>7</v>
      </c>
      <c r="D34">
        <v>60.879999999999995</v>
      </c>
    </row>
    <row r="35" spans="1:4">
      <c r="A35" t="s">
        <v>58</v>
      </c>
      <c r="B35" t="s">
        <v>12</v>
      </c>
      <c r="C35" t="s">
        <v>7</v>
      </c>
      <c r="D35">
        <v>5.356011730205279</v>
      </c>
    </row>
    <row r="36" spans="1:4">
      <c r="A36" t="s">
        <v>61</v>
      </c>
      <c r="B36" t="s">
        <v>12</v>
      </c>
      <c r="C36" t="s">
        <v>7</v>
      </c>
      <c r="D36">
        <v>1.40958555221116</v>
      </c>
    </row>
    <row r="37" spans="1:4">
      <c r="A37" t="s">
        <v>62</v>
      </c>
      <c r="B37" t="s">
        <v>12</v>
      </c>
      <c r="C37" t="s">
        <v>7</v>
      </c>
      <c r="D37">
        <v>1.1281037677578751</v>
      </c>
    </row>
    <row r="38" spans="1:4">
      <c r="A38" t="s">
        <v>63</v>
      </c>
      <c r="B38" t="s">
        <v>12</v>
      </c>
      <c r="C38" t="s">
        <v>7</v>
      </c>
      <c r="D38">
        <v>1.40958555221116</v>
      </c>
    </row>
    <row r="39" spans="1:4">
      <c r="A39" t="s">
        <v>106</v>
      </c>
      <c r="B39" t="s">
        <v>12</v>
      </c>
      <c r="C39" t="s">
        <v>7</v>
      </c>
      <c r="D39">
        <v>6.766010650613568</v>
      </c>
    </row>
    <row r="40" spans="1:4">
      <c r="A40" t="s">
        <v>64</v>
      </c>
      <c r="B40" t="s">
        <v>12</v>
      </c>
      <c r="C40" t="s">
        <v>7</v>
      </c>
      <c r="D40">
        <v>20.298069549561564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1"/>
  <sheetViews>
    <sheetView topLeftCell="A40" workbookViewId="0"/>
  </sheetViews>
  <sheetFormatPr baseColWidth="10" defaultRowHeight="15"/>
  <cols>
    <col min="1" max="1" width="27.42578125" bestFit="1" customWidth="1"/>
    <col min="2" max="2" width="11" bestFit="1" customWidth="1"/>
    <col min="3" max="3" width="11.28515625" bestFit="1" customWidth="1"/>
    <col min="4" max="4" width="19.42578125" bestFit="1" customWidth="1"/>
    <col min="5" max="5" width="12" customWidth="1"/>
    <col min="6" max="6" width="10.85546875" bestFit="1" customWidth="1"/>
  </cols>
  <sheetData>
    <row r="1" spans="1:6">
      <c r="A1" t="s">
        <v>107</v>
      </c>
      <c r="B1" t="s">
        <v>0</v>
      </c>
      <c r="C1" t="s">
        <v>3</v>
      </c>
      <c r="D1" t="s">
        <v>171</v>
      </c>
      <c r="E1" t="s">
        <v>105</v>
      </c>
      <c r="F1" t="s">
        <v>175</v>
      </c>
    </row>
    <row r="2" spans="1:6">
      <c r="A2" t="s">
        <v>51</v>
      </c>
      <c r="B2" t="s">
        <v>13</v>
      </c>
      <c r="C2" t="s">
        <v>6</v>
      </c>
      <c r="D2" t="s">
        <v>172</v>
      </c>
      <c r="E2">
        <v>541.91666666666663</v>
      </c>
      <c r="F2" t="str">
        <f>+EE_Esp[[#This Row],[Variedad]]&amp;" "&amp;EE_Esp[[#This Row],[Año de plantación]]</f>
        <v>Flame 2019</v>
      </c>
    </row>
    <row r="3" spans="1:6">
      <c r="A3" t="s">
        <v>52</v>
      </c>
      <c r="B3" t="s">
        <v>13</v>
      </c>
      <c r="C3" t="s">
        <v>6</v>
      </c>
      <c r="D3" t="s">
        <v>172</v>
      </c>
      <c r="E3">
        <v>541.91666666666663</v>
      </c>
      <c r="F3" t="str">
        <f>+EE_Esp[[#This Row],[Variedad]]&amp;" "&amp;EE_Esp[[#This Row],[Año de plantación]]</f>
        <v>Flame 2019</v>
      </c>
    </row>
    <row r="4" spans="1:6">
      <c r="A4" t="s">
        <v>53</v>
      </c>
      <c r="B4" t="s">
        <v>13</v>
      </c>
      <c r="C4" t="s">
        <v>6</v>
      </c>
      <c r="D4" t="s">
        <v>172</v>
      </c>
      <c r="E4">
        <v>130.06</v>
      </c>
      <c r="F4" t="str">
        <f>+EE_Esp[[#This Row],[Variedad]]&amp;" "&amp;EE_Esp[[#This Row],[Año de plantación]]</f>
        <v>Flame 2019</v>
      </c>
    </row>
    <row r="5" spans="1:6">
      <c r="A5" t="s">
        <v>54</v>
      </c>
      <c r="B5" t="s">
        <v>13</v>
      </c>
      <c r="C5" t="s">
        <v>6</v>
      </c>
      <c r="D5" t="s">
        <v>172</v>
      </c>
      <c r="E5">
        <v>130.06</v>
      </c>
      <c r="F5" t="str">
        <f>+EE_Esp[[#This Row],[Variedad]]&amp;" "&amp;EE_Esp[[#This Row],[Año de plantación]]</f>
        <v>Flame 2019</v>
      </c>
    </row>
    <row r="6" spans="1:6">
      <c r="A6" t="s">
        <v>55</v>
      </c>
      <c r="B6" t="s">
        <v>13</v>
      </c>
      <c r="C6" t="s">
        <v>6</v>
      </c>
      <c r="D6" t="s">
        <v>172</v>
      </c>
      <c r="E6">
        <v>65.03</v>
      </c>
      <c r="F6" t="str">
        <f>+EE_Esp[[#This Row],[Variedad]]&amp;" "&amp;EE_Esp[[#This Row],[Año de plantación]]</f>
        <v>Flame 2019</v>
      </c>
    </row>
    <row r="7" spans="1:6">
      <c r="A7" t="s">
        <v>56</v>
      </c>
      <c r="B7" t="s">
        <v>13</v>
      </c>
      <c r="C7" t="s">
        <v>6</v>
      </c>
      <c r="D7" t="s">
        <v>172</v>
      </c>
      <c r="E7">
        <v>130.06</v>
      </c>
      <c r="F7" t="str">
        <f>+EE_Esp[[#This Row],[Variedad]]&amp;" "&amp;EE_Esp[[#This Row],[Año de plantación]]</f>
        <v>Flame 2019</v>
      </c>
    </row>
    <row r="8" spans="1:6">
      <c r="A8" t="s">
        <v>57</v>
      </c>
      <c r="B8" t="s">
        <v>13</v>
      </c>
      <c r="C8" t="s">
        <v>6</v>
      </c>
      <c r="D8" t="s">
        <v>172</v>
      </c>
      <c r="E8">
        <v>650.29999999999995</v>
      </c>
      <c r="F8" t="str">
        <f>+EE_Esp[[#This Row],[Variedad]]&amp;" "&amp;EE_Esp[[#This Row],[Año de plantación]]</f>
        <v>Flame 2019</v>
      </c>
    </row>
    <row r="9" spans="1:6">
      <c r="A9" t="s">
        <v>58</v>
      </c>
      <c r="B9" t="s">
        <v>13</v>
      </c>
      <c r="C9" t="s">
        <v>6</v>
      </c>
      <c r="D9" t="s">
        <v>172</v>
      </c>
      <c r="E9">
        <v>0.77644330937021289</v>
      </c>
      <c r="F9" t="str">
        <f>+EE_Esp[[#This Row],[Variedad]]&amp;" "&amp;EE_Esp[[#This Row],[Año de plantación]]</f>
        <v>Flame 2019</v>
      </c>
    </row>
    <row r="10" spans="1:6">
      <c r="A10" t="s">
        <v>106</v>
      </c>
      <c r="B10" t="s">
        <v>13</v>
      </c>
      <c r="C10" t="s">
        <v>6</v>
      </c>
      <c r="D10" t="s">
        <v>172</v>
      </c>
      <c r="E10">
        <v>8.5979850331861343</v>
      </c>
      <c r="F10" t="str">
        <f>+EE_Esp[[#This Row],[Variedad]]&amp;" "&amp;EE_Esp[[#This Row],[Año de plantación]]</f>
        <v>Flame 2019</v>
      </c>
    </row>
    <row r="11" spans="1:6">
      <c r="A11" t="s">
        <v>64</v>
      </c>
      <c r="B11" t="s">
        <v>13</v>
      </c>
      <c r="C11" t="s">
        <v>6</v>
      </c>
      <c r="D11" t="s">
        <v>172</v>
      </c>
      <c r="E11">
        <v>30.801049905342147</v>
      </c>
      <c r="F11" t="str">
        <f>+EE_Esp[[#This Row],[Variedad]]&amp;" "&amp;EE_Esp[[#This Row],[Año de plantación]]</f>
        <v>Flame 2019</v>
      </c>
    </row>
    <row r="12" spans="1:6">
      <c r="A12" t="s">
        <v>51</v>
      </c>
      <c r="B12" t="s">
        <v>13</v>
      </c>
      <c r="C12" t="s">
        <v>6</v>
      </c>
      <c r="D12" t="s">
        <v>173</v>
      </c>
      <c r="E12">
        <v>88.412522471978647</v>
      </c>
      <c r="F12" t="str">
        <f>+EE_Esp[[#This Row],[Variedad]]&amp;" "&amp;EE_Esp[[#This Row],[Año de plantación]]</f>
        <v>Flame 2020</v>
      </c>
    </row>
    <row r="13" spans="1:6">
      <c r="A13" t="s">
        <v>52</v>
      </c>
      <c r="B13" t="s">
        <v>13</v>
      </c>
      <c r="C13" t="s">
        <v>6</v>
      </c>
      <c r="D13" t="s">
        <v>173</v>
      </c>
      <c r="E13">
        <v>58.94168164798576</v>
      </c>
      <c r="F13" t="str">
        <f>+EE_Esp[[#This Row],[Variedad]]&amp;" "&amp;EE_Esp[[#This Row],[Año de plantación]]</f>
        <v>Flame 2020</v>
      </c>
    </row>
    <row r="14" spans="1:6">
      <c r="A14" t="s">
        <v>53</v>
      </c>
      <c r="B14" t="s">
        <v>13</v>
      </c>
      <c r="C14" t="s">
        <v>6</v>
      </c>
      <c r="D14" t="s">
        <v>173</v>
      </c>
      <c r="E14">
        <v>581.80246913580243</v>
      </c>
      <c r="F14" t="str">
        <f>+EE_Esp[[#This Row],[Variedad]]&amp;" "&amp;EE_Esp[[#This Row],[Año de plantación]]</f>
        <v>Flame 2020</v>
      </c>
    </row>
    <row r="15" spans="1:6">
      <c r="A15" t="s">
        <v>54</v>
      </c>
      <c r="B15" t="s">
        <v>13</v>
      </c>
      <c r="C15" t="s">
        <v>6</v>
      </c>
      <c r="D15" t="s">
        <v>173</v>
      </c>
      <c r="E15">
        <v>175.18959107806691</v>
      </c>
      <c r="F15" t="str">
        <f>+EE_Esp[[#This Row],[Variedad]]&amp;" "&amp;EE_Esp[[#This Row],[Año de plantación]]</f>
        <v>Flame 2020</v>
      </c>
    </row>
    <row r="16" spans="1:6">
      <c r="A16" t="s">
        <v>55</v>
      </c>
      <c r="B16" t="s">
        <v>13</v>
      </c>
      <c r="C16" t="s">
        <v>6</v>
      </c>
      <c r="D16" t="s">
        <v>173</v>
      </c>
      <c r="E16">
        <v>0</v>
      </c>
      <c r="F16" t="str">
        <f>+EE_Esp[[#This Row],[Variedad]]&amp;" "&amp;EE_Esp[[#This Row],[Año de plantación]]</f>
        <v>Flame 2020</v>
      </c>
    </row>
    <row r="17" spans="1:6">
      <c r="A17" t="s">
        <v>56</v>
      </c>
      <c r="B17" t="s">
        <v>13</v>
      </c>
      <c r="C17" t="s">
        <v>6</v>
      </c>
      <c r="D17" t="s">
        <v>173</v>
      </c>
      <c r="E17">
        <v>235.63</v>
      </c>
      <c r="F17" t="str">
        <f>+EE_Esp[[#This Row],[Variedad]]&amp;" "&amp;EE_Esp[[#This Row],[Año de plantación]]</f>
        <v>Flame 2020</v>
      </c>
    </row>
    <row r="18" spans="1:6">
      <c r="A18" t="s">
        <v>57</v>
      </c>
      <c r="B18" t="s">
        <v>13</v>
      </c>
      <c r="C18" t="s">
        <v>6</v>
      </c>
      <c r="D18" t="s">
        <v>173</v>
      </c>
      <c r="E18">
        <v>0</v>
      </c>
      <c r="F18" t="str">
        <f>+EE_Esp[[#This Row],[Variedad]]&amp;" "&amp;EE_Esp[[#This Row],[Año de plantación]]</f>
        <v>Flame 2020</v>
      </c>
    </row>
    <row r="19" spans="1:6">
      <c r="A19" t="s">
        <v>58</v>
      </c>
      <c r="B19" t="s">
        <v>13</v>
      </c>
      <c r="C19" t="s">
        <v>6</v>
      </c>
      <c r="D19" t="s">
        <v>173</v>
      </c>
      <c r="E19">
        <v>0.56267364904475858</v>
      </c>
      <c r="F19" t="str">
        <f>+EE_Esp[[#This Row],[Variedad]]&amp;" "&amp;EE_Esp[[#This Row],[Año de plantación]]</f>
        <v>Flame 2020</v>
      </c>
    </row>
    <row r="20" spans="1:6">
      <c r="A20" t="s">
        <v>106</v>
      </c>
      <c r="B20" t="s">
        <v>13</v>
      </c>
      <c r="C20" t="s">
        <v>6</v>
      </c>
      <c r="D20" t="s">
        <v>173</v>
      </c>
      <c r="E20">
        <v>6.2307956739032706</v>
      </c>
      <c r="F20" t="str">
        <f>+EE_Esp[[#This Row],[Variedad]]&amp;" "&amp;EE_Esp[[#This Row],[Año de plantación]]</f>
        <v>Flame 2020</v>
      </c>
    </row>
    <row r="21" spans="1:6">
      <c r="A21" t="s">
        <v>64</v>
      </c>
      <c r="B21" t="s">
        <v>13</v>
      </c>
      <c r="C21" t="s">
        <v>6</v>
      </c>
      <c r="D21" t="s">
        <v>173</v>
      </c>
      <c r="E21">
        <v>22.32093307456795</v>
      </c>
      <c r="F21" t="str">
        <f>+EE_Esp[[#This Row],[Variedad]]&amp;" "&amp;EE_Esp[[#This Row],[Año de plantación]]</f>
        <v>Flame 2020</v>
      </c>
    </row>
    <row r="22" spans="1:6">
      <c r="A22" t="s">
        <v>51</v>
      </c>
      <c r="B22" t="s">
        <v>14</v>
      </c>
      <c r="C22" t="s">
        <v>10</v>
      </c>
      <c r="D22" t="s">
        <v>173</v>
      </c>
      <c r="E22">
        <v>393.7166666666667</v>
      </c>
      <c r="F22" t="str">
        <f>+EE_Esp[[#This Row],[Variedad]]&amp;" "&amp;EE_Esp[[#This Row],[Año de plantación]]</f>
        <v>Fiesta 2020</v>
      </c>
    </row>
    <row r="23" spans="1:6">
      <c r="A23" t="s">
        <v>52</v>
      </c>
      <c r="B23" t="s">
        <v>14</v>
      </c>
      <c r="C23" t="s">
        <v>10</v>
      </c>
      <c r="D23" t="s">
        <v>173</v>
      </c>
      <c r="E23">
        <v>393.7166666666667</v>
      </c>
      <c r="F23" t="str">
        <f>+EE_Esp[[#This Row],[Variedad]]&amp;" "&amp;EE_Esp[[#This Row],[Año de plantación]]</f>
        <v>Fiesta 2020</v>
      </c>
    </row>
    <row r="24" spans="1:6">
      <c r="A24" t="s">
        <v>53</v>
      </c>
      <c r="B24" t="s">
        <v>14</v>
      </c>
      <c r="C24" t="s">
        <v>10</v>
      </c>
      <c r="D24" t="s">
        <v>173</v>
      </c>
      <c r="E24">
        <v>363.43076923076922</v>
      </c>
      <c r="F24" t="str">
        <f>+EE_Esp[[#This Row],[Variedad]]&amp;" "&amp;EE_Esp[[#This Row],[Año de plantación]]</f>
        <v>Fiesta 2020</v>
      </c>
    </row>
    <row r="25" spans="1:6">
      <c r="A25" t="s">
        <v>54</v>
      </c>
      <c r="B25" t="s">
        <v>14</v>
      </c>
      <c r="C25" t="s">
        <v>10</v>
      </c>
      <c r="D25" t="s">
        <v>173</v>
      </c>
      <c r="E25">
        <v>168.92780952380951</v>
      </c>
      <c r="F25" t="str">
        <f>+EE_Esp[[#This Row],[Variedad]]&amp;" "&amp;EE_Esp[[#This Row],[Año de plantación]]</f>
        <v>Fiesta 2020</v>
      </c>
    </row>
    <row r="26" spans="1:6">
      <c r="A26" t="s">
        <v>55</v>
      </c>
      <c r="B26" t="s">
        <v>14</v>
      </c>
      <c r="C26" t="s">
        <v>10</v>
      </c>
      <c r="D26" t="s">
        <v>173</v>
      </c>
      <c r="E26">
        <v>47.245999999999995</v>
      </c>
      <c r="F26" t="str">
        <f>+EE_Esp[[#This Row],[Variedad]]&amp;" "&amp;EE_Esp[[#This Row],[Año de plantación]]</f>
        <v>Fiesta 2020</v>
      </c>
    </row>
    <row r="27" spans="1:6">
      <c r="A27" t="s">
        <v>56</v>
      </c>
      <c r="B27" t="s">
        <v>14</v>
      </c>
      <c r="C27" t="s">
        <v>10</v>
      </c>
      <c r="D27" t="s">
        <v>173</v>
      </c>
      <c r="E27">
        <v>94.49199999999999</v>
      </c>
      <c r="F27" t="str">
        <f>+EE_Esp[[#This Row],[Variedad]]&amp;" "&amp;EE_Esp[[#This Row],[Año de plantación]]</f>
        <v>Fiesta 2020</v>
      </c>
    </row>
    <row r="28" spans="1:6">
      <c r="A28" t="s">
        <v>57</v>
      </c>
      <c r="B28" t="s">
        <v>14</v>
      </c>
      <c r="C28" t="s">
        <v>10</v>
      </c>
      <c r="D28" t="s">
        <v>173</v>
      </c>
      <c r="E28">
        <v>472.46000000000004</v>
      </c>
      <c r="F28" t="str">
        <f>+EE_Esp[[#This Row],[Variedad]]&amp;" "&amp;EE_Esp[[#This Row],[Año de plantación]]</f>
        <v>Fiesta 2020</v>
      </c>
    </row>
    <row r="29" spans="1:6">
      <c r="A29" t="s">
        <v>58</v>
      </c>
      <c r="B29" t="s">
        <v>14</v>
      </c>
      <c r="C29" t="s">
        <v>10</v>
      </c>
      <c r="D29" t="s">
        <v>173</v>
      </c>
      <c r="E29">
        <v>0.56410642156704727</v>
      </c>
      <c r="F29" t="str">
        <f>+EE_Esp[[#This Row],[Variedad]]&amp;" "&amp;EE_Esp[[#This Row],[Año de plantación]]</f>
        <v>Fiesta 2020</v>
      </c>
    </row>
    <row r="30" spans="1:6">
      <c r="A30" t="s">
        <v>106</v>
      </c>
      <c r="B30" t="s">
        <v>14</v>
      </c>
      <c r="C30" t="s">
        <v>10</v>
      </c>
      <c r="D30" t="s">
        <v>173</v>
      </c>
      <c r="E30">
        <v>6.2466615543274182</v>
      </c>
      <c r="F30" t="str">
        <f>+EE_Esp[[#This Row],[Variedad]]&amp;" "&amp;EE_Esp[[#This Row],[Año de plantación]]</f>
        <v>Fiesta 2020</v>
      </c>
    </row>
    <row r="31" spans="1:6">
      <c r="A31" t="s">
        <v>64</v>
      </c>
      <c r="B31" t="s">
        <v>14</v>
      </c>
      <c r="C31" t="s">
        <v>10</v>
      </c>
      <c r="D31" t="s">
        <v>173</v>
      </c>
      <c r="E31">
        <v>22.377770318742037</v>
      </c>
      <c r="F31" t="str">
        <f>+EE_Esp[[#This Row],[Variedad]]&amp;" "&amp;EE_Esp[[#This Row],[Año de plantación]]</f>
        <v>Fiesta 2020</v>
      </c>
    </row>
    <row r="32" spans="1:6">
      <c r="A32" t="s">
        <v>51</v>
      </c>
      <c r="B32" t="s">
        <v>14</v>
      </c>
      <c r="C32" t="s">
        <v>6</v>
      </c>
      <c r="D32" t="s">
        <v>172</v>
      </c>
      <c r="E32">
        <v>401.73333333333335</v>
      </c>
      <c r="F32" t="str">
        <f>+EE_Esp[[#This Row],[Variedad]]&amp;" "&amp;EE_Esp[[#This Row],[Año de plantación]]</f>
        <v>Flame 2019</v>
      </c>
    </row>
    <row r="33" spans="1:6">
      <c r="A33" t="s">
        <v>52</v>
      </c>
      <c r="B33" t="s">
        <v>14</v>
      </c>
      <c r="C33" t="s">
        <v>6</v>
      </c>
      <c r="D33" t="s">
        <v>172</v>
      </c>
      <c r="E33">
        <v>401.73333333333335</v>
      </c>
      <c r="F33" t="str">
        <f>+EE_Esp[[#This Row],[Variedad]]&amp;" "&amp;EE_Esp[[#This Row],[Año de plantación]]</f>
        <v>Flame 2019</v>
      </c>
    </row>
    <row r="34" spans="1:6">
      <c r="A34" t="s">
        <v>53</v>
      </c>
      <c r="B34" t="s">
        <v>14</v>
      </c>
      <c r="C34" t="s">
        <v>6</v>
      </c>
      <c r="D34" t="s">
        <v>172</v>
      </c>
      <c r="E34">
        <v>370.83076923076925</v>
      </c>
      <c r="F34" t="str">
        <f>+EE_Esp[[#This Row],[Variedad]]&amp;" "&amp;EE_Esp[[#This Row],[Año de plantación]]</f>
        <v>Flame 2019</v>
      </c>
    </row>
    <row r="35" spans="1:6">
      <c r="A35" t="s">
        <v>54</v>
      </c>
      <c r="B35" t="s">
        <v>14</v>
      </c>
      <c r="C35" t="s">
        <v>6</v>
      </c>
      <c r="D35" t="s">
        <v>172</v>
      </c>
      <c r="E35">
        <v>192.83199999999999</v>
      </c>
      <c r="F35" t="str">
        <f>+EE_Esp[[#This Row],[Variedad]]&amp;" "&amp;EE_Esp[[#This Row],[Año de plantación]]</f>
        <v>Flame 2019</v>
      </c>
    </row>
    <row r="36" spans="1:6">
      <c r="A36" t="s">
        <v>55</v>
      </c>
      <c r="B36" t="s">
        <v>14</v>
      </c>
      <c r="C36" t="s">
        <v>6</v>
      </c>
      <c r="D36" t="s">
        <v>172</v>
      </c>
      <c r="E36">
        <v>48.207999999999998</v>
      </c>
      <c r="F36" t="str">
        <f>+EE_Esp[[#This Row],[Variedad]]&amp;" "&amp;EE_Esp[[#This Row],[Año de plantación]]</f>
        <v>Flame 2019</v>
      </c>
    </row>
    <row r="37" spans="1:6">
      <c r="A37" t="s">
        <v>56</v>
      </c>
      <c r="B37" t="s">
        <v>14</v>
      </c>
      <c r="C37" t="s">
        <v>6</v>
      </c>
      <c r="D37" t="s">
        <v>172</v>
      </c>
      <c r="E37">
        <v>96.415999999999997</v>
      </c>
      <c r="F37" t="str">
        <f>+EE_Esp[[#This Row],[Variedad]]&amp;" "&amp;EE_Esp[[#This Row],[Año de plantación]]</f>
        <v>Flame 2019</v>
      </c>
    </row>
    <row r="38" spans="1:6">
      <c r="A38" t="s">
        <v>57</v>
      </c>
      <c r="B38" t="s">
        <v>14</v>
      </c>
      <c r="C38" t="s">
        <v>6</v>
      </c>
      <c r="D38" t="s">
        <v>172</v>
      </c>
      <c r="E38">
        <v>482.08</v>
      </c>
      <c r="F38" t="str">
        <f>+EE_Esp[[#This Row],[Variedad]]&amp;" "&amp;EE_Esp[[#This Row],[Año de plantación]]</f>
        <v>Flame 2019</v>
      </c>
    </row>
    <row r="39" spans="1:6">
      <c r="A39" t="s">
        <v>58</v>
      </c>
      <c r="B39" t="s">
        <v>14</v>
      </c>
      <c r="C39" t="s">
        <v>6</v>
      </c>
      <c r="D39" t="s">
        <v>172</v>
      </c>
      <c r="E39">
        <v>0.57559248128739393</v>
      </c>
      <c r="F39" t="str">
        <f>+EE_Esp[[#This Row],[Variedad]]&amp;" "&amp;EE_Esp[[#This Row],[Año de plantación]]</f>
        <v>Flame 2019</v>
      </c>
    </row>
    <row r="40" spans="1:6">
      <c r="A40" t="s">
        <v>106</v>
      </c>
      <c r="B40" t="s">
        <v>14</v>
      </c>
      <c r="C40" t="s">
        <v>6</v>
      </c>
      <c r="D40" t="s">
        <v>172</v>
      </c>
      <c r="E40">
        <v>6.3738530290610047</v>
      </c>
      <c r="F40" t="str">
        <f>+EE_Esp[[#This Row],[Variedad]]&amp;" "&amp;EE_Esp[[#This Row],[Año de plantación]]</f>
        <v>Flame 2019</v>
      </c>
    </row>
    <row r="41" spans="1:6">
      <c r="A41" t="s">
        <v>64</v>
      </c>
      <c r="B41" t="s">
        <v>14</v>
      </c>
      <c r="C41" t="s">
        <v>6</v>
      </c>
      <c r="D41" t="s">
        <v>172</v>
      </c>
      <c r="E41">
        <v>22.833415559537659</v>
      </c>
      <c r="F41" t="str">
        <f>+EE_Esp[[#This Row],[Variedad]]&amp;" "&amp;EE_Esp[[#This Row],[Año de plantación]]</f>
        <v>Flame 2019</v>
      </c>
    </row>
    <row r="42" spans="1:6">
      <c r="A42" t="s">
        <v>51</v>
      </c>
      <c r="B42" t="s">
        <v>14</v>
      </c>
      <c r="C42" t="s">
        <v>5</v>
      </c>
      <c r="D42" t="s">
        <v>172</v>
      </c>
      <c r="E42">
        <v>803.4666666666667</v>
      </c>
      <c r="F42" t="str">
        <f>+EE_Esp[[#This Row],[Variedad]]&amp;" "&amp;EE_Esp[[#This Row],[Año de plantación]]</f>
        <v>Selma 2019</v>
      </c>
    </row>
    <row r="43" spans="1:6">
      <c r="A43" t="s">
        <v>52</v>
      </c>
      <c r="B43" t="s">
        <v>14</v>
      </c>
      <c r="C43" t="s">
        <v>5</v>
      </c>
      <c r="D43" t="s">
        <v>172</v>
      </c>
      <c r="E43">
        <v>803.4666666666667</v>
      </c>
      <c r="F43" t="str">
        <f>+EE_Esp[[#This Row],[Variedad]]&amp;" "&amp;EE_Esp[[#This Row],[Año de plantación]]</f>
        <v>Selma 2019</v>
      </c>
    </row>
    <row r="44" spans="1:6">
      <c r="A44" t="s">
        <v>53</v>
      </c>
      <c r="B44" t="s">
        <v>14</v>
      </c>
      <c r="C44" t="s">
        <v>5</v>
      </c>
      <c r="D44" t="s">
        <v>172</v>
      </c>
      <c r="E44">
        <v>741.66153846153861</v>
      </c>
      <c r="F44" t="str">
        <f>+EE_Esp[[#This Row],[Variedad]]&amp;" "&amp;EE_Esp[[#This Row],[Año de plantación]]</f>
        <v>Selma 2019</v>
      </c>
    </row>
    <row r="45" spans="1:6">
      <c r="A45" t="s">
        <v>54</v>
      </c>
      <c r="B45" t="s">
        <v>14</v>
      </c>
      <c r="C45" t="s">
        <v>5</v>
      </c>
      <c r="D45" t="s">
        <v>172</v>
      </c>
      <c r="E45">
        <v>385.66399999999999</v>
      </c>
      <c r="F45" t="str">
        <f>+EE_Esp[[#This Row],[Variedad]]&amp;" "&amp;EE_Esp[[#This Row],[Año de plantación]]</f>
        <v>Selma 2019</v>
      </c>
    </row>
    <row r="46" spans="1:6">
      <c r="A46" t="s">
        <v>55</v>
      </c>
      <c r="B46" t="s">
        <v>14</v>
      </c>
      <c r="C46" t="s">
        <v>5</v>
      </c>
      <c r="D46" t="s">
        <v>172</v>
      </c>
      <c r="E46">
        <v>96.415999999999997</v>
      </c>
      <c r="F46" t="str">
        <f>+EE_Esp[[#This Row],[Variedad]]&amp;" "&amp;EE_Esp[[#This Row],[Año de plantación]]</f>
        <v>Selma 2019</v>
      </c>
    </row>
    <row r="47" spans="1:6">
      <c r="A47" t="s">
        <v>56</v>
      </c>
      <c r="B47" t="s">
        <v>14</v>
      </c>
      <c r="C47" t="s">
        <v>5</v>
      </c>
      <c r="D47" t="s">
        <v>172</v>
      </c>
      <c r="E47">
        <v>192.83199999999999</v>
      </c>
      <c r="F47" t="str">
        <f>+EE_Esp[[#This Row],[Variedad]]&amp;" "&amp;EE_Esp[[#This Row],[Año de plantación]]</f>
        <v>Selma 2019</v>
      </c>
    </row>
    <row r="48" spans="1:6">
      <c r="A48" t="s">
        <v>57</v>
      </c>
      <c r="B48" t="s">
        <v>14</v>
      </c>
      <c r="C48" t="s">
        <v>5</v>
      </c>
      <c r="D48" t="s">
        <v>172</v>
      </c>
      <c r="E48">
        <v>964.16</v>
      </c>
      <c r="F48" t="str">
        <f>+EE_Esp[[#This Row],[Variedad]]&amp;" "&amp;EE_Esp[[#This Row],[Año de plantación]]</f>
        <v>Selma 2019</v>
      </c>
    </row>
    <row r="49" spans="1:6">
      <c r="A49" t="s">
        <v>58</v>
      </c>
      <c r="B49" t="s">
        <v>14</v>
      </c>
      <c r="C49" t="s">
        <v>5</v>
      </c>
      <c r="D49" t="s">
        <v>172</v>
      </c>
      <c r="E49">
        <v>1.1511849625747879</v>
      </c>
      <c r="F49" t="str">
        <f>+EE_Esp[[#This Row],[Variedad]]&amp;" "&amp;EE_Esp[[#This Row],[Año de plantación]]</f>
        <v>Selma 2019</v>
      </c>
    </row>
    <row r="50" spans="1:6">
      <c r="A50" t="s">
        <v>106</v>
      </c>
      <c r="B50" t="s">
        <v>14</v>
      </c>
      <c r="C50" t="s">
        <v>5</v>
      </c>
      <c r="D50" t="s">
        <v>172</v>
      </c>
      <c r="E50">
        <v>12.747706058122008</v>
      </c>
      <c r="F50" t="str">
        <f>+EE_Esp[[#This Row],[Variedad]]&amp;" "&amp;EE_Esp[[#This Row],[Año de plantación]]</f>
        <v>Selma 2019</v>
      </c>
    </row>
    <row r="51" spans="1:6">
      <c r="A51" t="s">
        <v>64</v>
      </c>
      <c r="B51" t="s">
        <v>14</v>
      </c>
      <c r="C51" t="s">
        <v>5</v>
      </c>
      <c r="D51" t="s">
        <v>172</v>
      </c>
      <c r="E51">
        <v>45.666831119075319</v>
      </c>
      <c r="F51" t="str">
        <f>+EE_Esp[[#This Row],[Variedad]]&amp;" "&amp;EE_Esp[[#This Row],[Año de plantación]]</f>
        <v>Selma 2019</v>
      </c>
    </row>
    <row r="52" spans="1:6">
      <c r="A52" t="s">
        <v>51</v>
      </c>
      <c r="B52" t="s">
        <v>15</v>
      </c>
      <c r="C52" t="s">
        <v>10</v>
      </c>
      <c r="D52" t="s">
        <v>174</v>
      </c>
      <c r="E52">
        <v>461.89333333333326</v>
      </c>
      <c r="F52" t="str">
        <f>+EE_Esp[[#This Row],[Variedad]]&amp;" "&amp;EE_Esp[[#This Row],[Año de plantación]]</f>
        <v>Fiesta 2021</v>
      </c>
    </row>
    <row r="53" spans="1:6">
      <c r="A53" t="s">
        <v>52</v>
      </c>
      <c r="B53" t="s">
        <v>15</v>
      </c>
      <c r="C53" t="s">
        <v>10</v>
      </c>
      <c r="D53" t="s">
        <v>174</v>
      </c>
      <c r="E53">
        <v>307.92888888888888</v>
      </c>
      <c r="F53" t="str">
        <f>+EE_Esp[[#This Row],[Variedad]]&amp;" "&amp;EE_Esp[[#This Row],[Año de plantación]]</f>
        <v>Fiesta 2021</v>
      </c>
    </row>
    <row r="54" spans="1:6">
      <c r="A54" t="s">
        <v>53</v>
      </c>
      <c r="B54" t="s">
        <v>15</v>
      </c>
      <c r="C54" t="s">
        <v>10</v>
      </c>
      <c r="D54" t="s">
        <v>174</v>
      </c>
      <c r="E54">
        <v>701.75384615384598</v>
      </c>
      <c r="F54" t="str">
        <f>+EE_Esp[[#This Row],[Variedad]]&amp;" "&amp;EE_Esp[[#This Row],[Año de plantación]]</f>
        <v>Fiesta 2021</v>
      </c>
    </row>
    <row r="55" spans="1:6">
      <c r="A55" t="s">
        <v>54</v>
      </c>
      <c r="B55" t="s">
        <v>15</v>
      </c>
      <c r="C55" t="s">
        <v>10</v>
      </c>
      <c r="D55" t="s">
        <v>174</v>
      </c>
      <c r="E55">
        <v>182.45600000000002</v>
      </c>
      <c r="F55" t="str">
        <f>+EE_Esp[[#This Row],[Variedad]]&amp;" "&amp;EE_Esp[[#This Row],[Año de plantación]]</f>
        <v>Fiesta 2021</v>
      </c>
    </row>
    <row r="56" spans="1:6">
      <c r="A56" t="s">
        <v>55</v>
      </c>
      <c r="B56" t="s">
        <v>15</v>
      </c>
      <c r="C56" t="s">
        <v>10</v>
      </c>
      <c r="D56" t="s">
        <v>174</v>
      </c>
      <c r="E56">
        <v>11.972</v>
      </c>
      <c r="F56" t="str">
        <f>+EE_Esp[[#This Row],[Variedad]]&amp;" "&amp;EE_Esp[[#This Row],[Año de plantación]]</f>
        <v>Fiesta 2021</v>
      </c>
    </row>
    <row r="57" spans="1:6">
      <c r="A57" t="s">
        <v>56</v>
      </c>
      <c r="B57" t="s">
        <v>15</v>
      </c>
      <c r="C57" t="s">
        <v>10</v>
      </c>
      <c r="D57" t="s">
        <v>174</v>
      </c>
      <c r="E57">
        <v>182.45600000000002</v>
      </c>
      <c r="F57" t="str">
        <f>+EE_Esp[[#This Row],[Variedad]]&amp;" "&amp;EE_Esp[[#This Row],[Año de plantación]]</f>
        <v>Fiesta 2021</v>
      </c>
    </row>
    <row r="58" spans="1:6">
      <c r="A58" t="s">
        <v>57</v>
      </c>
      <c r="B58" t="s">
        <v>15</v>
      </c>
      <c r="C58" t="s">
        <v>10</v>
      </c>
      <c r="D58" t="s">
        <v>174</v>
      </c>
      <c r="E58">
        <v>552.46400000000006</v>
      </c>
      <c r="F58" t="str">
        <f>+EE_Esp[[#This Row],[Variedad]]&amp;" "&amp;EE_Esp[[#This Row],[Año de plantación]]</f>
        <v>Fiesta 2021</v>
      </c>
    </row>
    <row r="59" spans="1:6">
      <c r="A59" t="s">
        <v>58</v>
      </c>
      <c r="B59" t="s">
        <v>15</v>
      </c>
      <c r="C59" t="s">
        <v>10</v>
      </c>
      <c r="D59" t="s">
        <v>174</v>
      </c>
      <c r="E59">
        <v>0.90701596865601464</v>
      </c>
      <c r="F59" t="str">
        <f>+EE_Esp[[#This Row],[Variedad]]&amp;" "&amp;EE_Esp[[#This Row],[Año de plantación]]</f>
        <v>Fiesta 2021</v>
      </c>
    </row>
    <row r="60" spans="1:6">
      <c r="A60" t="s">
        <v>106</v>
      </c>
      <c r="B60" t="s">
        <v>15</v>
      </c>
      <c r="C60" t="s">
        <v>10</v>
      </c>
      <c r="D60" t="s">
        <v>174</v>
      </c>
      <c r="E60">
        <v>9.9549219727829517</v>
      </c>
      <c r="F60" t="str">
        <f>+EE_Esp[[#This Row],[Variedad]]&amp;" "&amp;EE_Esp[[#This Row],[Año de plantación]]</f>
        <v>Fiesta 2021</v>
      </c>
    </row>
    <row r="61" spans="1:6">
      <c r="A61" t="s">
        <v>64</v>
      </c>
      <c r="B61" t="s">
        <v>15</v>
      </c>
      <c r="C61" t="s">
        <v>10</v>
      </c>
      <c r="D61" t="s">
        <v>174</v>
      </c>
      <c r="E61">
        <v>35.662977559649548</v>
      </c>
      <c r="F61" t="str">
        <f>+EE_Esp[[#This Row],[Variedad]]&amp;" "&amp;EE_Esp[[#This Row],[Año de plantación]]</f>
        <v>Fiesta 2021</v>
      </c>
    </row>
    <row r="62" spans="1:6">
      <c r="A62" t="s">
        <v>51</v>
      </c>
      <c r="B62" t="s">
        <v>15</v>
      </c>
      <c r="C62" t="s">
        <v>6</v>
      </c>
      <c r="D62" t="s">
        <v>174</v>
      </c>
      <c r="E62">
        <v>228.83166666666665</v>
      </c>
      <c r="F62" t="str">
        <f>+EE_Esp[[#This Row],[Variedad]]&amp;" "&amp;EE_Esp[[#This Row],[Año de plantación]]</f>
        <v>Flame 2021</v>
      </c>
    </row>
    <row r="63" spans="1:6">
      <c r="A63" t="s">
        <v>52</v>
      </c>
      <c r="B63" t="s">
        <v>15</v>
      </c>
      <c r="C63" t="s">
        <v>6</v>
      </c>
      <c r="D63" t="s">
        <v>174</v>
      </c>
      <c r="E63">
        <v>152.55444444444444</v>
      </c>
      <c r="F63" t="str">
        <f>+EE_Esp[[#This Row],[Variedad]]&amp;" "&amp;EE_Esp[[#This Row],[Año de plantación]]</f>
        <v>Flame 2021</v>
      </c>
    </row>
    <row r="64" spans="1:6">
      <c r="A64" t="s">
        <v>53</v>
      </c>
      <c r="B64" t="s">
        <v>15</v>
      </c>
      <c r="C64" t="s">
        <v>6</v>
      </c>
      <c r="D64" t="s">
        <v>174</v>
      </c>
      <c r="E64">
        <v>396.21538461538461</v>
      </c>
      <c r="F64" t="str">
        <f>+EE_Esp[[#This Row],[Variedad]]&amp;" "&amp;EE_Esp[[#This Row],[Año de plantación]]</f>
        <v>Flame 2021</v>
      </c>
    </row>
    <row r="65" spans="1:6">
      <c r="A65" t="s">
        <v>54</v>
      </c>
      <c r="B65" t="s">
        <v>15</v>
      </c>
      <c r="C65" t="s">
        <v>6</v>
      </c>
      <c r="D65" t="s">
        <v>174</v>
      </c>
      <c r="E65">
        <v>103.01599999999999</v>
      </c>
      <c r="F65" t="str">
        <f>+EE_Esp[[#This Row],[Variedad]]&amp;" "&amp;EE_Esp[[#This Row],[Año de plantación]]</f>
        <v>Flame 2021</v>
      </c>
    </row>
    <row r="66" spans="1:6">
      <c r="A66" t="s">
        <v>55</v>
      </c>
      <c r="B66" t="s">
        <v>15</v>
      </c>
      <c r="C66" t="s">
        <v>6</v>
      </c>
      <c r="D66" t="s">
        <v>174</v>
      </c>
      <c r="E66">
        <v>0</v>
      </c>
      <c r="F66" t="str">
        <f>+EE_Esp[[#This Row],[Variedad]]&amp;" "&amp;EE_Esp[[#This Row],[Año de plantación]]</f>
        <v>Flame 2021</v>
      </c>
    </row>
    <row r="67" spans="1:6">
      <c r="A67" t="s">
        <v>56</v>
      </c>
      <c r="B67" t="s">
        <v>15</v>
      </c>
      <c r="C67" t="s">
        <v>6</v>
      </c>
      <c r="D67" t="s">
        <v>174</v>
      </c>
      <c r="E67">
        <v>103.01599999999999</v>
      </c>
      <c r="F67" t="str">
        <f>+EE_Esp[[#This Row],[Variedad]]&amp;" "&amp;EE_Esp[[#This Row],[Año de plantación]]</f>
        <v>Flame 2021</v>
      </c>
    </row>
    <row r="68" spans="1:6">
      <c r="A68" t="s">
        <v>57</v>
      </c>
      <c r="B68" t="s">
        <v>15</v>
      </c>
      <c r="C68" t="s">
        <v>6</v>
      </c>
      <c r="D68" t="s">
        <v>174</v>
      </c>
      <c r="E68">
        <v>263.00333333333333</v>
      </c>
      <c r="F68" t="str">
        <f>+EE_Esp[[#This Row],[Variedad]]&amp;" "&amp;EE_Esp[[#This Row],[Año de plantación]]</f>
        <v>Flame 2021</v>
      </c>
    </row>
    <row r="69" spans="1:6">
      <c r="A69" t="s">
        <v>58</v>
      </c>
      <c r="B69" t="s">
        <v>15</v>
      </c>
      <c r="C69" t="s">
        <v>6</v>
      </c>
      <c r="D69" t="s">
        <v>174</v>
      </c>
      <c r="E69">
        <v>0.51210788917365269</v>
      </c>
      <c r="F69" t="str">
        <f>+EE_Esp[[#This Row],[Variedad]]&amp;" "&amp;EE_Esp[[#This Row],[Año de plantación]]</f>
        <v>Flame 2021</v>
      </c>
    </row>
    <row r="70" spans="1:6">
      <c r="A70" t="s">
        <v>106</v>
      </c>
      <c r="B70" t="s">
        <v>15</v>
      </c>
      <c r="C70" t="s">
        <v>6</v>
      </c>
      <c r="D70" t="s">
        <v>174</v>
      </c>
      <c r="E70">
        <v>5.6206221880793663</v>
      </c>
      <c r="F70" t="str">
        <f>+EE_Esp[[#This Row],[Variedad]]&amp;" "&amp;EE_Esp[[#This Row],[Año de plantación]]</f>
        <v>Flame 2021</v>
      </c>
    </row>
    <row r="71" spans="1:6">
      <c r="A71" t="s">
        <v>64</v>
      </c>
      <c r="B71" t="s">
        <v>15</v>
      </c>
      <c r="C71" t="s">
        <v>6</v>
      </c>
      <c r="D71" t="s">
        <v>174</v>
      </c>
      <c r="E71">
        <v>20.135579516622403</v>
      </c>
      <c r="F71" t="str">
        <f>+EE_Esp[[#This Row],[Variedad]]&amp;" "&amp;EE_Esp[[#This Row],[Año de plantación]]</f>
        <v>Flame 2021</v>
      </c>
    </row>
    <row r="72" spans="1:6">
      <c r="A72" t="s">
        <v>51</v>
      </c>
      <c r="B72" t="s">
        <v>15</v>
      </c>
      <c r="C72" t="s">
        <v>5</v>
      </c>
      <c r="D72" t="s">
        <v>174</v>
      </c>
      <c r="E72">
        <v>70.7</v>
      </c>
      <c r="F72" t="str">
        <f>+EE_Esp[[#This Row],[Variedad]]&amp;" "&amp;EE_Esp[[#This Row],[Año de plantación]]</f>
        <v>Selma 2021</v>
      </c>
    </row>
    <row r="73" spans="1:6">
      <c r="A73" t="s">
        <v>52</v>
      </c>
      <c r="B73" t="s">
        <v>15</v>
      </c>
      <c r="C73" t="s">
        <v>5</v>
      </c>
      <c r="D73" t="s">
        <v>174</v>
      </c>
      <c r="E73">
        <v>47.133333333333333</v>
      </c>
      <c r="F73" t="str">
        <f>+EE_Esp[[#This Row],[Variedad]]&amp;" "&amp;EE_Esp[[#This Row],[Año de plantación]]</f>
        <v>Selma 2021</v>
      </c>
    </row>
    <row r="74" spans="1:6">
      <c r="A74" t="s">
        <v>53</v>
      </c>
      <c r="B74" t="s">
        <v>15</v>
      </c>
      <c r="C74" t="s">
        <v>5</v>
      </c>
      <c r="D74" t="s">
        <v>174</v>
      </c>
      <c r="E74">
        <v>163.15384615384613</v>
      </c>
      <c r="F74" t="str">
        <f>+EE_Esp[[#This Row],[Variedad]]&amp;" "&amp;EE_Esp[[#This Row],[Año de plantación]]</f>
        <v>Selma 2021</v>
      </c>
    </row>
    <row r="75" spans="1:6">
      <c r="A75" t="s">
        <v>54</v>
      </c>
      <c r="B75" t="s">
        <v>15</v>
      </c>
      <c r="C75" t="s">
        <v>5</v>
      </c>
      <c r="D75" t="s">
        <v>174</v>
      </c>
      <c r="E75">
        <v>42.42</v>
      </c>
      <c r="F75" t="str">
        <f>+EE_Esp[[#This Row],[Variedad]]&amp;" "&amp;EE_Esp[[#This Row],[Año de plantación]]</f>
        <v>Selma 2021</v>
      </c>
    </row>
    <row r="76" spans="1:6">
      <c r="A76" t="s">
        <v>55</v>
      </c>
      <c r="B76" t="s">
        <v>15</v>
      </c>
      <c r="C76" t="s">
        <v>5</v>
      </c>
      <c r="D76" t="s">
        <v>174</v>
      </c>
      <c r="E76">
        <v>0</v>
      </c>
      <c r="F76" t="str">
        <f>+EE_Esp[[#This Row],[Variedad]]&amp;" "&amp;EE_Esp[[#This Row],[Año de plantación]]</f>
        <v>Selma 2021</v>
      </c>
    </row>
    <row r="77" spans="1:6">
      <c r="A77" t="s">
        <v>56</v>
      </c>
      <c r="B77" t="s">
        <v>15</v>
      </c>
      <c r="C77" t="s">
        <v>5</v>
      </c>
      <c r="D77" t="s">
        <v>174</v>
      </c>
      <c r="E77">
        <v>42.42</v>
      </c>
      <c r="F77" t="str">
        <f>+EE_Esp[[#This Row],[Variedad]]&amp;" "&amp;EE_Esp[[#This Row],[Año de plantación]]</f>
        <v>Selma 2021</v>
      </c>
    </row>
    <row r="78" spans="1:6">
      <c r="A78" t="s">
        <v>57</v>
      </c>
      <c r="B78" t="s">
        <v>15</v>
      </c>
      <c r="C78" t="s">
        <v>5</v>
      </c>
      <c r="D78" t="s">
        <v>174</v>
      </c>
      <c r="E78">
        <v>42.42</v>
      </c>
      <c r="F78" t="str">
        <f>+EE_Esp[[#This Row],[Variedad]]&amp;" "&amp;EE_Esp[[#This Row],[Año de plantación]]</f>
        <v>Selma 2021</v>
      </c>
    </row>
    <row r="79" spans="1:6">
      <c r="A79" t="s">
        <v>58</v>
      </c>
      <c r="B79" t="s">
        <v>15</v>
      </c>
      <c r="C79" t="s">
        <v>5</v>
      </c>
      <c r="D79" t="s">
        <v>174</v>
      </c>
      <c r="E79">
        <v>0.21087614214050585</v>
      </c>
      <c r="F79" t="str">
        <f>+EE_Esp[[#This Row],[Variedad]]&amp;" "&amp;EE_Esp[[#This Row],[Año de plantación]]</f>
        <v>Selma 2021</v>
      </c>
    </row>
    <row r="80" spans="1:6">
      <c r="A80" t="s">
        <v>106</v>
      </c>
      <c r="B80" t="s">
        <v>15</v>
      </c>
      <c r="C80" t="s">
        <v>5</v>
      </c>
      <c r="D80" t="s">
        <v>174</v>
      </c>
      <c r="E80">
        <v>2.3144637067865834</v>
      </c>
      <c r="F80" t="str">
        <f>+EE_Esp[[#This Row],[Variedad]]&amp;" "&amp;EE_Esp[[#This Row],[Año de plantación]]</f>
        <v>Selma 2021</v>
      </c>
    </row>
    <row r="81" spans="1:6">
      <c r="A81" t="s">
        <v>64</v>
      </c>
      <c r="B81" t="s">
        <v>15</v>
      </c>
      <c r="C81" t="s">
        <v>5</v>
      </c>
      <c r="D81" t="s">
        <v>174</v>
      </c>
      <c r="E81">
        <v>8.2914429127040705</v>
      </c>
      <c r="F81" t="str">
        <f>+EE_Esp[[#This Row],[Variedad]]&amp;" "&amp;EE_Esp[[#This Row],[Año de plantación]]</f>
        <v>Selma 2021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7"/>
  <sheetViews>
    <sheetView topLeftCell="A2" workbookViewId="0"/>
  </sheetViews>
  <sheetFormatPr baseColWidth="10" defaultRowHeight="15"/>
  <cols>
    <col min="1" max="1" width="19.85546875" bestFit="1" customWidth="1"/>
    <col min="2" max="2" width="11" bestFit="1" customWidth="1"/>
    <col min="3" max="3" width="11.28515625" bestFit="1" customWidth="1"/>
    <col min="4" max="4" width="12" bestFit="1" customWidth="1"/>
  </cols>
  <sheetData>
    <row r="1" spans="1:4">
      <c r="A1" t="s">
        <v>107</v>
      </c>
      <c r="B1" t="s">
        <v>0</v>
      </c>
      <c r="C1" t="s">
        <v>3</v>
      </c>
      <c r="D1" t="s">
        <v>105</v>
      </c>
    </row>
    <row r="2" spans="1:4">
      <c r="A2" t="s">
        <v>65</v>
      </c>
      <c r="B2" t="s">
        <v>13</v>
      </c>
      <c r="C2" t="s">
        <v>6</v>
      </c>
      <c r="D2">
        <v>573.64539196262751</v>
      </c>
    </row>
    <row r="3" spans="1:4">
      <c r="A3" t="s">
        <v>66</v>
      </c>
      <c r="B3" t="s">
        <v>13</v>
      </c>
      <c r="C3" t="s">
        <v>6</v>
      </c>
      <c r="D3">
        <v>122.04134929270947</v>
      </c>
    </row>
    <row r="4" spans="1:4">
      <c r="A4" t="s">
        <v>67</v>
      </c>
      <c r="B4" t="s">
        <v>13</v>
      </c>
      <c r="C4" t="s">
        <v>6</v>
      </c>
      <c r="D4">
        <v>87.430620517617712</v>
      </c>
    </row>
    <row r="5" spans="1:4">
      <c r="A5" t="s">
        <v>68</v>
      </c>
      <c r="B5" t="s">
        <v>13</v>
      </c>
      <c r="C5" t="s">
        <v>6</v>
      </c>
      <c r="D5">
        <v>7.009150533639172</v>
      </c>
    </row>
    <row r="6" spans="1:4">
      <c r="A6" t="s">
        <v>69</v>
      </c>
      <c r="B6" t="s">
        <v>13</v>
      </c>
      <c r="C6" t="s">
        <v>6</v>
      </c>
      <c r="D6">
        <v>151.25148343942172</v>
      </c>
    </row>
    <row r="7" spans="1:4">
      <c r="A7" t="s">
        <v>70</v>
      </c>
      <c r="B7" t="s">
        <v>13</v>
      </c>
      <c r="C7" t="s">
        <v>6</v>
      </c>
      <c r="D7">
        <v>260.7430139024504</v>
      </c>
    </row>
    <row r="8" spans="1:4">
      <c r="A8" t="s">
        <v>119</v>
      </c>
      <c r="B8" t="s">
        <v>13</v>
      </c>
      <c r="C8" t="s">
        <v>6</v>
      </c>
      <c r="D8">
        <v>104.76835528978584</v>
      </c>
    </row>
    <row r="9" spans="1:4">
      <c r="A9" t="s">
        <v>72</v>
      </c>
      <c r="B9" t="s">
        <v>13</v>
      </c>
      <c r="C9" t="s">
        <v>6</v>
      </c>
      <c r="D9">
        <v>36.890265964095178</v>
      </c>
    </row>
    <row r="10" spans="1:4">
      <c r="A10" t="s">
        <v>73</v>
      </c>
      <c r="B10" t="s">
        <v>13</v>
      </c>
      <c r="C10" t="s">
        <v>6</v>
      </c>
      <c r="D10">
        <v>11.804888214794321</v>
      </c>
    </row>
    <row r="11" spans="1:4">
      <c r="A11" t="s">
        <v>74</v>
      </c>
      <c r="B11" t="s">
        <v>13</v>
      </c>
      <c r="C11" t="s">
        <v>6</v>
      </c>
      <c r="D11">
        <v>320.4457142857143</v>
      </c>
    </row>
    <row r="12" spans="1:4">
      <c r="A12" t="s">
        <v>75</v>
      </c>
      <c r="B12" t="s">
        <v>13</v>
      </c>
      <c r="C12" t="s">
        <v>6</v>
      </c>
      <c r="D12">
        <v>34.307913493010311</v>
      </c>
    </row>
    <row r="13" spans="1:4">
      <c r="A13" t="s">
        <v>76</v>
      </c>
      <c r="B13" t="s">
        <v>13</v>
      </c>
      <c r="C13" t="s">
        <v>6</v>
      </c>
      <c r="D13">
        <v>105.5059593802621</v>
      </c>
    </row>
    <row r="14" spans="1:4">
      <c r="A14" t="s">
        <v>77</v>
      </c>
      <c r="B14" t="s">
        <v>13</v>
      </c>
      <c r="C14" t="s">
        <v>6</v>
      </c>
      <c r="D14">
        <v>88.731012658227854</v>
      </c>
    </row>
    <row r="15" spans="1:4">
      <c r="A15" t="s">
        <v>78</v>
      </c>
      <c r="B15" t="s">
        <v>13</v>
      </c>
      <c r="C15" t="s">
        <v>6</v>
      </c>
      <c r="D15">
        <v>62.344563833749312</v>
      </c>
    </row>
    <row r="16" spans="1:4">
      <c r="A16" t="s">
        <v>79</v>
      </c>
      <c r="B16" t="s">
        <v>13</v>
      </c>
      <c r="C16" t="s">
        <v>6</v>
      </c>
      <c r="D16">
        <v>169.69524576125013</v>
      </c>
    </row>
    <row r="17" spans="1:4">
      <c r="A17" t="s">
        <v>80</v>
      </c>
      <c r="B17" t="s">
        <v>13</v>
      </c>
      <c r="C17" t="s">
        <v>6</v>
      </c>
      <c r="D17">
        <v>11.805894736842106</v>
      </c>
    </row>
    <row r="18" spans="1:4">
      <c r="A18" t="s">
        <v>81</v>
      </c>
      <c r="B18" t="s">
        <v>13</v>
      </c>
      <c r="C18" t="s">
        <v>6</v>
      </c>
      <c r="D18">
        <v>85.943295019157091</v>
      </c>
    </row>
    <row r="19" spans="1:4">
      <c r="A19" t="s">
        <v>82</v>
      </c>
      <c r="B19" t="s">
        <v>13</v>
      </c>
      <c r="C19" t="s">
        <v>6</v>
      </c>
      <c r="D19">
        <v>38.37016763599042</v>
      </c>
    </row>
    <row r="20" spans="1:4">
      <c r="A20" t="s">
        <v>65</v>
      </c>
      <c r="B20" t="s">
        <v>14</v>
      </c>
      <c r="C20" t="s">
        <v>10</v>
      </c>
      <c r="D20">
        <v>239.82741116751271</v>
      </c>
    </row>
    <row r="21" spans="1:4">
      <c r="A21" t="s">
        <v>66</v>
      </c>
      <c r="B21" t="s">
        <v>14</v>
      </c>
      <c r="C21" t="s">
        <v>10</v>
      </c>
      <c r="D21">
        <v>51.410228509249187</v>
      </c>
    </row>
    <row r="22" spans="1:4">
      <c r="A22" t="s">
        <v>67</v>
      </c>
      <c r="B22" t="s">
        <v>14</v>
      </c>
      <c r="C22" t="s">
        <v>10</v>
      </c>
      <c r="D22">
        <v>36.830371063299033</v>
      </c>
    </row>
    <row r="23" spans="1:4">
      <c r="A23" t="s">
        <v>68</v>
      </c>
      <c r="B23" t="s">
        <v>14</v>
      </c>
      <c r="C23" t="s">
        <v>10</v>
      </c>
      <c r="D23">
        <v>2.9526224732721955</v>
      </c>
    </row>
    <row r="24" spans="1:4">
      <c r="A24" t="s">
        <v>69</v>
      </c>
      <c r="B24" t="s">
        <v>14</v>
      </c>
      <c r="C24" t="s">
        <v>10</v>
      </c>
      <c r="D24">
        <v>63.715071744524771</v>
      </c>
    </row>
    <row r="25" spans="1:4">
      <c r="A25" t="s">
        <v>70</v>
      </c>
      <c r="B25" t="s">
        <v>14</v>
      </c>
      <c r="C25" t="s">
        <v>10</v>
      </c>
      <c r="D25">
        <v>109.83865718138281</v>
      </c>
    </row>
    <row r="26" spans="1:4">
      <c r="A26" t="s">
        <v>119</v>
      </c>
      <c r="B26" t="s">
        <v>14</v>
      </c>
      <c r="C26" t="s">
        <v>10</v>
      </c>
      <c r="D26">
        <v>44.13393589305273</v>
      </c>
    </row>
    <row r="27" spans="1:4">
      <c r="A27" t="s">
        <v>72</v>
      </c>
      <c r="B27" t="s">
        <v>14</v>
      </c>
      <c r="C27" t="s">
        <v>10</v>
      </c>
      <c r="D27">
        <v>15.540118279357683</v>
      </c>
    </row>
    <row r="28" spans="1:4">
      <c r="A28" t="s">
        <v>73</v>
      </c>
      <c r="B28" t="s">
        <v>14</v>
      </c>
      <c r="C28" t="s">
        <v>10</v>
      </c>
      <c r="D28">
        <v>4.9728391579244295</v>
      </c>
    </row>
    <row r="29" spans="1:4">
      <c r="A29" t="s">
        <v>74</v>
      </c>
      <c r="B29" t="s">
        <v>14</v>
      </c>
      <c r="C29" t="s">
        <v>10</v>
      </c>
      <c r="D29">
        <v>134.98857142857145</v>
      </c>
    </row>
    <row r="30" spans="1:4">
      <c r="A30" t="s">
        <v>75</v>
      </c>
      <c r="B30" t="s">
        <v>14</v>
      </c>
      <c r="C30" t="s">
        <v>10</v>
      </c>
      <c r="D30">
        <v>14.452295738888379</v>
      </c>
    </row>
    <row r="31" spans="1:4">
      <c r="A31" t="s">
        <v>76</v>
      </c>
      <c r="B31" t="s">
        <v>14</v>
      </c>
      <c r="C31" t="s">
        <v>10</v>
      </c>
      <c r="D31">
        <v>44.444653490494147</v>
      </c>
    </row>
    <row r="32" spans="1:4">
      <c r="A32" t="s">
        <v>77</v>
      </c>
      <c r="B32" t="s">
        <v>14</v>
      </c>
      <c r="C32" t="s">
        <v>10</v>
      </c>
      <c r="D32">
        <v>37.37816455696202</v>
      </c>
    </row>
    <row r="33" spans="1:4">
      <c r="A33" t="s">
        <v>78</v>
      </c>
      <c r="B33" t="s">
        <v>14</v>
      </c>
      <c r="C33" t="s">
        <v>10</v>
      </c>
      <c r="D33">
        <v>26.262805938953953</v>
      </c>
    </row>
    <row r="34" spans="1:4">
      <c r="A34" t="s">
        <v>79</v>
      </c>
      <c r="B34" t="s">
        <v>14</v>
      </c>
      <c r="C34" t="s">
        <v>10</v>
      </c>
      <c r="D34">
        <v>71.484553490103266</v>
      </c>
    </row>
    <row r="35" spans="1:4">
      <c r="A35" t="s">
        <v>80</v>
      </c>
      <c r="B35" t="s">
        <v>14</v>
      </c>
      <c r="C35" t="s">
        <v>10</v>
      </c>
      <c r="D35">
        <v>4.9732631578947366</v>
      </c>
    </row>
    <row r="36" spans="1:4">
      <c r="A36" t="s">
        <v>81</v>
      </c>
      <c r="B36" t="s">
        <v>14</v>
      </c>
      <c r="C36" t="s">
        <v>10</v>
      </c>
      <c r="D36">
        <v>36.203831417624521</v>
      </c>
    </row>
    <row r="37" spans="1:4">
      <c r="A37" t="s">
        <v>82</v>
      </c>
      <c r="B37" t="s">
        <v>14</v>
      </c>
      <c r="C37" t="s">
        <v>10</v>
      </c>
      <c r="D37">
        <v>16.163530619226819</v>
      </c>
    </row>
    <row r="38" spans="1:4">
      <c r="A38" t="s">
        <v>65</v>
      </c>
      <c r="B38" t="s">
        <v>14</v>
      </c>
      <c r="C38" t="s">
        <v>6</v>
      </c>
      <c r="D38">
        <v>244.71065989847716</v>
      </c>
    </row>
    <row r="39" spans="1:4">
      <c r="A39" t="s">
        <v>66</v>
      </c>
      <c r="B39" t="s">
        <v>14</v>
      </c>
      <c r="C39" t="s">
        <v>6</v>
      </c>
      <c r="D39">
        <v>52.457018498367788</v>
      </c>
    </row>
    <row r="40" spans="1:4">
      <c r="A40" t="s">
        <v>67</v>
      </c>
      <c r="B40" t="s">
        <v>14</v>
      </c>
      <c r="C40" t="s">
        <v>6</v>
      </c>
      <c r="D40">
        <v>37.580293108824449</v>
      </c>
    </row>
    <row r="41" spans="1:4">
      <c r="A41" t="s">
        <v>68</v>
      </c>
      <c r="B41" t="s">
        <v>14</v>
      </c>
      <c r="C41" t="s">
        <v>6</v>
      </c>
      <c r="D41">
        <v>3.0127423314461752</v>
      </c>
    </row>
    <row r="42" spans="1:4">
      <c r="A42" t="s">
        <v>69</v>
      </c>
      <c r="B42" t="s">
        <v>14</v>
      </c>
      <c r="C42" t="s">
        <v>6</v>
      </c>
      <c r="D42">
        <v>65.012406947890824</v>
      </c>
    </row>
    <row r="43" spans="1:4">
      <c r="A43" t="s">
        <v>70</v>
      </c>
      <c r="B43" t="s">
        <v>14</v>
      </c>
      <c r="C43" t="s">
        <v>6</v>
      </c>
      <c r="D43">
        <v>112.07513832705631</v>
      </c>
    </row>
    <row r="44" spans="1:4">
      <c r="A44" t="s">
        <v>119</v>
      </c>
      <c r="B44" t="s">
        <v>14</v>
      </c>
      <c r="C44" t="s">
        <v>6</v>
      </c>
      <c r="D44">
        <v>45.032569562127712</v>
      </c>
    </row>
    <row r="45" spans="1:4">
      <c r="A45" t="s">
        <v>72</v>
      </c>
      <c r="B45" t="s">
        <v>14</v>
      </c>
      <c r="C45" t="s">
        <v>6</v>
      </c>
      <c r="D45">
        <v>15.856538585515711</v>
      </c>
    </row>
    <row r="46" spans="1:4">
      <c r="A46" t="s">
        <v>73</v>
      </c>
      <c r="B46" t="s">
        <v>14</v>
      </c>
      <c r="C46" t="s">
        <v>6</v>
      </c>
      <c r="D46">
        <v>5.0740936825386473</v>
      </c>
    </row>
    <row r="47" spans="1:4">
      <c r="A47" t="s">
        <v>74</v>
      </c>
      <c r="B47" t="s">
        <v>14</v>
      </c>
      <c r="C47" t="s">
        <v>6</v>
      </c>
      <c r="D47">
        <v>137.73714285714286</v>
      </c>
    </row>
    <row r="48" spans="1:4">
      <c r="A48" t="s">
        <v>75</v>
      </c>
      <c r="B48" t="s">
        <v>14</v>
      </c>
      <c r="C48" t="s">
        <v>6</v>
      </c>
      <c r="D48">
        <v>14.746566333241566</v>
      </c>
    </row>
    <row r="49" spans="1:4">
      <c r="A49" t="s">
        <v>76</v>
      </c>
      <c r="B49" t="s">
        <v>14</v>
      </c>
      <c r="C49" t="s">
        <v>6</v>
      </c>
      <c r="D49">
        <v>45.349613839684679</v>
      </c>
    </row>
    <row r="50" spans="1:4">
      <c r="A50" t="s">
        <v>77</v>
      </c>
      <c r="B50" t="s">
        <v>14</v>
      </c>
      <c r="C50" t="s">
        <v>6</v>
      </c>
      <c r="D50">
        <v>38.139240506329116</v>
      </c>
    </row>
    <row r="51" spans="1:4">
      <c r="A51" t="s">
        <v>78</v>
      </c>
      <c r="B51" t="s">
        <v>14</v>
      </c>
      <c r="C51" t="s">
        <v>6</v>
      </c>
      <c r="D51">
        <v>26.797556379483815</v>
      </c>
    </row>
    <row r="52" spans="1:4">
      <c r="A52" t="s">
        <v>79</v>
      </c>
      <c r="B52" t="s">
        <v>14</v>
      </c>
      <c r="C52" t="s">
        <v>6</v>
      </c>
      <c r="D52">
        <v>72.940087089931396</v>
      </c>
    </row>
    <row r="53" spans="1:4">
      <c r="A53" t="s">
        <v>80</v>
      </c>
      <c r="B53" t="s">
        <v>14</v>
      </c>
      <c r="C53" t="s">
        <v>6</v>
      </c>
      <c r="D53">
        <v>5.0745263157894733</v>
      </c>
    </row>
    <row r="54" spans="1:4">
      <c r="A54" t="s">
        <v>81</v>
      </c>
      <c r="B54" t="s">
        <v>14</v>
      </c>
      <c r="C54" t="s">
        <v>6</v>
      </c>
      <c r="D54">
        <v>36.940996168582373</v>
      </c>
    </row>
    <row r="55" spans="1:4">
      <c r="A55" t="s">
        <v>82</v>
      </c>
      <c r="B55" t="s">
        <v>14</v>
      </c>
      <c r="C55" t="s">
        <v>6</v>
      </c>
      <c r="D55">
        <v>16.492644543277454</v>
      </c>
    </row>
    <row r="56" spans="1:4">
      <c r="A56" t="s">
        <v>65</v>
      </c>
      <c r="B56" t="s">
        <v>14</v>
      </c>
      <c r="C56" t="s">
        <v>5</v>
      </c>
      <c r="D56">
        <v>489.42131979695432</v>
      </c>
    </row>
    <row r="57" spans="1:4">
      <c r="A57" t="s">
        <v>66</v>
      </c>
      <c r="B57" t="s">
        <v>14</v>
      </c>
      <c r="C57" t="s">
        <v>5</v>
      </c>
      <c r="D57">
        <v>104.91403699673559</v>
      </c>
    </row>
    <row r="58" spans="1:4">
      <c r="A58" t="s">
        <v>67</v>
      </c>
      <c r="B58" t="s">
        <v>14</v>
      </c>
      <c r="C58" t="s">
        <v>5</v>
      </c>
      <c r="D58">
        <v>75.160586217648884</v>
      </c>
    </row>
    <row r="59" spans="1:4">
      <c r="A59" t="s">
        <v>68</v>
      </c>
      <c r="B59" t="s">
        <v>14</v>
      </c>
      <c r="C59" t="s">
        <v>5</v>
      </c>
      <c r="D59">
        <v>6.0254846628923513</v>
      </c>
    </row>
    <row r="60" spans="1:4">
      <c r="A60" t="s">
        <v>69</v>
      </c>
      <c r="B60" t="s">
        <v>14</v>
      </c>
      <c r="C60" t="s">
        <v>5</v>
      </c>
      <c r="D60">
        <v>130.02481389578165</v>
      </c>
    </row>
    <row r="61" spans="1:4">
      <c r="A61" t="s">
        <v>70</v>
      </c>
      <c r="B61" t="s">
        <v>14</v>
      </c>
      <c r="C61" t="s">
        <v>5</v>
      </c>
      <c r="D61">
        <v>224.15027665411259</v>
      </c>
    </row>
    <row r="62" spans="1:4">
      <c r="A62" t="s">
        <v>119</v>
      </c>
      <c r="B62" t="s">
        <v>14</v>
      </c>
      <c r="C62" t="s">
        <v>5</v>
      </c>
      <c r="D62">
        <v>90.065139124255424</v>
      </c>
    </row>
    <row r="63" spans="1:4">
      <c r="A63" t="s">
        <v>72</v>
      </c>
      <c r="B63" t="s">
        <v>14</v>
      </c>
      <c r="C63" t="s">
        <v>5</v>
      </c>
      <c r="D63">
        <v>31.713077171031419</v>
      </c>
    </row>
    <row r="64" spans="1:4">
      <c r="A64" t="s">
        <v>73</v>
      </c>
      <c r="B64" t="s">
        <v>14</v>
      </c>
      <c r="C64" t="s">
        <v>5</v>
      </c>
      <c r="D64">
        <v>10.148187365077293</v>
      </c>
    </row>
    <row r="65" spans="1:4">
      <c r="A65" t="s">
        <v>74</v>
      </c>
      <c r="B65" t="s">
        <v>14</v>
      </c>
      <c r="C65" t="s">
        <v>5</v>
      </c>
      <c r="D65">
        <v>275.47428571428571</v>
      </c>
    </row>
    <row r="66" spans="1:4">
      <c r="A66" t="s">
        <v>75</v>
      </c>
      <c r="B66" t="s">
        <v>14</v>
      </c>
      <c r="C66" t="s">
        <v>5</v>
      </c>
      <c r="D66">
        <v>29.493132666483127</v>
      </c>
    </row>
    <row r="67" spans="1:4">
      <c r="A67" t="s">
        <v>76</v>
      </c>
      <c r="B67" t="s">
        <v>14</v>
      </c>
      <c r="C67" t="s">
        <v>5</v>
      </c>
      <c r="D67">
        <v>90.699227679369358</v>
      </c>
    </row>
    <row r="68" spans="1:4">
      <c r="A68" t="s">
        <v>77</v>
      </c>
      <c r="B68" t="s">
        <v>14</v>
      </c>
      <c r="C68" t="s">
        <v>5</v>
      </c>
      <c r="D68">
        <v>76.278481012658233</v>
      </c>
    </row>
    <row r="69" spans="1:4">
      <c r="A69" t="s">
        <v>78</v>
      </c>
      <c r="B69" t="s">
        <v>14</v>
      </c>
      <c r="C69" t="s">
        <v>5</v>
      </c>
      <c r="D69">
        <v>53.595112758967623</v>
      </c>
    </row>
    <row r="70" spans="1:4">
      <c r="A70" t="s">
        <v>79</v>
      </c>
      <c r="B70" t="s">
        <v>14</v>
      </c>
      <c r="C70" t="s">
        <v>5</v>
      </c>
      <c r="D70">
        <v>145.88017417986279</v>
      </c>
    </row>
    <row r="71" spans="1:4">
      <c r="A71" t="s">
        <v>80</v>
      </c>
      <c r="B71" t="s">
        <v>14</v>
      </c>
      <c r="C71" t="s">
        <v>5</v>
      </c>
      <c r="D71">
        <v>10.149052631578947</v>
      </c>
    </row>
    <row r="72" spans="1:4">
      <c r="A72" t="s">
        <v>81</v>
      </c>
      <c r="B72" t="s">
        <v>14</v>
      </c>
      <c r="C72" t="s">
        <v>5</v>
      </c>
      <c r="D72">
        <v>73.88199233716476</v>
      </c>
    </row>
    <row r="73" spans="1:4">
      <c r="A73" t="s">
        <v>82</v>
      </c>
      <c r="B73" t="s">
        <v>14</v>
      </c>
      <c r="C73" t="s">
        <v>5</v>
      </c>
      <c r="D73">
        <v>32.985289086554907</v>
      </c>
    </row>
    <row r="74" spans="1:4">
      <c r="A74" t="s">
        <v>65</v>
      </c>
      <c r="B74" t="s">
        <v>15</v>
      </c>
      <c r="C74" t="s">
        <v>10</v>
      </c>
      <c r="D74">
        <v>383.29320913739286</v>
      </c>
    </row>
    <row r="75" spans="1:4">
      <c r="A75" t="s">
        <v>66</v>
      </c>
      <c r="B75" t="s">
        <v>15</v>
      </c>
      <c r="C75" t="s">
        <v>10</v>
      </c>
      <c r="D75">
        <v>81.934203317676008</v>
      </c>
    </row>
    <row r="76" spans="1:4">
      <c r="A76" t="s">
        <v>67</v>
      </c>
      <c r="B76" t="s">
        <v>15</v>
      </c>
      <c r="C76" t="s">
        <v>10</v>
      </c>
      <c r="D76">
        <v>58.698099974906533</v>
      </c>
    </row>
    <row r="77" spans="1:4">
      <c r="A77" t="s">
        <v>68</v>
      </c>
      <c r="B77" t="s">
        <v>15</v>
      </c>
      <c r="C77" t="s">
        <v>10</v>
      </c>
      <c r="D77">
        <v>4.7057245726429597</v>
      </c>
    </row>
    <row r="78" spans="1:4">
      <c r="A78" t="s">
        <v>69</v>
      </c>
      <c r="B78" t="s">
        <v>15</v>
      </c>
      <c r="C78" t="s">
        <v>10</v>
      </c>
      <c r="D78">
        <v>101.5460991328933</v>
      </c>
    </row>
    <row r="79" spans="1:4">
      <c r="A79" t="s">
        <v>70</v>
      </c>
      <c r="B79" t="s">
        <v>15</v>
      </c>
      <c r="C79" t="s">
        <v>10</v>
      </c>
      <c r="D79">
        <v>175.05435189324967</v>
      </c>
    </row>
    <row r="80" spans="1:4">
      <c r="A80" t="s">
        <v>119</v>
      </c>
      <c r="B80" t="s">
        <v>15</v>
      </c>
      <c r="C80" t="s">
        <v>10</v>
      </c>
      <c r="D80">
        <v>70.338244705047842</v>
      </c>
    </row>
    <row r="81" spans="1:4">
      <c r="A81" t="s">
        <v>72</v>
      </c>
      <c r="B81" t="s">
        <v>15</v>
      </c>
      <c r="C81" t="s">
        <v>10</v>
      </c>
      <c r="D81">
        <v>24.766931091962448</v>
      </c>
    </row>
    <row r="82" spans="1:4">
      <c r="A82" t="s">
        <v>73</v>
      </c>
      <c r="B82" t="s">
        <v>15</v>
      </c>
      <c r="C82" t="s">
        <v>10</v>
      </c>
      <c r="D82">
        <v>7.9254265559300832</v>
      </c>
    </row>
    <row r="83" spans="1:4">
      <c r="A83" t="s">
        <v>74</v>
      </c>
      <c r="B83" t="s">
        <v>15</v>
      </c>
      <c r="C83" t="s">
        <v>10</v>
      </c>
      <c r="D83">
        <v>215.13652967713489</v>
      </c>
    </row>
    <row r="84" spans="1:4">
      <c r="A84" t="s">
        <v>75</v>
      </c>
      <c r="B84" t="s">
        <v>15</v>
      </c>
      <c r="C84" t="s">
        <v>10</v>
      </c>
      <c r="D84">
        <v>23.033185885394573</v>
      </c>
    </row>
    <row r="85" spans="1:4">
      <c r="A85" t="s">
        <v>76</v>
      </c>
      <c r="B85" t="s">
        <v>15</v>
      </c>
      <c r="C85" t="s">
        <v>10</v>
      </c>
      <c r="D85">
        <v>70.833042168440826</v>
      </c>
    </row>
    <row r="86" spans="1:4">
      <c r="A86" t="s">
        <v>77</v>
      </c>
      <c r="B86" t="s">
        <v>15</v>
      </c>
      <c r="C86" t="s">
        <v>10</v>
      </c>
      <c r="D86">
        <v>59.57124480054329</v>
      </c>
    </row>
    <row r="87" spans="1:4">
      <c r="A87" t="s">
        <v>78</v>
      </c>
      <c r="B87" t="s">
        <v>15</v>
      </c>
      <c r="C87" t="s">
        <v>10</v>
      </c>
      <c r="D87">
        <v>41.856154453192374</v>
      </c>
    </row>
    <row r="88" spans="1:4">
      <c r="A88" t="s">
        <v>79</v>
      </c>
      <c r="B88" t="s">
        <v>15</v>
      </c>
      <c r="C88" t="s">
        <v>10</v>
      </c>
      <c r="D88">
        <v>113.92776549073184</v>
      </c>
    </row>
    <row r="89" spans="1:4">
      <c r="A89" t="s">
        <v>80</v>
      </c>
      <c r="B89" t="s">
        <v>15</v>
      </c>
      <c r="C89" t="s">
        <v>10</v>
      </c>
      <c r="D89">
        <v>7.9261151366661471</v>
      </c>
    </row>
    <row r="90" spans="1:4">
      <c r="A90" t="s">
        <v>81</v>
      </c>
      <c r="B90" t="s">
        <v>15</v>
      </c>
      <c r="C90" t="s">
        <v>10</v>
      </c>
      <c r="D90">
        <v>57.699435199767258</v>
      </c>
    </row>
    <row r="91" spans="1:4">
      <c r="A91" t="s">
        <v>82</v>
      </c>
      <c r="B91" t="s">
        <v>15</v>
      </c>
      <c r="C91" t="s">
        <v>10</v>
      </c>
      <c r="D91">
        <v>25.76050646779937</v>
      </c>
    </row>
    <row r="92" spans="1:4">
      <c r="A92" t="s">
        <v>65</v>
      </c>
      <c r="B92" t="s">
        <v>15</v>
      </c>
      <c r="C92" t="s">
        <v>6</v>
      </c>
      <c r="D92">
        <v>216.41016591670132</v>
      </c>
    </row>
    <row r="93" spans="1:4">
      <c r="A93" t="s">
        <v>66</v>
      </c>
      <c r="B93" t="s">
        <v>15</v>
      </c>
      <c r="C93" t="s">
        <v>6</v>
      </c>
      <c r="D93">
        <v>46.26065401507055</v>
      </c>
    </row>
    <row r="94" spans="1:4">
      <c r="A94" t="s">
        <v>67</v>
      </c>
      <c r="B94" t="s">
        <v>15</v>
      </c>
      <c r="C94" t="s">
        <v>6</v>
      </c>
      <c r="D94">
        <v>33.141379110662143</v>
      </c>
    </row>
    <row r="95" spans="1:4">
      <c r="A95" t="s">
        <v>68</v>
      </c>
      <c r="B95" t="s">
        <v>15</v>
      </c>
      <c r="C95" t="s">
        <v>6</v>
      </c>
      <c r="D95">
        <v>2.6568867155664218</v>
      </c>
    </row>
    <row r="96" spans="1:4">
      <c r="A96" t="s">
        <v>69</v>
      </c>
      <c r="B96" t="s">
        <v>15</v>
      </c>
      <c r="C96" t="s">
        <v>6</v>
      </c>
      <c r="D96">
        <v>57.33367468471377</v>
      </c>
    </row>
    <row r="97" spans="1:4">
      <c r="A97" t="s">
        <v>70</v>
      </c>
      <c r="B97" t="s">
        <v>15</v>
      </c>
      <c r="C97" t="s">
        <v>6</v>
      </c>
      <c r="D97">
        <v>98.836975022114942</v>
      </c>
    </row>
    <row r="98" spans="1:4">
      <c r="A98" t="s">
        <v>119</v>
      </c>
      <c r="B98" t="s">
        <v>15</v>
      </c>
      <c r="C98" t="s">
        <v>6</v>
      </c>
      <c r="D98">
        <v>39.713490466387555</v>
      </c>
    </row>
    <row r="99" spans="1:4">
      <c r="A99" t="s">
        <v>72</v>
      </c>
      <c r="B99" t="s">
        <v>15</v>
      </c>
      <c r="C99" t="s">
        <v>6</v>
      </c>
      <c r="D99">
        <v>13.983591514499954</v>
      </c>
    </row>
    <row r="100" spans="1:4">
      <c r="A100" t="s">
        <v>73</v>
      </c>
      <c r="B100" t="s">
        <v>15</v>
      </c>
      <c r="C100" t="s">
        <v>6</v>
      </c>
      <c r="D100">
        <v>4.4747541439343923</v>
      </c>
    </row>
    <row r="101" spans="1:4">
      <c r="A101" t="s">
        <v>74</v>
      </c>
      <c r="B101" t="s">
        <v>15</v>
      </c>
      <c r="C101" t="s">
        <v>6</v>
      </c>
      <c r="D101">
        <v>121.46766749912157</v>
      </c>
    </row>
    <row r="102" spans="1:4">
      <c r="A102" t="s">
        <v>75</v>
      </c>
      <c r="B102" t="s">
        <v>15</v>
      </c>
      <c r="C102" t="s">
        <v>6</v>
      </c>
      <c r="D102">
        <v>13.004706215031611</v>
      </c>
    </row>
    <row r="103" spans="1:4">
      <c r="A103" t="s">
        <v>76</v>
      </c>
      <c r="B103" t="s">
        <v>15</v>
      </c>
      <c r="C103" t="s">
        <v>6</v>
      </c>
      <c r="D103">
        <v>39.992856754637288</v>
      </c>
    </row>
    <row r="104" spans="1:4">
      <c r="A104" t="s">
        <v>77</v>
      </c>
      <c r="B104" t="s">
        <v>15</v>
      </c>
      <c r="C104" t="s">
        <v>6</v>
      </c>
      <c r="D104">
        <v>33.634363103283896</v>
      </c>
    </row>
    <row r="105" spans="1:4">
      <c r="A105" t="s">
        <v>78</v>
      </c>
      <c r="B105" t="s">
        <v>15</v>
      </c>
      <c r="C105" t="s">
        <v>6</v>
      </c>
      <c r="D105">
        <v>23.632292756336145</v>
      </c>
    </row>
    <row r="106" spans="1:4">
      <c r="A106" t="s">
        <v>79</v>
      </c>
      <c r="B106" t="s">
        <v>15</v>
      </c>
      <c r="C106" t="s">
        <v>6</v>
      </c>
      <c r="D106">
        <v>64.32445460710106</v>
      </c>
    </row>
    <row r="107" spans="1:4">
      <c r="A107" t="s">
        <v>80</v>
      </c>
      <c r="B107" t="s">
        <v>15</v>
      </c>
      <c r="C107" t="s">
        <v>6</v>
      </c>
      <c r="D107">
        <v>4.4751429216841299</v>
      </c>
    </row>
    <row r="108" spans="1:4">
      <c r="A108" t="s">
        <v>81</v>
      </c>
      <c r="B108" t="s">
        <v>15</v>
      </c>
      <c r="C108" t="s">
        <v>6</v>
      </c>
      <c r="D108">
        <v>32.577525631051998</v>
      </c>
    </row>
    <row r="109" spans="1:4">
      <c r="A109" t="s">
        <v>82</v>
      </c>
      <c r="B109" t="s">
        <v>15</v>
      </c>
      <c r="C109" t="s">
        <v>6</v>
      </c>
      <c r="D109">
        <v>14.544571481819288</v>
      </c>
    </row>
    <row r="110" spans="1:4">
      <c r="A110" t="s">
        <v>65</v>
      </c>
      <c r="B110" t="s">
        <v>15</v>
      </c>
      <c r="C110" t="s">
        <v>5</v>
      </c>
      <c r="D110">
        <v>89.113528366336013</v>
      </c>
    </row>
    <row r="111" spans="1:4">
      <c r="A111" t="s">
        <v>66</v>
      </c>
      <c r="B111" t="s">
        <v>15</v>
      </c>
      <c r="C111" t="s">
        <v>5</v>
      </c>
      <c r="D111">
        <v>19.049244227297628</v>
      </c>
    </row>
    <row r="112" spans="1:4">
      <c r="A112" t="s">
        <v>67</v>
      </c>
      <c r="B112" t="s">
        <v>15</v>
      </c>
      <c r="C112" t="s">
        <v>5</v>
      </c>
      <c r="D112">
        <v>13.646980098958299</v>
      </c>
    </row>
    <row r="113" spans="1:4">
      <c r="A113" t="s">
        <v>68</v>
      </c>
      <c r="B113" t="s">
        <v>15</v>
      </c>
      <c r="C113" t="s">
        <v>5</v>
      </c>
      <c r="D113">
        <v>1.094054656308997</v>
      </c>
    </row>
    <row r="114" spans="1:4">
      <c r="A114" t="s">
        <v>69</v>
      </c>
      <c r="B114" t="s">
        <v>15</v>
      </c>
      <c r="C114" t="s">
        <v>5</v>
      </c>
      <c r="D114">
        <v>23.608900366210666</v>
      </c>
    </row>
    <row r="115" spans="1:4">
      <c r="A115" t="s">
        <v>70</v>
      </c>
      <c r="B115" t="s">
        <v>15</v>
      </c>
      <c r="C115" t="s">
        <v>5</v>
      </c>
      <c r="D115">
        <v>40.699158193272069</v>
      </c>
    </row>
    <row r="116" spans="1:4">
      <c r="A116" t="s">
        <v>119</v>
      </c>
      <c r="B116" t="s">
        <v>15</v>
      </c>
      <c r="C116" t="s">
        <v>5</v>
      </c>
      <c r="D116">
        <v>16.353248675780073</v>
      </c>
    </row>
    <row r="117" spans="1:4">
      <c r="A117" t="s">
        <v>72</v>
      </c>
      <c r="B117" t="s">
        <v>15</v>
      </c>
      <c r="C117" t="s">
        <v>5</v>
      </c>
      <c r="D117">
        <v>5.7581730221042173</v>
      </c>
    </row>
    <row r="118" spans="1:4">
      <c r="A118" t="s">
        <v>73</v>
      </c>
      <c r="B118" t="s">
        <v>15</v>
      </c>
      <c r="C118" t="s">
        <v>5</v>
      </c>
      <c r="D118">
        <v>1.8426173680369742</v>
      </c>
    </row>
    <row r="119" spans="1:4">
      <c r="A119" t="s">
        <v>74</v>
      </c>
      <c r="B119" t="s">
        <v>15</v>
      </c>
      <c r="C119" t="s">
        <v>5</v>
      </c>
      <c r="D119">
        <v>50.01804045306298</v>
      </c>
    </row>
    <row r="120" spans="1:4">
      <c r="A120" t="s">
        <v>75</v>
      </c>
      <c r="B120" t="s">
        <v>15</v>
      </c>
      <c r="C120" t="s">
        <v>5</v>
      </c>
      <c r="D120">
        <v>5.3550869538871719</v>
      </c>
    </row>
    <row r="121" spans="1:4">
      <c r="A121" t="s">
        <v>76</v>
      </c>
      <c r="B121" t="s">
        <v>15</v>
      </c>
      <c r="C121" t="s">
        <v>5</v>
      </c>
      <c r="D121">
        <v>16.468286319908692</v>
      </c>
    </row>
    <row r="122" spans="1:4">
      <c r="A122" t="s">
        <v>77</v>
      </c>
      <c r="B122" t="s">
        <v>15</v>
      </c>
      <c r="C122" t="s">
        <v>5</v>
      </c>
      <c r="D122">
        <v>13.849981389699687</v>
      </c>
    </row>
    <row r="123" spans="1:4">
      <c r="A123" t="s">
        <v>78</v>
      </c>
      <c r="B123" t="s">
        <v>15</v>
      </c>
      <c r="C123" t="s">
        <v>5</v>
      </c>
      <c r="D123">
        <v>9.7313219181853228</v>
      </c>
    </row>
    <row r="124" spans="1:4">
      <c r="A124" t="s">
        <v>79</v>
      </c>
      <c r="B124" t="s">
        <v>15</v>
      </c>
      <c r="C124" t="s">
        <v>5</v>
      </c>
      <c r="D124">
        <v>26.487568576077763</v>
      </c>
    </row>
    <row r="125" spans="1:4">
      <c r="A125" t="s">
        <v>80</v>
      </c>
      <c r="B125" t="s">
        <v>15</v>
      </c>
      <c r="C125" t="s">
        <v>5</v>
      </c>
      <c r="D125">
        <v>1.8427774592086745</v>
      </c>
    </row>
    <row r="126" spans="1:4">
      <c r="A126" t="s">
        <v>81</v>
      </c>
      <c r="B126" t="s">
        <v>15</v>
      </c>
      <c r="C126" t="s">
        <v>5</v>
      </c>
      <c r="D126">
        <v>13.414796121662905</v>
      </c>
    </row>
    <row r="127" spans="1:4">
      <c r="A127" t="s">
        <v>82</v>
      </c>
      <c r="B127" t="s">
        <v>15</v>
      </c>
      <c r="C127" t="s">
        <v>5</v>
      </c>
      <c r="D127">
        <v>5.9891737425135325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5"/>
  <sheetViews>
    <sheetView workbookViewId="0"/>
  </sheetViews>
  <sheetFormatPr baseColWidth="10" defaultRowHeight="15"/>
  <cols>
    <col min="1" max="1" width="24.42578125" bestFit="1" customWidth="1"/>
    <col min="3" max="3" width="12" bestFit="1" customWidth="1"/>
    <col min="4" max="4" width="11" bestFit="1" customWidth="1"/>
  </cols>
  <sheetData>
    <row r="1" spans="1:4">
      <c r="A1" t="s">
        <v>364</v>
      </c>
      <c r="B1" t="s">
        <v>365</v>
      </c>
      <c r="C1" t="s">
        <v>366</v>
      </c>
      <c r="D1" t="s">
        <v>0</v>
      </c>
    </row>
    <row r="2" spans="1:4">
      <c r="A2" t="s">
        <v>334</v>
      </c>
      <c r="B2" t="s">
        <v>88</v>
      </c>
      <c r="C2">
        <v>1338.0034118160738</v>
      </c>
      <c r="D2" t="s">
        <v>15</v>
      </c>
    </row>
    <row r="3" spans="1:4">
      <c r="A3" t="s">
        <v>334</v>
      </c>
      <c r="B3" t="s">
        <v>89</v>
      </c>
      <c r="C3">
        <v>7374.1010721449666</v>
      </c>
      <c r="D3" t="s">
        <v>15</v>
      </c>
    </row>
    <row r="4" spans="1:4">
      <c r="A4" t="s">
        <v>334</v>
      </c>
      <c r="B4" t="s">
        <v>90</v>
      </c>
      <c r="C4">
        <v>7152.1865067430535</v>
      </c>
      <c r="D4" t="s">
        <v>15</v>
      </c>
    </row>
    <row r="5" spans="1:4">
      <c r="A5" t="s">
        <v>334</v>
      </c>
      <c r="B5" t="s">
        <v>91</v>
      </c>
      <c r="C5">
        <v>8830.8809077397527</v>
      </c>
      <c r="D5" t="s">
        <v>15</v>
      </c>
    </row>
    <row r="6" spans="1:4">
      <c r="A6" t="s">
        <v>334</v>
      </c>
      <c r="B6" t="s">
        <v>92</v>
      </c>
      <c r="C6">
        <v>9637.76440971585</v>
      </c>
      <c r="D6" t="s">
        <v>15</v>
      </c>
    </row>
    <row r="7" spans="1:4">
      <c r="A7" t="s">
        <v>334</v>
      </c>
      <c r="B7" t="s">
        <v>93</v>
      </c>
      <c r="C7">
        <v>12599.249830559966</v>
      </c>
      <c r="D7" t="s">
        <v>15</v>
      </c>
    </row>
    <row r="8" spans="1:4">
      <c r="A8" t="s">
        <v>334</v>
      </c>
      <c r="B8" t="s">
        <v>94</v>
      </c>
      <c r="C8">
        <v>12799.175434587356</v>
      </c>
      <c r="D8" t="s">
        <v>15</v>
      </c>
    </row>
    <row r="9" spans="1:4">
      <c r="A9" t="s">
        <v>334</v>
      </c>
      <c r="B9" t="s">
        <v>95</v>
      </c>
      <c r="C9">
        <v>12049.274482497633</v>
      </c>
      <c r="D9" t="s">
        <v>15</v>
      </c>
    </row>
    <row r="10" spans="1:4">
      <c r="A10" t="s">
        <v>334</v>
      </c>
      <c r="B10" t="s">
        <v>96</v>
      </c>
      <c r="C10">
        <v>2132.5927673748815</v>
      </c>
      <c r="D10" t="s">
        <v>15</v>
      </c>
    </row>
    <row r="11" spans="1:4">
      <c r="A11" t="s">
        <v>334</v>
      </c>
      <c r="B11" t="s">
        <v>97</v>
      </c>
      <c r="C11">
        <v>9264.5314532662906</v>
      </c>
      <c r="D11" t="s">
        <v>15</v>
      </c>
    </row>
    <row r="12" spans="1:4">
      <c r="A12" t="s">
        <v>334</v>
      </c>
      <c r="B12" t="s">
        <v>98</v>
      </c>
      <c r="C12">
        <v>9599.4266023958844</v>
      </c>
      <c r="D12" t="s">
        <v>15</v>
      </c>
    </row>
    <row r="13" spans="1:4">
      <c r="A13" t="s">
        <v>334</v>
      </c>
      <c r="B13" t="s">
        <v>99</v>
      </c>
      <c r="C13">
        <v>3307.6639788839502</v>
      </c>
      <c r="D13" t="s">
        <v>15</v>
      </c>
    </row>
    <row r="14" spans="1:4">
      <c r="A14" t="s">
        <v>339</v>
      </c>
      <c r="B14" t="s">
        <v>88</v>
      </c>
      <c r="C14">
        <v>0</v>
      </c>
      <c r="D14" t="s">
        <v>15</v>
      </c>
    </row>
    <row r="15" spans="1:4">
      <c r="A15" t="s">
        <v>339</v>
      </c>
      <c r="B15" t="s">
        <v>89</v>
      </c>
      <c r="C15">
        <v>323.35187815694599</v>
      </c>
      <c r="D15" t="s">
        <v>15</v>
      </c>
    </row>
    <row r="16" spans="1:4">
      <c r="A16" t="s">
        <v>339</v>
      </c>
      <c r="B16" t="s">
        <v>90</v>
      </c>
      <c r="C16">
        <v>320.15037441281783</v>
      </c>
      <c r="D16" t="s">
        <v>15</v>
      </c>
    </row>
    <row r="17" spans="1:4">
      <c r="A17" t="s">
        <v>339</v>
      </c>
      <c r="B17" t="s">
        <v>91</v>
      </c>
      <c r="C17">
        <v>530.92994341076496</v>
      </c>
      <c r="D17" t="s">
        <v>15</v>
      </c>
    </row>
    <row r="18" spans="1:4">
      <c r="A18" t="s">
        <v>339</v>
      </c>
      <c r="B18" t="s">
        <v>92</v>
      </c>
      <c r="C18">
        <v>220.68103115190843</v>
      </c>
      <c r="D18" t="s">
        <v>15</v>
      </c>
    </row>
    <row r="19" spans="1:4">
      <c r="A19" t="s">
        <v>339</v>
      </c>
      <c r="B19" t="s">
        <v>93</v>
      </c>
      <c r="C19">
        <v>279.38746507236488</v>
      </c>
      <c r="D19" t="s">
        <v>15</v>
      </c>
    </row>
    <row r="20" spans="1:4">
      <c r="A20" t="s">
        <v>339</v>
      </c>
      <c r="B20" t="s">
        <v>94</v>
      </c>
      <c r="C20">
        <v>199.70669827451283</v>
      </c>
      <c r="D20" t="s">
        <v>15</v>
      </c>
    </row>
    <row r="21" spans="1:4">
      <c r="A21" t="s">
        <v>339</v>
      </c>
      <c r="B21" t="s">
        <v>95</v>
      </c>
      <c r="C21">
        <v>121.5763802001285</v>
      </c>
      <c r="D21" t="s">
        <v>15</v>
      </c>
    </row>
    <row r="22" spans="1:4">
      <c r="A22" t="s">
        <v>339</v>
      </c>
      <c r="B22" t="s">
        <v>96</v>
      </c>
      <c r="C22">
        <v>0</v>
      </c>
      <c r="D22" t="s">
        <v>15</v>
      </c>
    </row>
    <row r="23" spans="1:4">
      <c r="A23" t="s">
        <v>339</v>
      </c>
      <c r="B23" t="s">
        <v>97</v>
      </c>
      <c r="C23">
        <v>119.18084521137976</v>
      </c>
      <c r="D23" t="s">
        <v>15</v>
      </c>
    </row>
    <row r="24" spans="1:4">
      <c r="A24" t="s">
        <v>339</v>
      </c>
      <c r="B24" t="s">
        <v>98</v>
      </c>
      <c r="C24">
        <v>118.00083684295028</v>
      </c>
      <c r="D24" t="s">
        <v>15</v>
      </c>
    </row>
    <row r="25" spans="1:4">
      <c r="A25" t="s">
        <v>339</v>
      </c>
      <c r="B25" t="s">
        <v>99</v>
      </c>
      <c r="C25">
        <v>0</v>
      </c>
      <c r="D25" t="s">
        <v>15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5"/>
  <sheetViews>
    <sheetView workbookViewId="0"/>
  </sheetViews>
  <sheetFormatPr baseColWidth="10" defaultRowHeight="15"/>
  <cols>
    <col min="1" max="1" width="24.42578125" bestFit="1" customWidth="1"/>
    <col min="3" max="3" width="12" bestFit="1" customWidth="1"/>
    <col min="4" max="4" width="12.85546875" bestFit="1" customWidth="1"/>
  </cols>
  <sheetData>
    <row r="1" spans="1:4">
      <c r="A1" t="s">
        <v>364</v>
      </c>
      <c r="B1" t="s">
        <v>365</v>
      </c>
      <c r="C1" t="s">
        <v>366</v>
      </c>
      <c r="D1" t="s">
        <v>0</v>
      </c>
    </row>
    <row r="2" spans="1:4">
      <c r="A2" t="s">
        <v>334</v>
      </c>
      <c r="B2" t="s">
        <v>88</v>
      </c>
      <c r="C2">
        <v>3183.9696044591574</v>
      </c>
      <c r="D2" t="s">
        <v>373</v>
      </c>
    </row>
    <row r="3" spans="1:4">
      <c r="A3" t="s">
        <v>334</v>
      </c>
      <c r="B3" t="s">
        <v>89</v>
      </c>
      <c r="C3">
        <v>17547.723321610443</v>
      </c>
      <c r="D3" t="s">
        <v>373</v>
      </c>
    </row>
    <row r="4" spans="1:4">
      <c r="A4" t="s">
        <v>334</v>
      </c>
      <c r="B4" t="s">
        <v>90</v>
      </c>
      <c r="C4">
        <v>17019.646020172604</v>
      </c>
      <c r="D4" t="s">
        <v>373</v>
      </c>
    </row>
    <row r="5" spans="1:4">
      <c r="A5" t="s">
        <v>334</v>
      </c>
      <c r="B5" t="s">
        <v>91</v>
      </c>
      <c r="C5">
        <v>21014.338336161996</v>
      </c>
      <c r="D5" t="s">
        <v>373</v>
      </c>
    </row>
    <row r="6" spans="1:4">
      <c r="A6" t="s">
        <v>334</v>
      </c>
      <c r="B6" t="s">
        <v>92</v>
      </c>
      <c r="C6">
        <v>22934.432501799751</v>
      </c>
      <c r="D6" t="s">
        <v>373</v>
      </c>
    </row>
    <row r="7" spans="1:4">
      <c r="A7" t="s">
        <v>334</v>
      </c>
      <c r="B7" t="s">
        <v>93</v>
      </c>
      <c r="C7">
        <v>29981.708675197715</v>
      </c>
      <c r="D7" t="s">
        <v>373</v>
      </c>
    </row>
    <row r="8" spans="1:4">
      <c r="A8" t="s">
        <v>334</v>
      </c>
      <c r="B8" t="s">
        <v>94</v>
      </c>
      <c r="C8">
        <v>30457.460112566881</v>
      </c>
      <c r="D8" t="s">
        <v>373</v>
      </c>
    </row>
    <row r="9" spans="1:4">
      <c r="A9" t="s">
        <v>334</v>
      </c>
      <c r="B9" t="s">
        <v>95</v>
      </c>
      <c r="C9">
        <v>28672.964036755024</v>
      </c>
      <c r="D9" t="s">
        <v>373</v>
      </c>
    </row>
    <row r="10" spans="1:4">
      <c r="A10" t="s">
        <v>334</v>
      </c>
      <c r="B10" t="s">
        <v>96</v>
      </c>
      <c r="C10">
        <v>5074.8080984299095</v>
      </c>
      <c r="D10" t="s">
        <v>373</v>
      </c>
    </row>
    <row r="11" spans="1:4">
      <c r="A11" t="s">
        <v>334</v>
      </c>
      <c r="B11" t="s">
        <v>97</v>
      </c>
      <c r="C11">
        <v>22046.271546287047</v>
      </c>
      <c r="D11" t="s">
        <v>373</v>
      </c>
    </row>
    <row r="12" spans="1:4">
      <c r="A12" t="s">
        <v>334</v>
      </c>
      <c r="B12" t="s">
        <v>98</v>
      </c>
      <c r="C12">
        <v>22843.202231285941</v>
      </c>
      <c r="D12" t="s">
        <v>373</v>
      </c>
    </row>
    <row r="13" spans="1:4">
      <c r="A13" t="s">
        <v>334</v>
      </c>
      <c r="B13" t="s">
        <v>99</v>
      </c>
      <c r="C13">
        <v>7871.0573362712994</v>
      </c>
      <c r="D13" t="s">
        <v>373</v>
      </c>
    </row>
    <row r="14" spans="1:4">
      <c r="A14" t="s">
        <v>339</v>
      </c>
      <c r="B14" t="s">
        <v>88</v>
      </c>
      <c r="C14">
        <v>0</v>
      </c>
      <c r="D14" t="s">
        <v>373</v>
      </c>
    </row>
    <row r="15" spans="1:4">
      <c r="A15" t="s">
        <v>339</v>
      </c>
      <c r="B15" t="s">
        <v>89</v>
      </c>
      <c r="C15">
        <v>769.46182835146703</v>
      </c>
      <c r="D15" t="s">
        <v>373</v>
      </c>
    </row>
    <row r="16" spans="1:4">
      <c r="A16" t="s">
        <v>339</v>
      </c>
      <c r="B16" t="s">
        <v>90</v>
      </c>
      <c r="C16">
        <v>761.84339440739313</v>
      </c>
      <c r="D16" t="s">
        <v>373</v>
      </c>
    </row>
    <row r="17" spans="1:4">
      <c r="A17" t="s">
        <v>339</v>
      </c>
      <c r="B17" t="s">
        <v>91</v>
      </c>
      <c r="C17">
        <v>1263.4233866583538</v>
      </c>
      <c r="D17" t="s">
        <v>373</v>
      </c>
    </row>
    <row r="18" spans="1:4">
      <c r="A18" t="s">
        <v>339</v>
      </c>
      <c r="B18" t="s">
        <v>92</v>
      </c>
      <c r="C18">
        <v>525.1419310767559</v>
      </c>
      <c r="D18" t="s">
        <v>373</v>
      </c>
    </row>
    <row r="19" spans="1:4">
      <c r="A19" t="s">
        <v>339</v>
      </c>
      <c r="B19" t="s">
        <v>93</v>
      </c>
      <c r="C19">
        <v>664.8422483840319</v>
      </c>
      <c r="D19" t="s">
        <v>373</v>
      </c>
    </row>
    <row r="20" spans="1:4">
      <c r="A20" t="s">
        <v>339</v>
      </c>
      <c r="B20" t="s">
        <v>94</v>
      </c>
      <c r="C20">
        <v>475.2305199654844</v>
      </c>
      <c r="D20" t="s">
        <v>373</v>
      </c>
    </row>
    <row r="21" spans="1:4">
      <c r="A21" t="s">
        <v>339</v>
      </c>
      <c r="B21" t="s">
        <v>95</v>
      </c>
      <c r="C21">
        <v>289.30830501543642</v>
      </c>
      <c r="D21" t="s">
        <v>373</v>
      </c>
    </row>
    <row r="22" spans="1:4">
      <c r="A22" t="s">
        <v>339</v>
      </c>
      <c r="B22" t="s">
        <v>96</v>
      </c>
      <c r="C22">
        <v>0</v>
      </c>
      <c r="D22" t="s">
        <v>373</v>
      </c>
    </row>
    <row r="23" spans="1:4">
      <c r="A23" t="s">
        <v>339</v>
      </c>
      <c r="B23" t="s">
        <v>97</v>
      </c>
      <c r="C23">
        <v>283.60778846724475</v>
      </c>
      <c r="D23" t="s">
        <v>373</v>
      </c>
    </row>
    <row r="24" spans="1:4">
      <c r="A24" t="s">
        <v>339</v>
      </c>
      <c r="B24" t="s">
        <v>98</v>
      </c>
      <c r="C24">
        <v>280.79979056162858</v>
      </c>
      <c r="D24" t="s">
        <v>373</v>
      </c>
    </row>
    <row r="25" spans="1:4">
      <c r="A25" t="s">
        <v>339</v>
      </c>
      <c r="B25" t="s">
        <v>99</v>
      </c>
      <c r="C25">
        <v>0</v>
      </c>
      <c r="D25" t="s">
        <v>373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5"/>
  <sheetViews>
    <sheetView workbookViewId="0"/>
  </sheetViews>
  <sheetFormatPr baseColWidth="10" defaultRowHeight="15"/>
  <cols>
    <col min="1" max="1" width="24.42578125" bestFit="1" customWidth="1"/>
    <col min="2" max="2" width="11.42578125" bestFit="1" customWidth="1"/>
    <col min="3" max="3" width="12" bestFit="1" customWidth="1"/>
    <col min="4" max="5" width="11.42578125" bestFit="1" customWidth="1"/>
  </cols>
  <sheetData>
    <row r="1" spans="1:4">
      <c r="A1" t="s">
        <v>364</v>
      </c>
      <c r="B1" t="s">
        <v>365</v>
      </c>
      <c r="C1" t="s">
        <v>366</v>
      </c>
      <c r="D1" t="s">
        <v>0</v>
      </c>
    </row>
    <row r="2" spans="1:4">
      <c r="A2" t="s">
        <v>334</v>
      </c>
      <c r="B2" t="s">
        <v>88</v>
      </c>
      <c r="C2">
        <v>2832.4121072045345</v>
      </c>
      <c r="D2" t="s">
        <v>4</v>
      </c>
    </row>
    <row r="3" spans="1:4">
      <c r="A3" t="s">
        <v>334</v>
      </c>
      <c r="B3" t="s">
        <v>89</v>
      </c>
      <c r="C3">
        <v>3124.2459204273091</v>
      </c>
      <c r="D3" t="s">
        <v>4</v>
      </c>
    </row>
    <row r="4" spans="1:4">
      <c r="A4" t="s">
        <v>334</v>
      </c>
      <c r="B4" t="s">
        <v>90</v>
      </c>
      <c r="C4">
        <v>2762.1808658266077</v>
      </c>
      <c r="D4" t="s">
        <v>4</v>
      </c>
    </row>
    <row r="5" spans="1:4">
      <c r="A5" t="s">
        <v>334</v>
      </c>
      <c r="B5" t="s">
        <v>91</v>
      </c>
      <c r="C5">
        <v>4135.9622526684125</v>
      </c>
      <c r="D5" t="s">
        <v>4</v>
      </c>
    </row>
    <row r="6" spans="1:4">
      <c r="A6" t="s">
        <v>334</v>
      </c>
      <c r="B6" t="s">
        <v>92</v>
      </c>
      <c r="C6">
        <v>661.23756883548742</v>
      </c>
      <c r="D6" t="s">
        <v>4</v>
      </c>
    </row>
    <row r="7" spans="1:4">
      <c r="A7" t="s">
        <v>334</v>
      </c>
      <c r="B7" t="s">
        <v>93</v>
      </c>
      <c r="C7">
        <v>4951.2245746736726</v>
      </c>
      <c r="D7" t="s">
        <v>4</v>
      </c>
    </row>
    <row r="8" spans="1:4">
      <c r="A8" t="s">
        <v>334</v>
      </c>
      <c r="B8" t="s">
        <v>94</v>
      </c>
      <c r="C8">
        <v>2984.0683723515431</v>
      </c>
      <c r="D8" t="s">
        <v>4</v>
      </c>
    </row>
    <row r="9" spans="1:4">
      <c r="A9" t="s">
        <v>334</v>
      </c>
      <c r="B9" t="s">
        <v>95</v>
      </c>
      <c r="C9">
        <v>2999.7044555924408</v>
      </c>
      <c r="D9" t="s">
        <v>4</v>
      </c>
    </row>
    <row r="10" spans="1:4">
      <c r="A10" t="s">
        <v>334</v>
      </c>
      <c r="B10" t="s">
        <v>96</v>
      </c>
      <c r="C10">
        <v>522.38855412103999</v>
      </c>
      <c r="D10" t="s">
        <v>4</v>
      </c>
    </row>
    <row r="11" spans="1:4">
      <c r="A11" t="s">
        <v>334</v>
      </c>
      <c r="B11" t="s">
        <v>97</v>
      </c>
      <c r="C11">
        <v>1978.671821706409</v>
      </c>
      <c r="D11" t="s">
        <v>4</v>
      </c>
    </row>
    <row r="12" spans="1:4">
      <c r="A12" t="s">
        <v>334</v>
      </c>
      <c r="B12" t="s">
        <v>98</v>
      </c>
      <c r="C12">
        <v>2422.1947829281635</v>
      </c>
      <c r="D12" t="s">
        <v>4</v>
      </c>
    </row>
    <row r="13" spans="1:4">
      <c r="A13" t="s">
        <v>334</v>
      </c>
      <c r="B13" t="s">
        <v>99</v>
      </c>
      <c r="C13">
        <v>808.99268608926059</v>
      </c>
      <c r="D13" t="s">
        <v>4</v>
      </c>
    </row>
    <row r="14" spans="1:4">
      <c r="A14" t="s">
        <v>339</v>
      </c>
      <c r="B14" t="s">
        <v>88</v>
      </c>
      <c r="C14">
        <v>51.696903575039904</v>
      </c>
      <c r="D14" t="s">
        <v>4</v>
      </c>
    </row>
    <row r="15" spans="1:4">
      <c r="A15" t="s">
        <v>339</v>
      </c>
      <c r="B15" t="s">
        <v>89</v>
      </c>
      <c r="C15">
        <v>51.185053044593971</v>
      </c>
      <c r="D15" t="s">
        <v>4</v>
      </c>
    </row>
    <row r="16" spans="1:4">
      <c r="A16" t="s">
        <v>339</v>
      </c>
      <c r="B16" t="s">
        <v>90</v>
      </c>
      <c r="C16">
        <v>50.678270341182142</v>
      </c>
      <c r="D16" t="s">
        <v>4</v>
      </c>
    </row>
    <row r="17" spans="1:4">
      <c r="A17" t="s">
        <v>339</v>
      </c>
      <c r="B17" t="s">
        <v>91</v>
      </c>
      <c r="C17">
        <v>376.32540043563728</v>
      </c>
      <c r="D17" t="s">
        <v>4</v>
      </c>
    </row>
    <row r="18" spans="1:4">
      <c r="A18" t="s">
        <v>339</v>
      </c>
      <c r="B18" t="s">
        <v>92</v>
      </c>
      <c r="C18">
        <v>440.90734095495083</v>
      </c>
      <c r="D18" t="s">
        <v>4</v>
      </c>
    </row>
    <row r="19" spans="1:4">
      <c r="A19" t="s">
        <v>339</v>
      </c>
      <c r="B19" t="s">
        <v>93</v>
      </c>
      <c r="C19">
        <v>405.18724079945986</v>
      </c>
      <c r="D19" t="s">
        <v>4</v>
      </c>
    </row>
    <row r="20" spans="1:4">
      <c r="A20" t="s">
        <v>339</v>
      </c>
      <c r="B20" t="s">
        <v>94</v>
      </c>
      <c r="C20">
        <v>272.98074157201216</v>
      </c>
      <c r="D20" t="s">
        <v>4</v>
      </c>
    </row>
    <row r="21" spans="1:4">
      <c r="A21" t="s">
        <v>339</v>
      </c>
      <c r="B21" t="s">
        <v>95</v>
      </c>
      <c r="C21">
        <v>70.823621351565279</v>
      </c>
      <c r="D21" t="s">
        <v>4</v>
      </c>
    </row>
    <row r="22" spans="1:4">
      <c r="A22" t="s">
        <v>339</v>
      </c>
      <c r="B22" t="s">
        <v>96</v>
      </c>
      <c r="C22">
        <v>47.741223105835211</v>
      </c>
      <c r="D22" t="s">
        <v>4</v>
      </c>
    </row>
    <row r="23" spans="1:4">
      <c r="A23" t="s">
        <v>339</v>
      </c>
      <c r="B23" t="s">
        <v>97</v>
      </c>
      <c r="C23">
        <v>264.95241834377737</v>
      </c>
      <c r="D23" t="s">
        <v>4</v>
      </c>
    </row>
    <row r="24" spans="1:4">
      <c r="A24" t="s">
        <v>339</v>
      </c>
      <c r="B24" t="s">
        <v>98</v>
      </c>
      <c r="C24">
        <v>46.800532404504679</v>
      </c>
      <c r="D24" t="s">
        <v>4</v>
      </c>
    </row>
    <row r="25" spans="1:4">
      <c r="A25" t="s">
        <v>339</v>
      </c>
      <c r="B25" t="s">
        <v>99</v>
      </c>
      <c r="C25">
        <v>411.2422373615974</v>
      </c>
      <c r="D25" t="s">
        <v>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5"/>
  <sheetViews>
    <sheetView workbookViewId="0"/>
  </sheetViews>
  <sheetFormatPr baseColWidth="10" defaultRowHeight="15"/>
  <cols>
    <col min="1" max="1" width="24.42578125" bestFit="1" customWidth="1"/>
    <col min="3" max="3" width="12" bestFit="1" customWidth="1"/>
    <col min="4" max="4" width="11.85546875" bestFit="1" customWidth="1"/>
  </cols>
  <sheetData>
    <row r="1" spans="1:4">
      <c r="A1" t="s">
        <v>364</v>
      </c>
      <c r="B1" t="s">
        <v>365</v>
      </c>
      <c r="C1" t="s">
        <v>366</v>
      </c>
      <c r="D1" t="s">
        <v>0</v>
      </c>
    </row>
    <row r="2" spans="1:4">
      <c r="A2" t="s">
        <v>334</v>
      </c>
      <c r="B2" t="s">
        <v>88</v>
      </c>
      <c r="C2">
        <v>3785.7037089078281</v>
      </c>
      <c r="D2" t="s">
        <v>12</v>
      </c>
    </row>
    <row r="3" spans="1:4">
      <c r="A3" t="s">
        <v>334</v>
      </c>
      <c r="B3" t="s">
        <v>89</v>
      </c>
      <c r="C3">
        <v>5446.910412279055</v>
      </c>
      <c r="D3" t="s">
        <v>12</v>
      </c>
    </row>
    <row r="4" spans="1:4">
      <c r="A4" t="s">
        <v>334</v>
      </c>
      <c r="B4" t="s">
        <v>90</v>
      </c>
      <c r="C4">
        <v>3802.7777375880569</v>
      </c>
      <c r="D4" t="s">
        <v>12</v>
      </c>
    </row>
    <row r="5" spans="1:4">
      <c r="A5" t="s">
        <v>334</v>
      </c>
      <c r="B5" t="s">
        <v>91</v>
      </c>
      <c r="C5">
        <v>4577.0280006001649</v>
      </c>
      <c r="D5" t="s">
        <v>12</v>
      </c>
    </row>
    <row r="6" spans="1:4">
      <c r="A6" t="s">
        <v>334</v>
      </c>
      <c r="B6" t="s">
        <v>92</v>
      </c>
      <c r="C6">
        <v>1278.1207802017459</v>
      </c>
      <c r="D6" t="s">
        <v>12</v>
      </c>
    </row>
    <row r="7" spans="1:4">
      <c r="A7" t="s">
        <v>334</v>
      </c>
      <c r="B7" t="s">
        <v>93</v>
      </c>
      <c r="C7">
        <v>3243.9383772927654</v>
      </c>
      <c r="D7" t="s">
        <v>12</v>
      </c>
    </row>
    <row r="8" spans="1:4">
      <c r="A8" t="s">
        <v>334</v>
      </c>
      <c r="B8" t="s">
        <v>94</v>
      </c>
      <c r="C8">
        <v>930.38019928508322</v>
      </c>
      <c r="D8" t="s">
        <v>12</v>
      </c>
    </row>
    <row r="9" spans="1:4">
      <c r="A9" t="s">
        <v>334</v>
      </c>
      <c r="B9" t="s">
        <v>95</v>
      </c>
      <c r="C9">
        <v>2468.788610176307</v>
      </c>
      <c r="D9" t="s">
        <v>12</v>
      </c>
    </row>
    <row r="10" spans="1:4">
      <c r="A10" t="s">
        <v>334</v>
      </c>
      <c r="B10" t="s">
        <v>96</v>
      </c>
      <c r="C10">
        <v>1347.7148828012882</v>
      </c>
      <c r="D10" t="s">
        <v>12</v>
      </c>
    </row>
    <row r="11" spans="1:4">
      <c r="A11" t="s">
        <v>334</v>
      </c>
      <c r="B11" t="s">
        <v>97</v>
      </c>
      <c r="C11">
        <v>5416.1649632590006</v>
      </c>
      <c r="D11" t="s">
        <v>12</v>
      </c>
    </row>
    <row r="12" spans="1:4">
      <c r="A12" t="s">
        <v>334</v>
      </c>
      <c r="B12" t="s">
        <v>98</v>
      </c>
      <c r="C12">
        <v>5443.2109555691459</v>
      </c>
      <c r="D12" t="s">
        <v>12</v>
      </c>
    </row>
    <row r="13" spans="1:4">
      <c r="A13" t="s">
        <v>334</v>
      </c>
      <c r="B13" t="s">
        <v>99</v>
      </c>
      <c r="C13">
        <v>1549.8074063130668</v>
      </c>
      <c r="D13" t="s">
        <v>12</v>
      </c>
    </row>
    <row r="14" spans="1:4">
      <c r="A14" t="s">
        <v>339</v>
      </c>
      <c r="B14" t="s">
        <v>88</v>
      </c>
      <c r="C14">
        <v>48.488291990210591</v>
      </c>
      <c r="D14" t="s">
        <v>12</v>
      </c>
    </row>
    <row r="15" spans="1:4">
      <c r="A15" t="s">
        <v>339</v>
      </c>
      <c r="B15" t="s">
        <v>89</v>
      </c>
      <c r="C15">
        <v>48.008209891297618</v>
      </c>
      <c r="D15" t="s">
        <v>12</v>
      </c>
    </row>
    <row r="16" spans="1:4">
      <c r="A16" t="s">
        <v>339</v>
      </c>
      <c r="B16" t="s">
        <v>90</v>
      </c>
      <c r="C16">
        <v>47.532881080492686</v>
      </c>
      <c r="D16" t="s">
        <v>12</v>
      </c>
    </row>
    <row r="17" spans="1:4">
      <c r="A17" t="s">
        <v>339</v>
      </c>
      <c r="B17" t="s">
        <v>91</v>
      </c>
      <c r="C17">
        <v>285.24709098207057</v>
      </c>
      <c r="D17" t="s">
        <v>12</v>
      </c>
    </row>
    <row r="18" spans="1:4">
      <c r="A18" t="s">
        <v>339</v>
      </c>
      <c r="B18" t="s">
        <v>92</v>
      </c>
      <c r="C18">
        <v>380.46751002470688</v>
      </c>
      <c r="D18" t="s">
        <v>12</v>
      </c>
    </row>
    <row r="19" spans="1:4">
      <c r="A19" t="s">
        <v>339</v>
      </c>
      <c r="B19" t="s">
        <v>93</v>
      </c>
      <c r="C19">
        <v>329.33965258006276</v>
      </c>
      <c r="D19" t="s">
        <v>12</v>
      </c>
    </row>
    <row r="20" spans="1:4">
      <c r="A20" t="s">
        <v>339</v>
      </c>
      <c r="B20" t="s">
        <v>94</v>
      </c>
      <c r="C20">
        <v>359.79885517657794</v>
      </c>
      <c r="D20" t="s">
        <v>12</v>
      </c>
    </row>
    <row r="21" spans="1:4">
      <c r="A21" t="s">
        <v>339</v>
      </c>
      <c r="B21" t="s">
        <v>95</v>
      </c>
      <c r="C21">
        <v>117.55384556383696</v>
      </c>
      <c r="D21" t="s">
        <v>12</v>
      </c>
    </row>
    <row r="22" spans="1:4">
      <c r="A22" t="s">
        <v>339</v>
      </c>
      <c r="B22" t="s">
        <v>96</v>
      </c>
      <c r="C22">
        <v>44.77812413978296</v>
      </c>
      <c r="D22" t="s">
        <v>12</v>
      </c>
    </row>
    <row r="23" spans="1:4">
      <c r="A23" t="s">
        <v>339</v>
      </c>
      <c r="B23" t="s">
        <v>97</v>
      </c>
      <c r="C23">
        <v>349.21722407003193</v>
      </c>
      <c r="D23" t="s">
        <v>12</v>
      </c>
    </row>
    <row r="24" spans="1:4">
      <c r="A24" t="s">
        <v>339</v>
      </c>
      <c r="B24" t="s">
        <v>98</v>
      </c>
      <c r="C24">
        <v>43.895818194081926</v>
      </c>
      <c r="D24" t="s">
        <v>12</v>
      </c>
    </row>
    <row r="25" spans="1:4">
      <c r="A25" t="s">
        <v>339</v>
      </c>
      <c r="B25" t="s">
        <v>99</v>
      </c>
      <c r="C25">
        <v>72.42192649627998</v>
      </c>
      <c r="D25" t="s">
        <v>12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114"/>
  <sheetViews>
    <sheetView zoomScale="90" zoomScaleNormal="90" workbookViewId="0">
      <pane xSplit="2" ySplit="19" topLeftCell="C20" activePane="bottomRight" state="frozen"/>
      <selection pane="topRight" activeCell="C1" sqref="C1"/>
      <selection pane="bottomLeft" activeCell="A3" sqref="A3"/>
      <selection pane="bottomRight" activeCell="P44" sqref="P44"/>
    </sheetView>
  </sheetViews>
  <sheetFormatPr baseColWidth="10" defaultRowHeight="15" outlineLevelRow="2"/>
  <cols>
    <col min="1" max="1" width="35.42578125" bestFit="1" customWidth="1"/>
    <col min="2" max="2" width="11.42578125" bestFit="1" customWidth="1"/>
    <col min="3" max="3" width="9.85546875" bestFit="1" customWidth="1"/>
    <col min="4" max="6" width="10.42578125" bestFit="1" customWidth="1"/>
    <col min="7" max="7" width="11.42578125" bestFit="1" customWidth="1"/>
    <col min="8" max="8" width="10.140625" bestFit="1" customWidth="1"/>
    <col min="9" max="9" width="11" bestFit="1" customWidth="1"/>
    <col min="10" max="10" width="10.140625" bestFit="1" customWidth="1"/>
    <col min="11" max="11" width="9.85546875" bestFit="1" customWidth="1"/>
    <col min="12" max="12" width="10.140625" bestFit="1" customWidth="1"/>
    <col min="13" max="14" width="10.42578125" bestFit="1" customWidth="1"/>
  </cols>
  <sheetData>
    <row r="1" spans="1:18" hidden="1" outlineLevel="2">
      <c r="A1" s="30" t="s">
        <v>120</v>
      </c>
      <c r="B1" s="41" t="s">
        <v>121</v>
      </c>
      <c r="C1" s="42">
        <f>+INDEX(Tabla2[Precio Jornal],MATCH(C$19,Tabla2[Mes],0))</f>
        <v>19319.199999999997</v>
      </c>
      <c r="D1" s="42">
        <f>+INDEX(Tabla2[Precio Jornal],MATCH(D$19,Tabla2[Mes],0))</f>
        <v>19646</v>
      </c>
      <c r="E1" s="42">
        <f>+INDEX(Tabla2[Precio Jornal],MATCH(E$19,Tabla2[Mes],0))</f>
        <v>19976.599999999999</v>
      </c>
      <c r="F1" s="42">
        <f>+INDEX(Tabla2[Precio Jornal],MATCH(F$19,Tabla2[Mes],0))</f>
        <v>20312.899999999998</v>
      </c>
      <c r="G1" s="42">
        <f>+INDEX(Tabla2[Precio Jornal],MATCH(G$19,Tabla2[Mes],0))</f>
        <v>20654.899999999998</v>
      </c>
      <c r="H1" s="42">
        <f>+INDEX(Tabla2[Precio Jornal],MATCH(H$19,Tabla2[Mes],0))</f>
        <v>21002.6</v>
      </c>
      <c r="I1" s="42">
        <f>+INDEX(Tabla2[Precio Jornal],MATCH(I$19,Tabla2[Mes],0))</f>
        <v>21357.9</v>
      </c>
      <c r="J1" s="42">
        <f>+INDEX(Tabla2[Precio Jornal],MATCH(J$19,Tabla2[Mes],0))</f>
        <v>21717</v>
      </c>
      <c r="K1" s="42">
        <f>+INDEX(Tabla2[Precio Jornal],MATCH(K$19,Tabla2[Mes],0))</f>
        <v>22083.7</v>
      </c>
      <c r="L1" s="42">
        <f>+INDEX(Tabla2[Precio Jornal],MATCH(L$19,Tabla2[Mes],0))</f>
        <v>22454.2</v>
      </c>
      <c r="M1" s="42">
        <f>+INDEX(Tabla2[Precio Jornal],MATCH(M$19,Tabla2[Mes],0))</f>
        <v>22834.2</v>
      </c>
      <c r="N1" s="42">
        <f>+INDEX(Tabla2[Precio Jornal],MATCH(N$19,Tabla2[Mes],0))</f>
        <v>23218</v>
      </c>
    </row>
    <row r="2" spans="1:18" hidden="1" outlineLevel="2">
      <c r="A2" s="30" t="s">
        <v>123</v>
      </c>
      <c r="B2" s="29"/>
      <c r="C2" s="44">
        <v>23.5</v>
      </c>
      <c r="D2" s="44">
        <v>20.5</v>
      </c>
      <c r="E2" s="44">
        <v>24</v>
      </c>
      <c r="F2" s="44">
        <v>24</v>
      </c>
      <c r="G2" s="44">
        <v>23</v>
      </c>
      <c r="H2" s="44">
        <v>24.5</v>
      </c>
      <c r="I2" s="44">
        <v>22.5</v>
      </c>
      <c r="J2" s="44">
        <v>23</v>
      </c>
      <c r="K2" s="44">
        <v>24</v>
      </c>
      <c r="L2" s="44">
        <v>20.5</v>
      </c>
      <c r="M2" s="44">
        <v>23</v>
      </c>
      <c r="N2" s="44">
        <v>22</v>
      </c>
    </row>
    <row r="3" spans="1:18" hidden="1" outlineLevel="2">
      <c r="A3" s="30" t="s">
        <v>124</v>
      </c>
      <c r="B3" s="54">
        <v>11</v>
      </c>
      <c r="C3" s="46">
        <f t="shared" ref="C3:N3" si="0">+$B3*C2</f>
        <v>258.5</v>
      </c>
      <c r="D3" s="46">
        <f t="shared" si="0"/>
        <v>225.5</v>
      </c>
      <c r="E3" s="46">
        <f t="shared" si="0"/>
        <v>264</v>
      </c>
      <c r="F3" s="46">
        <f t="shared" si="0"/>
        <v>264</v>
      </c>
      <c r="G3" s="46">
        <f t="shared" si="0"/>
        <v>253</v>
      </c>
      <c r="H3" s="46">
        <f t="shared" si="0"/>
        <v>269.5</v>
      </c>
      <c r="I3" s="46">
        <f t="shared" si="0"/>
        <v>247.5</v>
      </c>
      <c r="J3" s="46">
        <f t="shared" si="0"/>
        <v>253</v>
      </c>
      <c r="K3" s="46">
        <f t="shared" si="0"/>
        <v>264</v>
      </c>
      <c r="L3" s="46">
        <f t="shared" si="0"/>
        <v>225.5</v>
      </c>
      <c r="M3" s="46">
        <f t="shared" si="0"/>
        <v>253</v>
      </c>
      <c r="N3" s="46">
        <f t="shared" si="0"/>
        <v>242</v>
      </c>
      <c r="O3" t="s">
        <v>164</v>
      </c>
      <c r="P3" t="s">
        <v>165</v>
      </c>
      <c r="Q3" t="s">
        <v>166</v>
      </c>
      <c r="R3" t="s">
        <v>167</v>
      </c>
    </row>
    <row r="4" spans="1:18" hidden="1" outlineLevel="2">
      <c r="A4" s="30" t="s">
        <v>132</v>
      </c>
      <c r="B4" s="54">
        <f>+SUMIF(TablaGeneral[Finca],$A$18,TablaGeneral[Resumen Jornales totales de Cosecha])</f>
        <v>417.99974533079438</v>
      </c>
      <c r="C4" s="49"/>
      <c r="D4" s="49"/>
      <c r="E4" s="49"/>
      <c r="F4" s="49"/>
      <c r="G4" s="49"/>
      <c r="H4" s="49"/>
      <c r="I4" s="49"/>
      <c r="J4" s="49"/>
      <c r="K4" s="49">
        <f>+B4*0.2</f>
        <v>83.599949066158885</v>
      </c>
      <c r="L4" s="49">
        <f>+B4*0.4</f>
        <v>167.19989813231777</v>
      </c>
      <c r="M4" s="49">
        <f>+B4*0.4</f>
        <v>167.19989813231777</v>
      </c>
      <c r="N4" s="49"/>
      <c r="O4" s="2">
        <f>SUM(C4:N4)</f>
        <v>417.99974533079444</v>
      </c>
      <c r="P4" s="2">
        <f>SUM(C5:N5)</f>
        <v>849.93030452650214</v>
      </c>
      <c r="Q4" s="2">
        <f>+O114</f>
        <v>4446.4973028999466</v>
      </c>
      <c r="R4" s="62">
        <f>+(O4+P4+Q4)/SUMIFS(TablaGeneral[Has],TablaGeneral[Finca],A18)</f>
        <v>86.524811606195328</v>
      </c>
    </row>
    <row r="5" spans="1:18" hidden="1" outlineLevel="2">
      <c r="A5" s="30" t="s">
        <v>133</v>
      </c>
      <c r="B5" s="54">
        <f>+SUMIFS(TablaGeneral[Resumen Jornales totales de Secado],TablaGeneral[Finca],"Camino truncado")*0.75</f>
        <v>850.03374188158273</v>
      </c>
      <c r="C5" s="49">
        <f t="shared" ref="C5:N5" si="1">+$B5*C18</f>
        <v>116.9732822712992</v>
      </c>
      <c r="D5" s="49">
        <f t="shared" si="1"/>
        <v>100.70988159754442</v>
      </c>
      <c r="E5" s="49">
        <f t="shared" si="1"/>
        <v>0</v>
      </c>
      <c r="F5" s="49">
        <f t="shared" si="1"/>
        <v>0</v>
      </c>
      <c r="G5" s="49">
        <f t="shared" si="1"/>
        <v>8.1317003368773868</v>
      </c>
      <c r="H5" s="49">
        <f t="shared" si="1"/>
        <v>0</v>
      </c>
      <c r="I5" s="49">
        <f t="shared" si="1"/>
        <v>0</v>
      </c>
      <c r="J5" s="49">
        <f t="shared" si="1"/>
        <v>2.7105667789591288</v>
      </c>
      <c r="K5" s="49">
        <f t="shared" si="1"/>
        <v>67.185170486928428</v>
      </c>
      <c r="L5" s="49">
        <f t="shared" si="1"/>
        <v>220.99738713880245</v>
      </c>
      <c r="M5" s="49">
        <f t="shared" si="1"/>
        <v>205.40676652895547</v>
      </c>
      <c r="N5" s="49">
        <f t="shared" si="1"/>
        <v>127.8155493871357</v>
      </c>
      <c r="Q5">
        <f>+Q4/65</f>
        <v>68.407650813845336</v>
      </c>
    </row>
    <row r="6" spans="1:18" hidden="1" outlineLevel="2">
      <c r="A6" s="30" t="s">
        <v>125</v>
      </c>
      <c r="B6" s="52">
        <f t="shared" ref="B6:B17" si="2">SUM(C6:N6)</f>
        <v>2694.9273527572441</v>
      </c>
      <c r="C6" s="51">
        <f>+(C114+C4+C5)-C3</f>
        <v>165.52657458076459</v>
      </c>
      <c r="D6" s="51">
        <f t="shared" ref="D6:N6" si="3">+D114+D4+D5-D3</f>
        <v>464.34616167037495</v>
      </c>
      <c r="E6" s="51">
        <f t="shared" si="3"/>
        <v>322.53807708406453</v>
      </c>
      <c r="F6" s="51">
        <f t="shared" si="3"/>
        <v>461.67684060680051</v>
      </c>
      <c r="G6" s="51">
        <f t="shared" si="3"/>
        <v>111.58305226004148</v>
      </c>
      <c r="H6" s="51">
        <f t="shared" si="3"/>
        <v>119.34185362578376</v>
      </c>
      <c r="I6" s="51">
        <f t="shared" si="3"/>
        <v>151.51738068932724</v>
      </c>
      <c r="J6" s="51">
        <f t="shared" si="3"/>
        <v>98.338568446668887</v>
      </c>
      <c r="K6" s="51">
        <f t="shared" si="3"/>
        <v>69.297822346611156</v>
      </c>
      <c r="L6" s="51">
        <f t="shared" si="3"/>
        <v>324.65802143798714</v>
      </c>
      <c r="M6" s="51">
        <f t="shared" si="3"/>
        <v>295.31936745479709</v>
      </c>
      <c r="N6" s="51">
        <f t="shared" si="3"/>
        <v>110.78363255402252</v>
      </c>
    </row>
    <row r="7" spans="1:18" hidden="1" outlineLevel="2">
      <c r="A7" s="30" t="s">
        <v>148</v>
      </c>
      <c r="B7" s="53">
        <f t="shared" si="2"/>
        <v>56460377.440428331</v>
      </c>
      <c r="C7" s="53">
        <f t="shared" ref="C7:N7" si="4">+C6*C1</f>
        <v>3197840.9996407069</v>
      </c>
      <c r="D7" s="53">
        <f t="shared" si="4"/>
        <v>9122544.6921761855</v>
      </c>
      <c r="E7" s="53">
        <f t="shared" si="4"/>
        <v>6443214.1506775226</v>
      </c>
      <c r="F7" s="53">
        <f t="shared" si="4"/>
        <v>9377995.4955618773</v>
      </c>
      <c r="G7" s="53">
        <f t="shared" si="4"/>
        <v>2304736.7861259305</v>
      </c>
      <c r="H7" s="53">
        <f t="shared" si="4"/>
        <v>2506489.2149608857</v>
      </c>
      <c r="I7" s="53">
        <f t="shared" si="4"/>
        <v>3236093.0650245827</v>
      </c>
      <c r="J7" s="53">
        <f t="shared" si="4"/>
        <v>2135618.690956308</v>
      </c>
      <c r="K7" s="53">
        <f t="shared" si="4"/>
        <v>1530352.3193558569</v>
      </c>
      <c r="L7" s="53">
        <f t="shared" si="4"/>
        <v>7289936.1449728515</v>
      </c>
      <c r="M7" s="53">
        <f t="shared" si="4"/>
        <v>6743381.5003363276</v>
      </c>
      <c r="N7" s="53">
        <f t="shared" si="4"/>
        <v>2572174.3806392946</v>
      </c>
      <c r="P7" s="43" t="s">
        <v>149</v>
      </c>
    </row>
    <row r="8" spans="1:18" hidden="1" outlineLevel="2">
      <c r="A8" s="30" t="s">
        <v>358</v>
      </c>
      <c r="B8" s="53">
        <f t="shared" si="2"/>
        <v>47717.446414666883</v>
      </c>
      <c r="C8" s="53">
        <f>+C7/INDEX(Tabla2[TC],MATCH(C19,Tabla2[Mes],0))</f>
        <v>2837.4809224850992</v>
      </c>
      <c r="D8" s="53">
        <f>+D7/INDEX(Tabla2[TC],MATCH(D19,Tabla2[Mes],0))</f>
        <v>8014.3943811013078</v>
      </c>
      <c r="E8" s="53">
        <f>+E7/INDEX(Tabla2[TC],MATCH(E19,Tabla2[Mes],0))</f>
        <v>5604.4874688482205</v>
      </c>
      <c r="F8" s="53">
        <f>+F7/INDEX(Tabla2[TC],MATCH(F19,Tabla2[Mes],0))</f>
        <v>8076.4774048821519</v>
      </c>
      <c r="G8" s="53">
        <f>+G7/INDEX(Tabla2[TC],MATCH(G19,Tabla2[Mes],0))</f>
        <v>1965.2233812542281</v>
      </c>
      <c r="H8" s="53">
        <f>+H7/INDEX(Tabla2[TC],MATCH(H19,Tabla2[Mes],0))</f>
        <v>2116.0944848195732</v>
      </c>
      <c r="I8" s="53">
        <f>+I7/INDEX(Tabla2[TC],MATCH(I19,Tabla2[Mes],0))</f>
        <v>2705.0098072276746</v>
      </c>
      <c r="J8" s="53">
        <f>+J7/INDEX(Tabla2[TC],MATCH(J19,Tabla2[Mes],0))</f>
        <v>1767.4623877772551</v>
      </c>
      <c r="K8" s="53">
        <f>+K7/INDEX(Tabla2[TC],MATCH(K19,Tabla2[Mes],0))</f>
        <v>1253.9970642520207</v>
      </c>
      <c r="L8" s="53">
        <f>+L7/INDEX(Tabla2[TC],MATCH(L19,Tabla2[Mes],0))</f>
        <v>5914.3557528967758</v>
      </c>
      <c r="M8" s="53">
        <f>+M7/INDEX(Tabla2[TC],MATCH(M19,Tabla2[Mes],0))</f>
        <v>5416.7660184316546</v>
      </c>
      <c r="N8" s="53">
        <f>+N7/INDEX(Tabla2[TC],MATCH(N19,Tabla2[Mes],0))</f>
        <v>2045.6973406909235</v>
      </c>
      <c r="P8" s="53">
        <f>+B8/SUMIFS(TablaGeneral[Has],TablaGeneral[Finca],A18)</f>
        <v>722.51212702277701</v>
      </c>
    </row>
    <row r="9" spans="1:18" hidden="1" outlineLevel="2">
      <c r="A9" s="30" t="s">
        <v>152</v>
      </c>
      <c r="B9" s="57">
        <f t="shared" si="2"/>
        <v>3758.3181412676008</v>
      </c>
      <c r="C9" s="57">
        <f>+(SUM(C20:C25,C34:C39,C48:C53,C62:C67,C76:C81,C106)*11.5)</f>
        <v>57.499999999999993</v>
      </c>
      <c r="D9" s="57">
        <f t="shared" ref="D9:N9" si="5">+(SUM(D20:D25,D34:D39,D48:D53,D62:D67,D76:D81,D106)*11.5)</f>
        <v>57.499999999999993</v>
      </c>
      <c r="E9" s="57">
        <f t="shared" si="5"/>
        <v>57.499999999999993</v>
      </c>
      <c r="F9" s="57">
        <f t="shared" si="5"/>
        <v>882.62509138522216</v>
      </c>
      <c r="G9" s="57">
        <f t="shared" si="5"/>
        <v>710.36805194509407</v>
      </c>
      <c r="H9" s="57">
        <f t="shared" si="5"/>
        <v>285.83255457373463</v>
      </c>
      <c r="I9" s="57">
        <f t="shared" si="5"/>
        <v>512.86605666442983</v>
      </c>
      <c r="J9" s="57">
        <f t="shared" si="5"/>
        <v>250.12477659078965</v>
      </c>
      <c r="K9" s="57">
        <f t="shared" si="5"/>
        <v>57.499999999999993</v>
      </c>
      <c r="L9" s="57">
        <f t="shared" si="5"/>
        <v>512.86605666442983</v>
      </c>
      <c r="M9" s="57">
        <f t="shared" si="5"/>
        <v>57.499999999999993</v>
      </c>
      <c r="N9" s="57">
        <f t="shared" si="5"/>
        <v>316.13555344390062</v>
      </c>
      <c r="P9" s="56"/>
    </row>
    <row r="10" spans="1:18" hidden="1" outlineLevel="2">
      <c r="A10" s="30" t="s">
        <v>154</v>
      </c>
      <c r="B10" s="57">
        <f t="shared" si="2"/>
        <v>8159.3309234544213</v>
      </c>
      <c r="C10" s="57">
        <f>+(SUMIFS(TablaGeneral[Resumen Jornales totales de Secado],TablaGeneral[Finca],"Camino truncado"))*0.72*C18*10</f>
        <v>1122.9435098044723</v>
      </c>
      <c r="D10" s="57">
        <f>+(SUMIFS(TablaGeneral[Resumen Jornales totales de Secado],TablaGeneral[Finca],"Camino truncado"))*0.72*D18*10</f>
        <v>966.81486333642636</v>
      </c>
      <c r="E10" s="57">
        <f>+(SUMIFS(TablaGeneral[Resumen Jornales totales de Secado],TablaGeneral[Finca],"Camino truncado"))*0.72*E18*10</f>
        <v>0</v>
      </c>
      <c r="F10" s="57">
        <f>+(SUMIFS(TablaGeneral[Resumen Jornales totales de Secado],TablaGeneral[Finca],"Camino truncado"))*0.72*F18*10</f>
        <v>0</v>
      </c>
      <c r="G10" s="57">
        <f>+(SUMIFS(TablaGeneral[Resumen Jornales totales de Secado],TablaGeneral[Finca],"Camino truncado"))*0.72*G18*10</f>
        <v>78.064323234022908</v>
      </c>
      <c r="H10" s="57">
        <f>+(SUMIFS(TablaGeneral[Resumen Jornales totales de Secado],TablaGeneral[Finca],"Camino truncado"))*0.72*H18*10</f>
        <v>0</v>
      </c>
      <c r="I10" s="57">
        <f>+(SUMIFS(TablaGeneral[Resumen Jornales totales de Secado],TablaGeneral[Finca],"Camino truncado"))*0.72*I18*10</f>
        <v>0</v>
      </c>
      <c r="J10" s="57">
        <f>+(SUMIFS(TablaGeneral[Resumen Jornales totales de Secado],TablaGeneral[Finca],"Camino truncado"))*0.72*J18*10</f>
        <v>26.021441078007634</v>
      </c>
      <c r="K10" s="57">
        <f>+(SUMIFS(TablaGeneral[Resumen Jornales totales de Secado],TablaGeneral[Finca],"Camino truncado"))*0.72*K18*10</f>
        <v>644.97763667451295</v>
      </c>
      <c r="L10" s="57">
        <f>+(SUMIFS(TablaGeneral[Resumen Jornales totales de Secado],TablaGeneral[Finca],"Camino truncado"))*0.72*L18*10</f>
        <v>2121.5749165325037</v>
      </c>
      <c r="M10" s="57">
        <f>+(SUMIFS(TablaGeneral[Resumen Jornales totales de Secado],TablaGeneral[Finca],"Camino truncado"))*0.72*M18*10</f>
        <v>1971.9049586779724</v>
      </c>
      <c r="N10" s="57">
        <f>+(SUMIFS(TablaGeneral[Resumen Jornales totales de Secado],TablaGeneral[Finca],"Camino truncado"))*0.72*N18*10</f>
        <v>1227.0292741165028</v>
      </c>
      <c r="P10" s="56"/>
    </row>
    <row r="11" spans="1:18" hidden="1" outlineLevel="2">
      <c r="A11" s="30" t="s">
        <v>153</v>
      </c>
      <c r="B11" s="57">
        <f t="shared" si="2"/>
        <v>4179.9974533079439</v>
      </c>
      <c r="C11" s="57"/>
      <c r="D11" s="57"/>
      <c r="E11" s="57"/>
      <c r="F11" s="57"/>
      <c r="G11" s="57"/>
      <c r="H11" s="57"/>
      <c r="I11" s="57"/>
      <c r="J11" s="57"/>
      <c r="K11" s="57">
        <f>+SUMIFS(TablaGeneral[Resumen Jornales totales de Cosecha],TablaGeneral[Finca],$A$18)*0.2*10</f>
        <v>835.99949066158888</v>
      </c>
      <c r="L11" s="57">
        <f>+SUMIFS(TablaGeneral[Resumen Jornales totales de Cosecha],TablaGeneral[Finca],$A$18)*0.4*10</f>
        <v>1671.9989813231778</v>
      </c>
      <c r="M11" s="57">
        <f>+SUMIFS(TablaGeneral[Resumen Jornales totales de Cosecha],TablaGeneral[Finca],$A$18)*0.4*10</f>
        <v>1671.9989813231778</v>
      </c>
      <c r="N11" s="57"/>
      <c r="P11" s="56"/>
    </row>
    <row r="12" spans="1:18" hidden="1" outlineLevel="2">
      <c r="A12" s="30" t="s">
        <v>305</v>
      </c>
      <c r="B12" s="57">
        <f t="shared" ref="B12:B13" si="6">SUM(C12:N12)</f>
        <v>16097.646518029967</v>
      </c>
      <c r="C12" s="57">
        <f>SUM(C9:C11)</f>
        <v>1180.4435098044723</v>
      </c>
      <c r="D12" s="57">
        <f t="shared" ref="D12:N12" si="7">SUM(D9:D11)</f>
        <v>1024.3148633364262</v>
      </c>
      <c r="E12" s="57">
        <f t="shared" si="7"/>
        <v>57.499999999999993</v>
      </c>
      <c r="F12" s="57">
        <f t="shared" si="7"/>
        <v>882.62509138522216</v>
      </c>
      <c r="G12" s="57">
        <f t="shared" si="7"/>
        <v>788.432375179117</v>
      </c>
      <c r="H12" s="57">
        <f t="shared" si="7"/>
        <v>285.83255457373463</v>
      </c>
      <c r="I12" s="57">
        <f t="shared" si="7"/>
        <v>512.86605666442983</v>
      </c>
      <c r="J12" s="57">
        <f t="shared" si="7"/>
        <v>276.14621766879731</v>
      </c>
      <c r="K12" s="57">
        <f t="shared" si="7"/>
        <v>1538.4771273361018</v>
      </c>
      <c r="L12" s="57">
        <f t="shared" si="7"/>
        <v>4306.4399545201113</v>
      </c>
      <c r="M12" s="57">
        <f t="shared" si="7"/>
        <v>3701.4039400011502</v>
      </c>
      <c r="N12" s="57">
        <f t="shared" si="7"/>
        <v>1543.1648275604034</v>
      </c>
      <c r="P12" s="56"/>
    </row>
    <row r="13" spans="1:18" hidden="1" outlineLevel="2">
      <c r="A13" s="30" t="s">
        <v>304</v>
      </c>
      <c r="B13" s="82">
        <f t="shared" si="6"/>
        <v>348.7823412239826</v>
      </c>
      <c r="C13" s="82">
        <f>+(C12/100)+(C12/150)+(C12/200)</f>
        <v>25.576276045763571</v>
      </c>
      <c r="D13" s="82">
        <f t="shared" ref="D13:N13" si="8">+(D12/100)+(D12/150)+(D12/200)</f>
        <v>22.193488705622567</v>
      </c>
      <c r="E13" s="82">
        <f t="shared" si="8"/>
        <v>1.2458333333333331</v>
      </c>
      <c r="F13" s="82">
        <f t="shared" si="8"/>
        <v>19.123543646679813</v>
      </c>
      <c r="G13" s="82">
        <f t="shared" si="8"/>
        <v>17.082701462214203</v>
      </c>
      <c r="H13" s="82">
        <f t="shared" si="8"/>
        <v>6.1930386824309167</v>
      </c>
      <c r="I13" s="82">
        <f t="shared" si="8"/>
        <v>11.11209789439598</v>
      </c>
      <c r="J13" s="82">
        <f t="shared" si="8"/>
        <v>5.9831680494906081</v>
      </c>
      <c r="K13" s="82">
        <f t="shared" si="8"/>
        <v>33.333671092282202</v>
      </c>
      <c r="L13" s="82">
        <f t="shared" si="8"/>
        <v>93.306199014602413</v>
      </c>
      <c r="M13" s="82">
        <f t="shared" si="8"/>
        <v>80.197085366691596</v>
      </c>
      <c r="N13" s="82">
        <f t="shared" si="8"/>
        <v>33.435237930475409</v>
      </c>
      <c r="P13" s="56"/>
    </row>
    <row r="14" spans="1:18" hidden="1" outlineLevel="2">
      <c r="A14" s="30" t="s">
        <v>151</v>
      </c>
      <c r="B14" s="83">
        <f>SUM(C14:N14)</f>
        <v>20019786.224462055</v>
      </c>
      <c r="C14" s="83">
        <f>+(INDEX(Tabla2[Combustible],MATCH(C19,Tabla2[Mes],0))*C12)</f>
        <v>1363618.8314383812</v>
      </c>
      <c r="D14" s="83">
        <f>+(INDEX(Tabla2[Combustible],MATCH(D19,Tabla2[Mes],0))*D12)</f>
        <v>1195095.5514772024</v>
      </c>
      <c r="E14" s="83">
        <f>+(INDEX(Tabla2[Combustible],MATCH(E19,Tabla2[Mes],0))*E12)</f>
        <v>67757.656006249992</v>
      </c>
      <c r="F14" s="83">
        <f>+(INDEX(Tabla2[Combustible],MATCH(F19,Tabla2[Mes],0))*F12)</f>
        <v>1050480.9286575739</v>
      </c>
      <c r="G14" s="83">
        <f>+(INDEX(Tabla2[Combustible],MATCH(G19,Tabla2[Mes],0))*G12)</f>
        <v>947758.58239608631</v>
      </c>
      <c r="H14" s="83">
        <f>+(INDEX(Tabla2[Combustible],MATCH(H19,Tabla2[Mes],0))*H12)</f>
        <v>347029.45732099132</v>
      </c>
      <c r="I14" s="83">
        <f>+(INDEX(Tabla2[Combustible],MATCH(I19,Tabla2[Mes],0))*I12)</f>
        <v>628897.66312279343</v>
      </c>
      <c r="J14" s="83">
        <f>+(INDEX(Tabla2[Combustible],MATCH(J19,Tabla2[Mes],0))*J12)</f>
        <v>342008.18284332985</v>
      </c>
      <c r="K14" s="83">
        <f>+(INDEX(Tabla2[Combustible],MATCH(K19,Tabla2[Mes],0))*K12)</f>
        <v>1924464.1075268921</v>
      </c>
      <c r="L14" s="83">
        <f>+(INDEX(Tabla2[Combustible],MATCH(L19,Tabla2[Mes],0))*L12)</f>
        <v>5440747.1298739612</v>
      </c>
      <c r="M14" s="83">
        <f>+(INDEX(Tabla2[Combustible],MATCH(M19,Tabla2[Mes],0))*M12)</f>
        <v>4723109.3679472068</v>
      </c>
      <c r="N14" s="83">
        <f>+(INDEX(Tabla2[Combustible],MATCH(N19,Tabla2[Mes],0))*N12)</f>
        <v>1988818.7658513871</v>
      </c>
      <c r="P14" s="56"/>
    </row>
    <row r="15" spans="1:18" hidden="1" outlineLevel="2">
      <c r="A15" s="30" t="s">
        <v>306</v>
      </c>
      <c r="B15" s="83">
        <f>SUM(C15:N15)</f>
        <v>2390980.972661363</v>
      </c>
      <c r="C15" s="83">
        <f>+(INDEX(Tabla2[Lubricantes],MATCH(C19,Tabla2[Mes],0))*C13)</f>
        <v>162858.21653520182</v>
      </c>
      <c r="D15" s="83">
        <f>+(INDEX(Tabla2[Lubricantes],MATCH(D19,Tabla2[Mes],0))*D13)</f>
        <v>142731.33049756187</v>
      </c>
      <c r="E15" s="83">
        <f>+(INDEX(Tabla2[Lubricantes],MATCH(E19,Tabla2[Mes],0))*E13)</f>
        <v>8092.3574531041668</v>
      </c>
      <c r="F15" s="83">
        <f>+(INDEX(Tabla2[Lubricantes],MATCH(F19,Tabla2[Mes],0))*F13)</f>
        <v>125459.87676406313</v>
      </c>
      <c r="G15" s="83">
        <f>+(INDEX(Tabla2[Lubricantes],MATCH(G19,Tabla2[Mes],0))*G13)</f>
        <v>113191.65508454073</v>
      </c>
      <c r="H15" s="83">
        <f>+(INDEX(Tabla2[Lubricantes],MATCH(H19,Tabla2[Mes],0))*H13)</f>
        <v>41446.038439393196</v>
      </c>
      <c r="I15" s="83">
        <f>+(INDEX(Tabla2[Lubricantes],MATCH(I19,Tabla2[Mes],0))*I13)</f>
        <v>75109.810335559639</v>
      </c>
      <c r="J15" s="83">
        <f>+(INDEX(Tabla2[Lubricantes],MATCH(J19,Tabla2[Mes],0))*J13)</f>
        <v>40846.343137955417</v>
      </c>
      <c r="K15" s="83">
        <f>+(INDEX(Tabla2[Lubricantes],MATCH(K19,Tabla2[Mes],0))*K13)</f>
        <v>229840.46942739876</v>
      </c>
      <c r="L15" s="83">
        <f>+(INDEX(Tabla2[Lubricantes],MATCH(L19,Tabla2[Mes],0))*L13)</f>
        <v>649793.29542966257</v>
      </c>
      <c r="M15" s="83">
        <f>+(INDEX(Tabla2[Lubricantes],MATCH(M19,Tabla2[Mes],0))*M13)</f>
        <v>564085.17573288199</v>
      </c>
      <c r="N15" s="83">
        <f>+(INDEX(Tabla2[Lubricantes],MATCH(N19,Tabla2[Mes],0))*N13)</f>
        <v>237526.40382403971</v>
      </c>
      <c r="P15" s="56"/>
    </row>
    <row r="16" spans="1:18" hidden="1" outlineLevel="2">
      <c r="A16" s="30" t="s">
        <v>150</v>
      </c>
      <c r="B16" s="55">
        <f t="shared" si="2"/>
        <v>6983040.4652014319</v>
      </c>
      <c r="C16" s="55">
        <f>+(C9*INDEX(Tabla2[Combustible],MATCH(C19,Tabla2[Mes],0)))+(C13*INDEX(Tabla2[Lubricantes],MATCH(C19,Tabla2[Mes],0)))</f>
        <v>229280.77903520182</v>
      </c>
      <c r="D16" s="55">
        <f>+(D9*INDEX(Tabla2[Combustible],MATCH(D19,Tabla2[Mes],0)))+(D13*INDEX(Tabla2[Lubricantes],MATCH(D19,Tabla2[Mes],0)))</f>
        <v>209818.11862256186</v>
      </c>
      <c r="E16" s="55">
        <f>+(E9*INDEX(Tabla2[Combustible],MATCH(E19,Tabla2[Mes],0)))+(E13*INDEX(Tabla2[Lubricantes],MATCH(E19,Tabla2[Mes],0)))</f>
        <v>75850.013459354159</v>
      </c>
      <c r="F16" s="55">
        <f>+(F9*INDEX(Tabla2[Combustible],MATCH(F19,Tabla2[Mes],0)))+(F13*INDEX(Tabla2[Lubricantes],MATCH(F19,Tabla2[Mes],0)))</f>
        <v>1175940.8054216369</v>
      </c>
      <c r="G16" s="55">
        <f>+(G9*INDEX(Tabla2[Combustible],MATCH(G19,Tabla2[Mes],0)))+(G13*INDEX(Tabla2[Lubricantes],MATCH(G19,Tabla2[Mes],0)))</f>
        <v>967110.696318737</v>
      </c>
      <c r="H16" s="55">
        <f>+(H9*INDEX(Tabla2[Combustible],MATCH(H19,Tabla2[Mes],0)))+(H13*INDEX(Tabla2[Lubricantes],MATCH(H19,Tabla2[Mes],0)))</f>
        <v>388475.49576038454</v>
      </c>
      <c r="I16" s="55">
        <f>+(I9*INDEX(Tabla2[Combustible],MATCH(I19,Tabla2[Mes],0)))+(I13*INDEX(Tabla2[Lubricantes],MATCH(I19,Tabla2[Mes],0)))</f>
        <v>704007.47345835308</v>
      </c>
      <c r="J16" s="55">
        <f>+(J9*INDEX(Tabla2[Combustible],MATCH(J19,Tabla2[Mes],0)))+(J13*INDEX(Tabla2[Lubricantes],MATCH(J19,Tabla2[Mes],0)))</f>
        <v>350626.86828173982</v>
      </c>
      <c r="K16" s="55">
        <f>+(K9*INDEX(Tabla2[Combustible],MATCH(K19,Tabla2[Mes],0)))+(K13*INDEX(Tabla2[Lubricantes],MATCH(K19,Tabla2[Mes],0)))</f>
        <v>301766.586635524</v>
      </c>
      <c r="L16" s="55">
        <f>+(L9*INDEX(Tabla2[Combustible],MATCH(L19,Tabla2[Mes],0)))+(L13*INDEX(Tabla2[Lubricantes],MATCH(L19,Tabla2[Mes],0)))</f>
        <v>1297747.1866427397</v>
      </c>
      <c r="M16" s="55">
        <f>+(M9*INDEX(Tabla2[Combustible],MATCH(M19,Tabla2[Mes],0)))+(M13*INDEX(Tabla2[Lubricantes],MATCH(M19,Tabla2[Mes],0)))</f>
        <v>637457.00789689051</v>
      </c>
      <c r="N16" s="55">
        <f>+(N9*INDEX(Tabla2[Combustible],MATCH(N19,Tabla2[Mes],0)))+(N13*INDEX(Tabla2[Lubricantes],MATCH(N19,Tabla2[Mes],0)))</f>
        <v>644959.43366830843</v>
      </c>
      <c r="P16" s="56"/>
    </row>
    <row r="17" spans="1:16" hidden="1" outlineLevel="2">
      <c r="A17" s="30" t="s">
        <v>363</v>
      </c>
      <c r="B17" s="55">
        <f t="shared" si="2"/>
        <v>14293.180895872987</v>
      </c>
      <c r="C17" s="55">
        <f>+INDEX(Tabla2[TC],MATCH(C19,Tabla2[Mes],0))</f>
        <v>1127</v>
      </c>
      <c r="D17" s="55">
        <f>+INDEX(Tabla2[TC],MATCH(D19,Tabla2[Mes],0))</f>
        <v>1138.27</v>
      </c>
      <c r="E17" s="55">
        <f>+INDEX(Tabla2[TC],MATCH(E19,Tabla2[Mes],0))</f>
        <v>1149.6527000000001</v>
      </c>
      <c r="F17" s="55">
        <f>+INDEX(Tabla2[TC],MATCH(F19,Tabla2[Mes],0))</f>
        <v>1161.1492270000001</v>
      </c>
      <c r="G17" s="55">
        <f>+INDEX(Tabla2[TC],MATCH(G19,Tabla2[Mes],0))</f>
        <v>1172.7607192700002</v>
      </c>
      <c r="H17" s="55">
        <f>+INDEX(Tabla2[TC],MATCH(H19,Tabla2[Mes],0))</f>
        <v>1184.4883264627001</v>
      </c>
      <c r="I17" s="55">
        <f>+INDEX(Tabla2[TC],MATCH(I19,Tabla2[Mes],0))</f>
        <v>1196.3332097273271</v>
      </c>
      <c r="J17" s="55">
        <f>+INDEX(Tabla2[TC],MATCH(J19,Tabla2[Mes],0))</f>
        <v>1208.2965418246004</v>
      </c>
      <c r="K17" s="55">
        <f>+INDEX(Tabla2[TC],MATCH(K19,Tabla2[Mes],0))</f>
        <v>1220.3795072428463</v>
      </c>
      <c r="L17" s="55">
        <f>+INDEX(Tabla2[TC],MATCH(L19,Tabla2[Mes],0))</f>
        <v>1232.5833023152748</v>
      </c>
      <c r="M17" s="55">
        <f>+INDEX(Tabla2[TC],MATCH(M19,Tabla2[Mes],0))</f>
        <v>1244.9091353384274</v>
      </c>
      <c r="N17" s="55">
        <f>+INDEX(Tabla2[TC],MATCH(N19,Tabla2[Mes],0))</f>
        <v>1257.3582266918118</v>
      </c>
      <c r="O17" s="2">
        <f>SUM(C17:N17)/SUMIFS(TablaGeneral[Has],TablaGeneral[Finca],A18)</f>
        <v>216.41972290923579</v>
      </c>
      <c r="P17" s="56"/>
    </row>
    <row r="18" spans="1:16" collapsed="1">
      <c r="A18" s="21" t="s">
        <v>8</v>
      </c>
      <c r="B18" s="43" t="s">
        <v>108</v>
      </c>
      <c r="C18" s="50">
        <v>0.13761016358288825</v>
      </c>
      <c r="D18" s="50">
        <v>0.11847751052166375</v>
      </c>
      <c r="E18" s="50">
        <v>0</v>
      </c>
      <c r="F18" s="50">
        <v>0</v>
      </c>
      <c r="G18" s="50">
        <v>9.5663265306122451E-3</v>
      </c>
      <c r="H18" s="50">
        <v>0</v>
      </c>
      <c r="I18" s="50">
        <v>0</v>
      </c>
      <c r="J18" s="50">
        <v>3.1887755102040817E-3</v>
      </c>
      <c r="K18" s="50">
        <v>7.9038239515306113E-2</v>
      </c>
      <c r="L18" s="50">
        <v>0.25998660553123004</v>
      </c>
      <c r="M18" s="50">
        <v>0.24164542700890862</v>
      </c>
      <c r="N18" s="50">
        <v>0.15036526562370456</v>
      </c>
    </row>
    <row r="19" spans="1:16">
      <c r="A19" s="33" t="s">
        <v>6</v>
      </c>
      <c r="B19" s="31">
        <v>715.20669341844018</v>
      </c>
      <c r="C19" s="30" t="s">
        <v>88</v>
      </c>
      <c r="D19" s="30" t="s">
        <v>89</v>
      </c>
      <c r="E19" s="30" t="s">
        <v>90</v>
      </c>
      <c r="F19" s="30" t="s">
        <v>91</v>
      </c>
      <c r="G19" s="30" t="s">
        <v>92</v>
      </c>
      <c r="H19" s="30" t="s">
        <v>93</v>
      </c>
      <c r="I19" s="30" t="s">
        <v>94</v>
      </c>
      <c r="J19" s="30" t="s">
        <v>95</v>
      </c>
      <c r="K19" s="30" t="s">
        <v>96</v>
      </c>
      <c r="L19" s="30" t="s">
        <v>97</v>
      </c>
      <c r="M19" s="30" t="s">
        <v>98</v>
      </c>
      <c r="N19" s="30" t="s">
        <v>99</v>
      </c>
    </row>
    <row r="20" spans="1:16">
      <c r="A20" s="23" t="s">
        <v>58</v>
      </c>
      <c r="B20" s="2">
        <v>10</v>
      </c>
      <c r="F20" s="2">
        <f>+B20</f>
        <v>10</v>
      </c>
    </row>
    <row r="21" spans="1:16">
      <c r="A21" s="23" t="s">
        <v>61</v>
      </c>
      <c r="B21" s="2">
        <v>6.4999951736054129</v>
      </c>
      <c r="F21" s="2">
        <f>+B21</f>
        <v>6.4999951736054129</v>
      </c>
    </row>
    <row r="22" spans="1:16">
      <c r="A22" s="23" t="s">
        <v>62</v>
      </c>
      <c r="B22" s="2">
        <v>4.8800037104783334</v>
      </c>
      <c r="F22" s="2">
        <f>+B22</f>
        <v>4.8800037104783334</v>
      </c>
    </row>
    <row r="23" spans="1:16">
      <c r="A23" s="23" t="s">
        <v>63</v>
      </c>
      <c r="B23" s="2">
        <v>12.990034376193618</v>
      </c>
      <c r="G23" s="25">
        <f>+B23/2</f>
        <v>6.4950171880968091</v>
      </c>
      <c r="N23">
        <f>+B23/2</f>
        <v>6.4950171880968091</v>
      </c>
    </row>
    <row r="24" spans="1:16">
      <c r="A24" s="23" t="s">
        <v>64</v>
      </c>
      <c r="B24" s="2">
        <v>27.320085362588134</v>
      </c>
      <c r="G24">
        <f>+B24*0.45</f>
        <v>12.29403841316466</v>
      </c>
      <c r="I24">
        <f>+B24*0.275</f>
        <v>7.5130234747117379</v>
      </c>
      <c r="L24">
        <f>+B24*0.275</f>
        <v>7.5130234747117379</v>
      </c>
    </row>
    <row r="25" spans="1:16">
      <c r="A25" s="23" t="s">
        <v>106</v>
      </c>
      <c r="B25" s="2">
        <v>20</v>
      </c>
      <c r="H25">
        <f>+B25/4</f>
        <v>5</v>
      </c>
      <c r="I25">
        <f>+B25/4</f>
        <v>5</v>
      </c>
      <c r="J25">
        <f>+B25/4</f>
        <v>5</v>
      </c>
      <c r="L25">
        <f>+B25/4</f>
        <v>5</v>
      </c>
    </row>
    <row r="26" spans="1:16">
      <c r="A26" s="23" t="s">
        <v>51</v>
      </c>
      <c r="B26" s="2">
        <v>270.44520202020198</v>
      </c>
      <c r="D26">
        <f>+B26/3</f>
        <v>90.148400673400658</v>
      </c>
      <c r="E26">
        <f>+B26/3</f>
        <v>90.148400673400658</v>
      </c>
      <c r="F26">
        <f>+B26/3</f>
        <v>90.148400673400658</v>
      </c>
    </row>
    <row r="27" spans="1:16">
      <c r="A27" s="23" t="s">
        <v>52</v>
      </c>
      <c r="B27" s="2">
        <v>180.29680134680137</v>
      </c>
      <c r="D27">
        <f>+B27/3</f>
        <v>60.098933782267125</v>
      </c>
      <c r="E27">
        <f>+B27/3</f>
        <v>60.098933782267125</v>
      </c>
      <c r="F27">
        <f>+B27/3</f>
        <v>60.098933782267125</v>
      </c>
    </row>
    <row r="28" spans="1:16">
      <c r="A28" s="23" t="s">
        <v>54</v>
      </c>
      <c r="B28" s="2">
        <v>0</v>
      </c>
      <c r="I28" s="2">
        <f>+B28</f>
        <v>0</v>
      </c>
    </row>
    <row r="29" spans="1:16">
      <c r="A29" s="23" t="s">
        <v>53</v>
      </c>
      <c r="B29" s="2">
        <v>67.337999999999994</v>
      </c>
      <c r="H29">
        <f>+B29/2</f>
        <v>33.668999999999997</v>
      </c>
      <c r="J29">
        <f>+B29/2</f>
        <v>33.668999999999997</v>
      </c>
    </row>
    <row r="30" spans="1:16">
      <c r="A30" s="23" t="s">
        <v>57</v>
      </c>
      <c r="B30" s="2">
        <v>67.337999999999994</v>
      </c>
      <c r="I30" s="2">
        <f>+B30</f>
        <v>67.337999999999994</v>
      </c>
    </row>
    <row r="31" spans="1:16">
      <c r="A31" s="23" t="s">
        <v>55</v>
      </c>
      <c r="B31" s="2">
        <v>0</v>
      </c>
    </row>
    <row r="32" spans="1:16" ht="15.75" thickBot="1">
      <c r="A32" s="23" t="s">
        <v>56</v>
      </c>
      <c r="B32" s="2">
        <v>48.098571428571432</v>
      </c>
      <c r="H32" s="2">
        <f>+B32</f>
        <v>48.098571428571432</v>
      </c>
    </row>
    <row r="33" spans="1:14" ht="15.75" thickBot="1">
      <c r="A33" s="33" t="s">
        <v>10</v>
      </c>
      <c r="B33" s="31">
        <v>637.1396043790171</v>
      </c>
      <c r="C33" s="26">
        <f>+SUM(C20:C32)</f>
        <v>0</v>
      </c>
      <c r="D33" s="27">
        <f t="shared" ref="D33:N33" si="9">+SUM(D20:D32)</f>
        <v>150.24733445566778</v>
      </c>
      <c r="E33" s="27">
        <f t="shared" si="9"/>
        <v>150.24733445566778</v>
      </c>
      <c r="F33" s="27">
        <f t="shared" si="9"/>
        <v>171.62733333975154</v>
      </c>
      <c r="G33" s="27">
        <f t="shared" si="9"/>
        <v>18.78905560126147</v>
      </c>
      <c r="H33" s="27">
        <f t="shared" si="9"/>
        <v>86.767571428571429</v>
      </c>
      <c r="I33" s="27">
        <f t="shared" si="9"/>
        <v>79.851023474711724</v>
      </c>
      <c r="J33" s="27">
        <f t="shared" si="9"/>
        <v>38.668999999999997</v>
      </c>
      <c r="K33" s="27">
        <f t="shared" si="9"/>
        <v>0</v>
      </c>
      <c r="L33" s="27">
        <f t="shared" si="9"/>
        <v>12.513023474711737</v>
      </c>
      <c r="M33" s="27">
        <f t="shared" si="9"/>
        <v>0</v>
      </c>
      <c r="N33" s="28">
        <f t="shared" si="9"/>
        <v>6.4950171880968091</v>
      </c>
    </row>
    <row r="34" spans="1:14">
      <c r="A34" s="23" t="s">
        <v>58</v>
      </c>
      <c r="B34" s="2">
        <v>7.9000004481337465</v>
      </c>
      <c r="F34">
        <f>+B34</f>
        <v>7.9000004481337465</v>
      </c>
    </row>
    <row r="35" spans="1:14">
      <c r="A35" s="23" t="s">
        <v>61</v>
      </c>
      <c r="B35" s="2">
        <v>5.2999949892268381</v>
      </c>
      <c r="F35">
        <f>+B35</f>
        <v>5.2999949892268381</v>
      </c>
    </row>
    <row r="36" spans="1:14">
      <c r="A36" s="23" t="s">
        <v>62</v>
      </c>
      <c r="B36" s="2">
        <v>3.9600031149288957</v>
      </c>
      <c r="F36">
        <f>+B36</f>
        <v>3.9600031149288957</v>
      </c>
    </row>
    <row r="37" spans="1:14">
      <c r="A37" s="23" t="s">
        <v>63</v>
      </c>
      <c r="B37" s="2">
        <v>5.2800041532385267</v>
      </c>
      <c r="G37">
        <f>+B37/2</f>
        <v>2.6400020766192633</v>
      </c>
      <c r="N37">
        <f>+B37/2</f>
        <v>2.6400020766192633</v>
      </c>
    </row>
    <row r="38" spans="1:14">
      <c r="A38" s="23" t="s">
        <v>64</v>
      </c>
      <c r="B38" s="2">
        <v>19.000093408922709</v>
      </c>
      <c r="G38">
        <f>+B38*0.45</f>
        <v>8.5500420340152186</v>
      </c>
      <c r="I38">
        <f>+B38*0.275</f>
        <v>5.2250256874537451</v>
      </c>
      <c r="L38">
        <f>+B38*0.275</f>
        <v>5.2250256874537451</v>
      </c>
    </row>
    <row r="39" spans="1:14">
      <c r="A39" s="23" t="s">
        <v>106</v>
      </c>
      <c r="B39" s="2">
        <v>15.999975797033926</v>
      </c>
      <c r="H39">
        <f>+B39/4</f>
        <v>3.9999939492584815</v>
      </c>
      <c r="I39">
        <f>+B39/4</f>
        <v>3.9999939492584815</v>
      </c>
      <c r="J39">
        <f>+B39/4</f>
        <v>3.9999939492584815</v>
      </c>
      <c r="L39">
        <f>+B39/4</f>
        <v>3.9999939492584815</v>
      </c>
    </row>
    <row r="40" spans="1:14">
      <c r="A40" s="23" t="s">
        <v>51</v>
      </c>
      <c r="B40" s="2">
        <v>223.53909090909087</v>
      </c>
      <c r="D40">
        <f>+B40/3</f>
        <v>74.513030303030291</v>
      </c>
      <c r="E40">
        <f>+B40/3</f>
        <v>74.513030303030291</v>
      </c>
      <c r="F40">
        <f>+B40/3</f>
        <v>74.513030303030291</v>
      </c>
    </row>
    <row r="41" spans="1:14">
      <c r="A41" s="23" t="s">
        <v>52</v>
      </c>
      <c r="B41" s="2">
        <v>149.02606060606061</v>
      </c>
      <c r="D41">
        <f>+B41/3</f>
        <v>49.675353535353537</v>
      </c>
      <c r="E41">
        <f>+B41/3</f>
        <v>49.675353535353537</v>
      </c>
      <c r="F41">
        <f>+B41/3</f>
        <v>49.675353535353537</v>
      </c>
    </row>
    <row r="42" spans="1:14">
      <c r="A42" s="23" t="s">
        <v>54</v>
      </c>
      <c r="B42" s="2">
        <v>44.071666666666665</v>
      </c>
      <c r="I42">
        <f>+B42</f>
        <v>44.071666666666665</v>
      </c>
    </row>
    <row r="43" spans="1:14">
      <c r="A43" s="23" t="s">
        <v>53</v>
      </c>
      <c r="B43" s="2">
        <v>52.886000000000003</v>
      </c>
      <c r="H43">
        <f>+B43/2</f>
        <v>26.443000000000001</v>
      </c>
      <c r="J43">
        <f>+B43/2</f>
        <v>26.443000000000001</v>
      </c>
    </row>
    <row r="44" spans="1:14">
      <c r="A44" s="23" t="s">
        <v>57</v>
      </c>
      <c r="B44" s="2">
        <v>33.085999999999999</v>
      </c>
      <c r="I44">
        <f>+B44</f>
        <v>33.085999999999999</v>
      </c>
    </row>
    <row r="45" spans="1:14">
      <c r="A45" s="23" t="s">
        <v>55</v>
      </c>
      <c r="B45" s="2">
        <v>39.314999999999998</v>
      </c>
      <c r="J45" s="2">
        <f>+B45</f>
        <v>39.314999999999998</v>
      </c>
    </row>
    <row r="46" spans="1:14" ht="15.75" thickBot="1">
      <c r="A46" s="23" t="s">
        <v>56</v>
      </c>
      <c r="B46" s="2">
        <v>37.775714285714287</v>
      </c>
      <c r="H46">
        <f>+B46</f>
        <v>37.775714285714287</v>
      </c>
    </row>
    <row r="47" spans="1:14" ht="15.75" thickBot="1">
      <c r="A47" s="33" t="s">
        <v>9</v>
      </c>
      <c r="B47" s="31">
        <v>182.07330542365142</v>
      </c>
      <c r="C47" s="26">
        <f t="shared" ref="C47:N47" si="10">+SUM(C34:C46)</f>
        <v>0</v>
      </c>
      <c r="D47" s="27">
        <f t="shared" si="10"/>
        <v>124.18838383838383</v>
      </c>
      <c r="E47" s="27">
        <f t="shared" si="10"/>
        <v>124.18838383838383</v>
      </c>
      <c r="F47" s="27">
        <f t="shared" si="10"/>
        <v>141.34838239067329</v>
      </c>
      <c r="G47" s="27">
        <f t="shared" si="10"/>
        <v>11.190044110634481</v>
      </c>
      <c r="H47" s="27">
        <f t="shared" si="10"/>
        <v>68.218708234972766</v>
      </c>
      <c r="I47" s="27">
        <f t="shared" si="10"/>
        <v>86.38268630337889</v>
      </c>
      <c r="J47" s="27">
        <f t="shared" si="10"/>
        <v>69.757993949258477</v>
      </c>
      <c r="K47" s="27">
        <f t="shared" si="10"/>
        <v>0</v>
      </c>
      <c r="L47" s="27">
        <f t="shared" si="10"/>
        <v>9.2250196367122257</v>
      </c>
      <c r="M47" s="27">
        <f t="shared" si="10"/>
        <v>0</v>
      </c>
      <c r="N47" s="28">
        <f t="shared" si="10"/>
        <v>2.6400020766192633</v>
      </c>
    </row>
    <row r="48" spans="1:14">
      <c r="A48" s="23" t="s">
        <v>58</v>
      </c>
      <c r="B48" s="2">
        <v>2.8999995766938946</v>
      </c>
      <c r="F48">
        <f>+B48</f>
        <v>2.8999995766938946</v>
      </c>
    </row>
    <row r="49" spans="1:14">
      <c r="A49" s="23" t="s">
        <v>61</v>
      </c>
      <c r="B49" s="2">
        <v>1.900000924462194</v>
      </c>
      <c r="F49">
        <f>+B49</f>
        <v>1.900000924462194</v>
      </c>
    </row>
    <row r="50" spans="1:14">
      <c r="A50" s="23" t="s">
        <v>62</v>
      </c>
      <c r="B50" s="2">
        <v>1.4400019618078057</v>
      </c>
      <c r="F50">
        <f>+B50</f>
        <v>1.4400019618078057</v>
      </c>
    </row>
    <row r="51" spans="1:14">
      <c r="A51" s="23" t="s">
        <v>63</v>
      </c>
      <c r="B51" s="2">
        <v>3.850008429649888</v>
      </c>
      <c r="G51">
        <f>+B51/2</f>
        <v>1.925004214824944</v>
      </c>
      <c r="N51">
        <f>+B51/2</f>
        <v>1.925004214824944</v>
      </c>
    </row>
    <row r="52" spans="1:14">
      <c r="A52" s="23" t="s">
        <v>64</v>
      </c>
      <c r="B52" s="2">
        <v>6.9000537165111115</v>
      </c>
      <c r="H52">
        <f>+B52*0.45</f>
        <v>3.1050241724300003</v>
      </c>
      <c r="I52">
        <f>+B52*0.275</f>
        <v>1.8975147720405559</v>
      </c>
      <c r="L52">
        <f>+B52*0.275</f>
        <v>1.8975147720405559</v>
      </c>
    </row>
    <row r="53" spans="1:14">
      <c r="A53" s="23" t="s">
        <v>106</v>
      </c>
      <c r="B53" s="2">
        <v>5.9999854032711264</v>
      </c>
      <c r="H53">
        <f>+B53/4</f>
        <v>1.4999963508177816</v>
      </c>
      <c r="I53">
        <f>+B53/4</f>
        <v>1.4999963508177816</v>
      </c>
      <c r="J53">
        <f>+B53/4</f>
        <v>1.4999963508177816</v>
      </c>
      <c r="L53">
        <f>+B53/4</f>
        <v>1.4999963508177816</v>
      </c>
    </row>
    <row r="54" spans="1:14">
      <c r="A54" s="23" t="s">
        <v>51</v>
      </c>
      <c r="B54" s="2">
        <v>78.538181818181812</v>
      </c>
      <c r="D54">
        <f>+B54/3</f>
        <v>26.179393939393936</v>
      </c>
      <c r="E54">
        <f>+B54/3</f>
        <v>26.179393939393936</v>
      </c>
      <c r="F54">
        <f>+B54/3</f>
        <v>26.179393939393936</v>
      </c>
    </row>
    <row r="55" spans="1:14">
      <c r="A55" s="23" t="s">
        <v>52</v>
      </c>
      <c r="B55" s="2">
        <v>52.358787878787879</v>
      </c>
      <c r="D55">
        <f>+B55/3</f>
        <v>17.452929292929294</v>
      </c>
      <c r="E55">
        <f>+B55/3</f>
        <v>17.452929292929294</v>
      </c>
      <c r="F55">
        <f>+B55/3</f>
        <v>17.452929292929294</v>
      </c>
    </row>
    <row r="56" spans="1:14">
      <c r="A56" s="23" t="s">
        <v>54</v>
      </c>
      <c r="B56" s="2">
        <v>0</v>
      </c>
      <c r="I56">
        <f>+B56</f>
        <v>0</v>
      </c>
    </row>
    <row r="57" spans="1:14">
      <c r="A57" s="23" t="s">
        <v>53</v>
      </c>
      <c r="B57" s="2">
        <v>16.442</v>
      </c>
      <c r="H57">
        <f>+B57/2</f>
        <v>8.2210000000000001</v>
      </c>
      <c r="J57">
        <f>+B57/2</f>
        <v>8.2210000000000001</v>
      </c>
    </row>
    <row r="58" spans="1:14">
      <c r="A58" s="23" t="s">
        <v>57</v>
      </c>
      <c r="B58" s="2">
        <v>0</v>
      </c>
      <c r="I58">
        <f>+B58</f>
        <v>0</v>
      </c>
    </row>
    <row r="59" spans="1:14">
      <c r="A59" s="23" t="s">
        <v>55</v>
      </c>
      <c r="B59" s="2">
        <v>0</v>
      </c>
      <c r="J59">
        <f>+B59</f>
        <v>0</v>
      </c>
    </row>
    <row r="60" spans="1:14" ht="15.75" thickBot="1">
      <c r="A60" s="23" t="s">
        <v>56</v>
      </c>
      <c r="B60" s="2">
        <v>11.744285714285713</v>
      </c>
      <c r="H60">
        <f>+B60</f>
        <v>11.744285714285713</v>
      </c>
    </row>
    <row r="61" spans="1:14" ht="15.75" thickBot="1">
      <c r="A61" s="33" t="s">
        <v>11</v>
      </c>
      <c r="B61" s="31">
        <v>93.230285714285714</v>
      </c>
      <c r="C61" s="26">
        <f t="shared" ref="C61:N61" si="11">+SUM(C48:C60)</f>
        <v>0</v>
      </c>
      <c r="D61" s="27">
        <f t="shared" si="11"/>
        <v>43.63232323232323</v>
      </c>
      <c r="E61" s="27">
        <f t="shared" si="11"/>
        <v>43.63232323232323</v>
      </c>
      <c r="F61" s="27">
        <f t="shared" si="11"/>
        <v>49.872325695287131</v>
      </c>
      <c r="G61" s="27">
        <f t="shared" si="11"/>
        <v>1.925004214824944</v>
      </c>
      <c r="H61" s="27">
        <f t="shared" si="11"/>
        <v>24.570306237533494</v>
      </c>
      <c r="I61" s="27">
        <f t="shared" si="11"/>
        <v>3.3975111228583375</v>
      </c>
      <c r="J61" s="27">
        <f t="shared" si="11"/>
        <v>9.7209963508177815</v>
      </c>
      <c r="K61" s="27">
        <f t="shared" si="11"/>
        <v>0</v>
      </c>
      <c r="L61" s="27">
        <f t="shared" si="11"/>
        <v>3.3975111228583375</v>
      </c>
      <c r="M61" s="27">
        <f t="shared" si="11"/>
        <v>0</v>
      </c>
      <c r="N61" s="28">
        <f t="shared" si="11"/>
        <v>1.925004214824944</v>
      </c>
    </row>
    <row r="62" spans="1:14">
      <c r="A62" s="23" t="s">
        <v>58</v>
      </c>
      <c r="B62" s="2">
        <v>1</v>
      </c>
      <c r="F62">
        <f>+B62</f>
        <v>1</v>
      </c>
    </row>
    <row r="63" spans="1:14">
      <c r="A63" s="23" t="s">
        <v>61</v>
      </c>
      <c r="B63" s="2">
        <v>1</v>
      </c>
      <c r="F63">
        <f>+B63</f>
        <v>1</v>
      </c>
    </row>
    <row r="64" spans="1:14">
      <c r="A64" s="23" t="s">
        <v>62</v>
      </c>
      <c r="B64" s="2">
        <v>1.3</v>
      </c>
      <c r="F64">
        <f>+B64</f>
        <v>1.3</v>
      </c>
    </row>
    <row r="65" spans="1:14">
      <c r="A65" s="23" t="s">
        <v>63</v>
      </c>
      <c r="B65" s="2">
        <v>1</v>
      </c>
      <c r="G65">
        <f>+B65/2</f>
        <v>0.5</v>
      </c>
      <c r="N65">
        <f>+B65/2</f>
        <v>0.5</v>
      </c>
    </row>
    <row r="66" spans="1:14">
      <c r="A66" s="23" t="s">
        <v>64</v>
      </c>
      <c r="B66" s="2">
        <v>3.58</v>
      </c>
      <c r="G66">
        <f>+B66*0.45</f>
        <v>1.611</v>
      </c>
      <c r="I66">
        <f>+B66*0.275</f>
        <v>0.98450000000000015</v>
      </c>
      <c r="L66">
        <f>+B66*0.275</f>
        <v>0.98450000000000015</v>
      </c>
    </row>
    <row r="67" spans="1:14">
      <c r="A67" s="23" t="s">
        <v>106</v>
      </c>
      <c r="B67" s="2">
        <v>3</v>
      </c>
      <c r="H67">
        <f>+B67/4</f>
        <v>0.75</v>
      </c>
      <c r="I67">
        <f>+B67/4</f>
        <v>0.75</v>
      </c>
      <c r="J67">
        <f>+B67/4</f>
        <v>0.75</v>
      </c>
      <c r="L67">
        <f>+B67/4</f>
        <v>0.75</v>
      </c>
    </row>
    <row r="68" spans="1:14">
      <c r="A68" s="23" t="s">
        <v>51</v>
      </c>
      <c r="B68" s="2">
        <v>40.98</v>
      </c>
      <c r="D68">
        <f>+B68/3</f>
        <v>13.659999999999998</v>
      </c>
      <c r="E68">
        <f>+B68/3</f>
        <v>13.659999999999998</v>
      </c>
      <c r="F68">
        <f>+B68/3</f>
        <v>13.659999999999998</v>
      </c>
    </row>
    <row r="69" spans="1:14">
      <c r="A69" s="23" t="s">
        <v>52</v>
      </c>
      <c r="B69" s="2">
        <v>27.32</v>
      </c>
      <c r="D69">
        <f>+B69/3</f>
        <v>9.1066666666666674</v>
      </c>
      <c r="E69">
        <f>+B69/3</f>
        <v>9.1066666666666674</v>
      </c>
      <c r="F69">
        <f>+B69/3</f>
        <v>9.1066666666666674</v>
      </c>
    </row>
    <row r="70" spans="1:14">
      <c r="A70" s="23" t="s">
        <v>54</v>
      </c>
      <c r="B70" s="2">
        <v>0</v>
      </c>
      <c r="I70">
        <f>+B70</f>
        <v>0</v>
      </c>
    </row>
    <row r="71" spans="1:14">
      <c r="A71" s="23" t="s">
        <v>53</v>
      </c>
      <c r="B71" s="2">
        <v>8.1959999999999997</v>
      </c>
      <c r="H71">
        <f>+B71/2</f>
        <v>4.0979999999999999</v>
      </c>
      <c r="J71">
        <f>+B71/2</f>
        <v>4.0979999999999999</v>
      </c>
    </row>
    <row r="72" spans="1:14">
      <c r="A72" s="23" t="s">
        <v>57</v>
      </c>
      <c r="B72" s="2">
        <v>0</v>
      </c>
      <c r="I72">
        <f>+B72</f>
        <v>0</v>
      </c>
    </row>
    <row r="73" spans="1:14">
      <c r="A73" s="23" t="s">
        <v>55</v>
      </c>
      <c r="B73" s="2">
        <v>0</v>
      </c>
      <c r="J73">
        <f>+B73</f>
        <v>0</v>
      </c>
    </row>
    <row r="74" spans="1:14" ht="15.75" thickBot="1">
      <c r="A74" s="23" t="s">
        <v>56</v>
      </c>
      <c r="B74" s="2">
        <v>5.8542857142857141</v>
      </c>
      <c r="H74">
        <f>+B74</f>
        <v>5.8542857142857141</v>
      </c>
    </row>
    <row r="75" spans="1:14" ht="15.75" thickBot="1">
      <c r="A75" s="33" t="s">
        <v>7</v>
      </c>
      <c r="B75" s="31">
        <v>817.03782481475048</v>
      </c>
      <c r="C75" s="26">
        <f t="shared" ref="C75:N75" si="12">+SUM(C62:C74)</f>
        <v>0</v>
      </c>
      <c r="D75" s="27">
        <f t="shared" si="12"/>
        <v>22.766666666666666</v>
      </c>
      <c r="E75" s="27">
        <f t="shared" si="12"/>
        <v>22.766666666666666</v>
      </c>
      <c r="F75" s="27">
        <f t="shared" si="12"/>
        <v>26.066666666666663</v>
      </c>
      <c r="G75" s="27">
        <f t="shared" si="12"/>
        <v>2.1109999999999998</v>
      </c>
      <c r="H75" s="27">
        <f t="shared" si="12"/>
        <v>10.702285714285715</v>
      </c>
      <c r="I75" s="27">
        <f t="shared" si="12"/>
        <v>1.7345000000000002</v>
      </c>
      <c r="J75" s="27">
        <f t="shared" si="12"/>
        <v>4.8479999999999999</v>
      </c>
      <c r="K75" s="27">
        <f t="shared" si="12"/>
        <v>0</v>
      </c>
      <c r="L75" s="27">
        <f t="shared" si="12"/>
        <v>1.7345000000000002</v>
      </c>
      <c r="M75" s="27">
        <f t="shared" si="12"/>
        <v>0</v>
      </c>
      <c r="N75" s="28">
        <f t="shared" si="12"/>
        <v>0.5</v>
      </c>
    </row>
    <row r="76" spans="1:14">
      <c r="A76" s="23" t="s">
        <v>58</v>
      </c>
      <c r="B76" s="2">
        <v>10.899999999999999</v>
      </c>
      <c r="F76">
        <f>+B76</f>
        <v>10.899999999999999</v>
      </c>
    </row>
    <row r="77" spans="1:14">
      <c r="A77" s="23" t="s">
        <v>61</v>
      </c>
      <c r="B77" s="2">
        <v>7.3000062938044756</v>
      </c>
      <c r="F77">
        <f>+B77</f>
        <v>7.3000062938044756</v>
      </c>
    </row>
    <row r="78" spans="1:14">
      <c r="A78" s="23" t="s">
        <v>62</v>
      </c>
      <c r="B78" s="2">
        <v>5.4700017533994787</v>
      </c>
      <c r="F78">
        <f>+B78</f>
        <v>5.4700017533994787</v>
      </c>
    </row>
    <row r="79" spans="1:14">
      <c r="A79" s="23" t="s">
        <v>63</v>
      </c>
      <c r="B79" s="2">
        <v>21.860049292031118</v>
      </c>
      <c r="G79">
        <f>+B79/2</f>
        <v>10.930024646015559</v>
      </c>
      <c r="N79">
        <f>+B79/2</f>
        <v>10.930024646015559</v>
      </c>
    </row>
    <row r="80" spans="1:14">
      <c r="A80" s="23" t="s">
        <v>64</v>
      </c>
      <c r="B80" s="2">
        <v>26.280014175579659</v>
      </c>
      <c r="G80">
        <f>+B80*0.45</f>
        <v>11.826006379010847</v>
      </c>
      <c r="I80">
        <f>+B80*0.275</f>
        <v>7.2270038982844067</v>
      </c>
      <c r="L80">
        <f>+B80*0.275</f>
        <v>7.2270038982844067</v>
      </c>
    </row>
    <row r="81" spans="1:15">
      <c r="A81" s="23" t="s">
        <v>106</v>
      </c>
      <c r="B81" s="2">
        <v>21.999961092143526</v>
      </c>
      <c r="H81">
        <f>+B81/4</f>
        <v>5.4999902730358814</v>
      </c>
      <c r="I81">
        <f>+B81/4</f>
        <v>5.4999902730358814</v>
      </c>
      <c r="J81">
        <f>+B81/4</f>
        <v>5.4999902730358814</v>
      </c>
      <c r="L81">
        <f>+B81/4</f>
        <v>5.4999902730358814</v>
      </c>
    </row>
    <row r="82" spans="1:15">
      <c r="A82" s="23" t="s">
        <v>51</v>
      </c>
      <c r="B82" s="2">
        <v>295.64681818181816</v>
      </c>
      <c r="D82">
        <f>+B82/3</f>
        <v>98.548939393939392</v>
      </c>
      <c r="E82">
        <f>+B82/3</f>
        <v>98.548939393939392</v>
      </c>
      <c r="F82">
        <f>+B82/3</f>
        <v>98.548939393939392</v>
      </c>
    </row>
    <row r="83" spans="1:15">
      <c r="A83" s="23" t="s">
        <v>52</v>
      </c>
      <c r="B83" s="2">
        <v>197.09787878787878</v>
      </c>
      <c r="D83">
        <f>+B83/3</f>
        <v>65.699292929292923</v>
      </c>
      <c r="E83">
        <f>+B83/3</f>
        <v>65.699292929292923</v>
      </c>
      <c r="F83">
        <f>+B83/3</f>
        <v>65.699292929292923</v>
      </c>
    </row>
    <row r="84" spans="1:15">
      <c r="A84" s="23" t="s">
        <v>54</v>
      </c>
      <c r="B84" s="2">
        <v>75.391666666666666</v>
      </c>
      <c r="I84">
        <f>+B84</f>
        <v>75.391666666666666</v>
      </c>
    </row>
    <row r="85" spans="1:15">
      <c r="A85" s="23" t="s">
        <v>53</v>
      </c>
      <c r="B85" s="2">
        <v>90.469999999999985</v>
      </c>
      <c r="H85">
        <f>+B85/2</f>
        <v>45.234999999999992</v>
      </c>
      <c r="J85">
        <f>+B85/2</f>
        <v>45.234999999999992</v>
      </c>
    </row>
    <row r="86" spans="1:15">
      <c r="A86" s="23" t="s">
        <v>57</v>
      </c>
      <c r="B86" s="2">
        <v>0</v>
      </c>
      <c r="I86">
        <f>+B86</f>
        <v>0</v>
      </c>
    </row>
    <row r="87" spans="1:15">
      <c r="A87" s="23" t="s">
        <v>55</v>
      </c>
      <c r="B87" s="2">
        <v>0</v>
      </c>
      <c r="J87">
        <f>+B87</f>
        <v>0</v>
      </c>
    </row>
    <row r="88" spans="1:15" ht="15.75" thickBot="1">
      <c r="A88" s="23" t="s">
        <v>56</v>
      </c>
      <c r="B88" s="2">
        <v>64.621428571428581</v>
      </c>
      <c r="H88">
        <f>+B88</f>
        <v>64.621428571428581</v>
      </c>
    </row>
    <row r="89" spans="1:15" ht="15.75" thickBot="1">
      <c r="A89" s="32" t="s">
        <v>104</v>
      </c>
      <c r="B89" s="31">
        <v>2444.6877137501451</v>
      </c>
      <c r="C89" s="26">
        <f t="shared" ref="C89:N89" si="13">+SUM(C76:C88)</f>
        <v>0</v>
      </c>
      <c r="D89" s="27">
        <f t="shared" si="13"/>
        <v>164.24823232323232</v>
      </c>
      <c r="E89" s="27">
        <f t="shared" si="13"/>
        <v>164.24823232323232</v>
      </c>
      <c r="F89" s="27">
        <f t="shared" si="13"/>
        <v>187.91824037043625</v>
      </c>
      <c r="G89" s="27">
        <f t="shared" si="13"/>
        <v>22.756031025026406</v>
      </c>
      <c r="H89" s="27">
        <f t="shared" si="13"/>
        <v>115.35641884446446</v>
      </c>
      <c r="I89" s="27">
        <f t="shared" si="13"/>
        <v>88.118660837986951</v>
      </c>
      <c r="J89" s="27">
        <f t="shared" si="13"/>
        <v>50.734990273035876</v>
      </c>
      <c r="K89" s="27">
        <f t="shared" si="13"/>
        <v>0</v>
      </c>
      <c r="L89" s="27">
        <f t="shared" si="13"/>
        <v>12.726994171320289</v>
      </c>
      <c r="M89" s="27">
        <f t="shared" si="13"/>
        <v>0</v>
      </c>
      <c r="N89" s="28">
        <f t="shared" si="13"/>
        <v>10.930024646015559</v>
      </c>
    </row>
    <row r="90" spans="1:15" ht="15.75" thickBot="1"/>
    <row r="91" spans="1:15" ht="15.75" thickBot="1">
      <c r="A91" s="38" t="s">
        <v>109</v>
      </c>
      <c r="B91" s="38"/>
      <c r="C91" s="34">
        <f>+C33+C47+C61+C75+C89</f>
        <v>0</v>
      </c>
      <c r="D91" s="35">
        <f t="shared" ref="D91:N91" si="14">+D33+D47+D61+D75+D89</f>
        <v>505.08294051627388</v>
      </c>
      <c r="E91" s="35">
        <f t="shared" si="14"/>
        <v>505.08294051627388</v>
      </c>
      <c r="F91" s="35">
        <f t="shared" si="14"/>
        <v>576.8329484628149</v>
      </c>
      <c r="G91" s="35">
        <f t="shared" si="14"/>
        <v>56.7711349517473</v>
      </c>
      <c r="H91" s="35">
        <f t="shared" si="14"/>
        <v>305.61529045982786</v>
      </c>
      <c r="I91" s="35">
        <f t="shared" si="14"/>
        <v>259.48438173893589</v>
      </c>
      <c r="J91" s="35">
        <f t="shared" si="14"/>
        <v>173.73098057311213</v>
      </c>
      <c r="K91" s="35">
        <f t="shared" si="14"/>
        <v>0</v>
      </c>
      <c r="L91" s="35">
        <f t="shared" si="14"/>
        <v>39.597048405602592</v>
      </c>
      <c r="M91" s="35">
        <f t="shared" si="14"/>
        <v>0</v>
      </c>
      <c r="N91" s="36">
        <f t="shared" si="14"/>
        <v>22.490048125556577</v>
      </c>
      <c r="O91" s="40">
        <f>SUM(C91:N91)</f>
        <v>2444.6877137501451</v>
      </c>
    </row>
    <row r="93" spans="1:15">
      <c r="A93" s="29" t="s">
        <v>103</v>
      </c>
      <c r="B93" s="29" t="s">
        <v>108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4"/>
    </row>
    <row r="94" spans="1:15">
      <c r="A94" s="22" t="s">
        <v>65</v>
      </c>
      <c r="B94" s="2">
        <v>543.99445214979198</v>
      </c>
      <c r="C94">
        <f>+$B94*0.03</f>
        <v>16.319833564493759</v>
      </c>
      <c r="D94">
        <f>+$B94*0.03</f>
        <v>16.319833564493759</v>
      </c>
      <c r="E94">
        <f>+$B94*0.03</f>
        <v>16.319833564493759</v>
      </c>
      <c r="F94">
        <f>+$B94*0.04</f>
        <v>21.75977808599168</v>
      </c>
      <c r="G94">
        <f>+$B94*0.12</f>
        <v>65.279334257975037</v>
      </c>
      <c r="H94">
        <f>+$B94*0.06</f>
        <v>32.639667128987519</v>
      </c>
      <c r="I94">
        <f>+$B94*0.12</f>
        <v>65.279334257975037</v>
      </c>
      <c r="J94">
        <f>+$B94*0.12</f>
        <v>65.279334257975037</v>
      </c>
      <c r="K94">
        <f>+$B94*0.12</f>
        <v>65.279334257975037</v>
      </c>
      <c r="L94">
        <f>+$B94*0.12</f>
        <v>65.279334257975037</v>
      </c>
      <c r="M94">
        <f>+$B94*0.12</f>
        <v>65.279334257975037</v>
      </c>
      <c r="N94">
        <f>+$B94*0.09</f>
        <v>48.959500693481274</v>
      </c>
    </row>
    <row r="95" spans="1:15">
      <c r="A95" s="22" t="s">
        <v>66</v>
      </c>
      <c r="B95" s="2">
        <v>39.999999999999993</v>
      </c>
      <c r="C95">
        <f>+B95/2</f>
        <v>19.999999999999996</v>
      </c>
      <c r="G95">
        <f>+B95/2</f>
        <v>19.999999999999996</v>
      </c>
    </row>
    <row r="96" spans="1:15">
      <c r="A96" s="22" t="s">
        <v>67</v>
      </c>
      <c r="B96" s="2">
        <v>119.99999999999999</v>
      </c>
      <c r="G96">
        <f>+B96/2/2</f>
        <v>29.999999999999996</v>
      </c>
      <c r="J96">
        <f>+B96/2/2</f>
        <v>29.999999999999996</v>
      </c>
      <c r="N96">
        <f>+B96/2</f>
        <v>59.999999999999993</v>
      </c>
    </row>
    <row r="97" spans="1:15">
      <c r="A97" s="22" t="s">
        <v>68</v>
      </c>
      <c r="B97" s="2">
        <v>12.000611932687402</v>
      </c>
      <c r="C97">
        <f>+$B97/6</f>
        <v>2.0001019887812337</v>
      </c>
      <c r="E97">
        <f>+$B97/6</f>
        <v>2.0001019887812337</v>
      </c>
      <c r="G97">
        <f>+$B97/6</f>
        <v>2.0001019887812337</v>
      </c>
      <c r="I97">
        <f>+$B97/6</f>
        <v>2.0001019887812337</v>
      </c>
      <c r="K97">
        <f>+$B97/6</f>
        <v>2.0001019887812337</v>
      </c>
      <c r="M97">
        <f>+$B97/6</f>
        <v>2.0001019887812337</v>
      </c>
    </row>
    <row r="98" spans="1:15">
      <c r="A98" s="22" t="s">
        <v>69</v>
      </c>
      <c r="B98" s="2">
        <v>255.79565217391303</v>
      </c>
      <c r="F98">
        <f>+$B98/2/2</f>
        <v>63.948913043478257</v>
      </c>
      <c r="G98">
        <f>+$B98/2/2</f>
        <v>63.948913043478257</v>
      </c>
      <c r="K98">
        <f>+$B98/2/2</f>
        <v>63.948913043478257</v>
      </c>
      <c r="M98">
        <f>+$B98/2/2</f>
        <v>63.948913043478257</v>
      </c>
    </row>
    <row r="99" spans="1:15">
      <c r="A99" s="22" t="s">
        <v>70</v>
      </c>
      <c r="B99" s="2">
        <v>99.999999999999957</v>
      </c>
      <c r="G99">
        <f>+$B99/3/2</f>
        <v>16.666666666666661</v>
      </c>
      <c r="I99">
        <f>+$B99/3/2</f>
        <v>16.666666666666661</v>
      </c>
      <c r="J99">
        <f>+$B99/3</f>
        <v>33.333333333333321</v>
      </c>
      <c r="N99">
        <f>+$B99/3</f>
        <v>33.333333333333321</v>
      </c>
    </row>
    <row r="100" spans="1:15">
      <c r="A100" s="22" t="s">
        <v>71</v>
      </c>
      <c r="B100" s="2">
        <v>9.9999999999999982</v>
      </c>
      <c r="G100">
        <f>+$B100/8</f>
        <v>1.2499999999999998</v>
      </c>
      <c r="H100">
        <f t="shared" ref="H100:N100" si="15">+$B100/8</f>
        <v>1.2499999999999998</v>
      </c>
      <c r="I100">
        <f t="shared" si="15"/>
        <v>1.2499999999999998</v>
      </c>
      <c r="J100">
        <f t="shared" si="15"/>
        <v>1.2499999999999998</v>
      </c>
      <c r="K100">
        <f t="shared" si="15"/>
        <v>1.2499999999999998</v>
      </c>
      <c r="L100">
        <f t="shared" si="15"/>
        <v>1.2499999999999998</v>
      </c>
      <c r="M100">
        <f t="shared" si="15"/>
        <v>1.2499999999999998</v>
      </c>
      <c r="N100">
        <f t="shared" si="15"/>
        <v>1.2499999999999998</v>
      </c>
    </row>
    <row r="101" spans="1:15">
      <c r="A101" s="22" t="s">
        <v>72</v>
      </c>
      <c r="B101" s="2">
        <v>62.016950224527228</v>
      </c>
      <c r="E101">
        <f>+$B101*0.2/2</f>
        <v>6.2016950224527232</v>
      </c>
      <c r="F101">
        <f>+$B101*0.1</f>
        <v>6.2016950224527232</v>
      </c>
      <c r="G101">
        <f>+$B101*0.2/2</f>
        <v>6.2016950224527232</v>
      </c>
      <c r="H101">
        <f>+$B101*0.2</f>
        <v>12.403390044905446</v>
      </c>
      <c r="I101">
        <f>+$B101*0.2</f>
        <v>12.403390044905446</v>
      </c>
      <c r="J101">
        <f>+$B101*0.05</f>
        <v>3.1008475112263616</v>
      </c>
      <c r="K101">
        <f>+$B101*0.05</f>
        <v>3.1008475112263616</v>
      </c>
      <c r="L101">
        <f>+$B101*0.05</f>
        <v>3.1008475112263616</v>
      </c>
      <c r="M101">
        <f>+$B101*0.05</f>
        <v>3.1008475112263616</v>
      </c>
      <c r="N101">
        <f>+$B101*0.1</f>
        <v>6.2016950224527232</v>
      </c>
    </row>
    <row r="102" spans="1:15">
      <c r="A102" s="22" t="s">
        <v>73</v>
      </c>
      <c r="B102" s="2">
        <v>32.999966345452712</v>
      </c>
      <c r="D102">
        <f>+$B102/11</f>
        <v>2.9999969404957012</v>
      </c>
      <c r="E102">
        <f t="shared" ref="E102:N102" si="16">+$B102/11</f>
        <v>2.9999969404957012</v>
      </c>
      <c r="F102">
        <f t="shared" si="16"/>
        <v>2.9999969404957012</v>
      </c>
      <c r="G102">
        <f t="shared" si="16"/>
        <v>2.9999969404957012</v>
      </c>
      <c r="H102">
        <f t="shared" si="16"/>
        <v>2.9999969404957012</v>
      </c>
      <c r="I102">
        <f t="shared" si="16"/>
        <v>2.9999969404957012</v>
      </c>
      <c r="J102">
        <f t="shared" si="16"/>
        <v>2.9999969404957012</v>
      </c>
      <c r="K102">
        <f t="shared" si="16"/>
        <v>2.9999969404957012</v>
      </c>
      <c r="L102">
        <f t="shared" si="16"/>
        <v>2.9999969404957012</v>
      </c>
      <c r="M102">
        <f t="shared" si="16"/>
        <v>2.9999969404957012</v>
      </c>
      <c r="N102">
        <f t="shared" si="16"/>
        <v>2.9999969404957012</v>
      </c>
    </row>
    <row r="103" spans="1:15">
      <c r="A103" s="22" t="s">
        <v>74</v>
      </c>
      <c r="B103" s="2">
        <v>99.996600662870733</v>
      </c>
      <c r="C103">
        <f>+$B103/12</f>
        <v>8.3330500552392284</v>
      </c>
      <c r="D103">
        <f t="shared" ref="D103:N103" si="17">+$B103/12</f>
        <v>8.3330500552392284</v>
      </c>
      <c r="E103">
        <f t="shared" si="17"/>
        <v>8.3330500552392284</v>
      </c>
      <c r="F103">
        <f t="shared" si="17"/>
        <v>8.3330500552392284</v>
      </c>
      <c r="G103">
        <f t="shared" si="17"/>
        <v>8.3330500552392284</v>
      </c>
      <c r="H103">
        <f t="shared" si="17"/>
        <v>8.3330500552392284</v>
      </c>
      <c r="I103">
        <f t="shared" si="17"/>
        <v>8.3330500552392284</v>
      </c>
      <c r="J103">
        <f t="shared" si="17"/>
        <v>8.3330500552392284</v>
      </c>
      <c r="K103">
        <f t="shared" si="17"/>
        <v>8.3330500552392284</v>
      </c>
      <c r="L103">
        <f t="shared" si="17"/>
        <v>8.3330500552392284</v>
      </c>
      <c r="M103">
        <f t="shared" si="17"/>
        <v>8.3330500552392284</v>
      </c>
      <c r="N103">
        <f t="shared" si="17"/>
        <v>8.3330500552392284</v>
      </c>
    </row>
    <row r="104" spans="1:15">
      <c r="A104" s="22" t="s">
        <v>75</v>
      </c>
      <c r="B104" s="2">
        <v>74.999999999999972</v>
      </c>
      <c r="D104">
        <f>+$B104/7.5</f>
        <v>9.9999999999999964</v>
      </c>
      <c r="E104">
        <f>+$B104/7.5</f>
        <v>9.9999999999999964</v>
      </c>
      <c r="F104">
        <f>+$B104/7.5</f>
        <v>9.9999999999999964</v>
      </c>
      <c r="G104">
        <f>+$B104/7.5</f>
        <v>9.9999999999999964</v>
      </c>
      <c r="I104">
        <f>+$B104/7.5/2</f>
        <v>4.9999999999999982</v>
      </c>
      <c r="J104">
        <f>+$B104/7.5/2</f>
        <v>4.9999999999999982</v>
      </c>
      <c r="K104">
        <f>+$B104/7.5</f>
        <v>9.9999999999999964</v>
      </c>
      <c r="L104">
        <f>+$B104/7.5/2</f>
        <v>4.9999999999999982</v>
      </c>
      <c r="M104">
        <f>+$B104/7.5/2</f>
        <v>4.9999999999999982</v>
      </c>
      <c r="N104">
        <f>+$B104/7.5/2</f>
        <v>4.9999999999999982</v>
      </c>
    </row>
    <row r="105" spans="1:15">
      <c r="A105" s="22" t="s">
        <v>76</v>
      </c>
      <c r="B105" s="2">
        <v>39.999999999999993</v>
      </c>
      <c r="D105">
        <f>+$B105/4</f>
        <v>9.9999999999999982</v>
      </c>
      <c r="E105">
        <f>+$B105/4</f>
        <v>9.9999999999999982</v>
      </c>
      <c r="F105">
        <f>+$B105/4</f>
        <v>9.9999999999999982</v>
      </c>
      <c r="G105">
        <f>+$B105/4</f>
        <v>9.9999999999999982</v>
      </c>
    </row>
    <row r="106" spans="1:15">
      <c r="A106" s="22" t="s">
        <v>77</v>
      </c>
      <c r="B106" s="2">
        <v>59.999999999999993</v>
      </c>
      <c r="C106">
        <f t="shared" ref="C106:N109" si="18">+$B106/12</f>
        <v>4.9999999999999991</v>
      </c>
      <c r="D106">
        <f t="shared" si="18"/>
        <v>4.9999999999999991</v>
      </c>
      <c r="E106">
        <f t="shared" si="18"/>
        <v>4.9999999999999991</v>
      </c>
      <c r="F106">
        <f t="shared" si="18"/>
        <v>4.9999999999999991</v>
      </c>
      <c r="G106">
        <f t="shared" si="18"/>
        <v>4.9999999999999991</v>
      </c>
      <c r="H106">
        <f t="shared" si="18"/>
        <v>4.9999999999999991</v>
      </c>
      <c r="I106">
        <f t="shared" si="18"/>
        <v>4.9999999999999991</v>
      </c>
      <c r="J106">
        <f t="shared" si="18"/>
        <v>4.9999999999999991</v>
      </c>
      <c r="K106">
        <f t="shared" si="18"/>
        <v>4.9999999999999991</v>
      </c>
      <c r="L106">
        <f t="shared" si="18"/>
        <v>4.9999999999999991</v>
      </c>
      <c r="M106">
        <f t="shared" si="18"/>
        <v>4.9999999999999991</v>
      </c>
      <c r="N106">
        <f t="shared" si="18"/>
        <v>4.9999999999999991</v>
      </c>
    </row>
    <row r="107" spans="1:15">
      <c r="A107" s="22" t="s">
        <v>78</v>
      </c>
      <c r="B107" s="2">
        <v>49.999999999999979</v>
      </c>
      <c r="G107" s="2">
        <f>+B107</f>
        <v>49.999999999999979</v>
      </c>
    </row>
    <row r="108" spans="1:15">
      <c r="A108" s="22" t="s">
        <v>79</v>
      </c>
      <c r="B108" s="2">
        <v>59.999999999999993</v>
      </c>
      <c r="C108">
        <f t="shared" si="18"/>
        <v>4.9999999999999991</v>
      </c>
      <c r="D108">
        <f t="shared" si="18"/>
        <v>4.9999999999999991</v>
      </c>
      <c r="E108">
        <f t="shared" si="18"/>
        <v>4.9999999999999991</v>
      </c>
      <c r="F108">
        <f t="shared" si="18"/>
        <v>4.9999999999999991</v>
      </c>
      <c r="G108">
        <f t="shared" si="18"/>
        <v>4.9999999999999991</v>
      </c>
      <c r="H108">
        <f t="shared" si="18"/>
        <v>4.9999999999999991</v>
      </c>
      <c r="I108">
        <f t="shared" si="18"/>
        <v>4.9999999999999991</v>
      </c>
      <c r="J108">
        <f t="shared" si="18"/>
        <v>4.9999999999999991</v>
      </c>
      <c r="K108">
        <f t="shared" si="18"/>
        <v>4.9999999999999991</v>
      </c>
      <c r="L108">
        <f t="shared" si="18"/>
        <v>4.9999999999999991</v>
      </c>
      <c r="M108">
        <f t="shared" si="18"/>
        <v>4.9999999999999991</v>
      </c>
      <c r="N108">
        <f t="shared" si="18"/>
        <v>4.9999999999999991</v>
      </c>
    </row>
    <row r="109" spans="1:15">
      <c r="A109" s="22" t="s">
        <v>80</v>
      </c>
      <c r="B109" s="2">
        <v>36.005507955936352</v>
      </c>
      <c r="C109">
        <f t="shared" si="18"/>
        <v>3.0004589963280295</v>
      </c>
      <c r="D109">
        <f t="shared" si="18"/>
        <v>3.0004589963280295</v>
      </c>
      <c r="E109">
        <f t="shared" si="18"/>
        <v>3.0004589963280295</v>
      </c>
      <c r="F109">
        <f t="shared" si="18"/>
        <v>3.0004589963280295</v>
      </c>
      <c r="G109">
        <f t="shared" si="18"/>
        <v>3.0004589963280295</v>
      </c>
      <c r="H109">
        <f t="shared" si="18"/>
        <v>3.0004589963280295</v>
      </c>
      <c r="I109">
        <f t="shared" si="18"/>
        <v>3.0004589963280295</v>
      </c>
      <c r="J109">
        <f t="shared" si="18"/>
        <v>3.0004589963280295</v>
      </c>
      <c r="K109">
        <f t="shared" si="18"/>
        <v>3.0004589963280295</v>
      </c>
      <c r="L109">
        <f t="shared" si="18"/>
        <v>3.0004589963280295</v>
      </c>
      <c r="M109">
        <f t="shared" si="18"/>
        <v>3.0004589963280295</v>
      </c>
      <c r="N109">
        <f t="shared" si="18"/>
        <v>3.0004589963280295</v>
      </c>
    </row>
    <row r="110" spans="1:15">
      <c r="A110" s="22" t="s">
        <v>81</v>
      </c>
      <c r="B110" s="2">
        <v>223.99984770462316</v>
      </c>
      <c r="C110" s="2">
        <f>+B110</f>
        <v>223.99984770462316</v>
      </c>
    </row>
    <row r="111" spans="1:15" ht="15.75" thickBot="1">
      <c r="A111" s="22" t="s">
        <v>82</v>
      </c>
      <c r="B111" s="2">
        <v>180</v>
      </c>
      <c r="C111">
        <f>+$B111*0.13</f>
        <v>23.400000000000002</v>
      </c>
      <c r="D111">
        <f>+$B111*0.13</f>
        <v>23.400000000000002</v>
      </c>
      <c r="E111">
        <f>+$B111*0.07</f>
        <v>12.600000000000001</v>
      </c>
      <c r="F111">
        <f>+$B111*0.07</f>
        <v>12.600000000000001</v>
      </c>
      <c r="H111">
        <f>+$B111*0.07</f>
        <v>12.600000000000001</v>
      </c>
      <c r="I111">
        <f>+$B111*0.07</f>
        <v>12.600000000000001</v>
      </c>
      <c r="J111">
        <f>+$B111*0.07</f>
        <v>12.600000000000001</v>
      </c>
      <c r="K111">
        <f>+$B111*0.07</f>
        <v>12.600000000000001</v>
      </c>
      <c r="L111">
        <f>+$B111*0.13</f>
        <v>23.400000000000002</v>
      </c>
      <c r="M111">
        <f>+$B111*0.06</f>
        <v>10.799999999999999</v>
      </c>
      <c r="N111">
        <f>+$B111*0.13</f>
        <v>23.400000000000002</v>
      </c>
    </row>
    <row r="112" spans="1:15" ht="15.75" thickBot="1">
      <c r="A112" s="37" t="s">
        <v>110</v>
      </c>
      <c r="B112" s="31">
        <v>2001.8095891498026</v>
      </c>
      <c r="C112" s="34">
        <f>SUM(C94:C111)</f>
        <v>307.05329230946541</v>
      </c>
      <c r="D112" s="35">
        <f t="shared" ref="D112:N112" si="19">SUM(D94:D111)</f>
        <v>84.053339556556708</v>
      </c>
      <c r="E112" s="35">
        <f t="shared" si="19"/>
        <v>81.455136567790674</v>
      </c>
      <c r="F112" s="35">
        <f t="shared" si="19"/>
        <v>148.84389214398561</v>
      </c>
      <c r="G112" s="35">
        <f t="shared" si="19"/>
        <v>299.68021697141683</v>
      </c>
      <c r="H112" s="35">
        <f t="shared" si="19"/>
        <v>83.226563165955923</v>
      </c>
      <c r="I112" s="35">
        <f t="shared" si="19"/>
        <v>139.53299895039135</v>
      </c>
      <c r="J112" s="35">
        <f t="shared" si="19"/>
        <v>174.89702109459768</v>
      </c>
      <c r="K112" s="35">
        <f t="shared" si="19"/>
        <v>182.51270279352383</v>
      </c>
      <c r="L112" s="35">
        <f t="shared" si="19"/>
        <v>122.36368776126437</v>
      </c>
      <c r="M112" s="35">
        <f t="shared" si="19"/>
        <v>175.71270279352385</v>
      </c>
      <c r="N112" s="36">
        <f t="shared" si="19"/>
        <v>202.47803504133026</v>
      </c>
      <c r="O112" s="40">
        <f>SUM(C112:N112)</f>
        <v>2001.8095891498026</v>
      </c>
    </row>
    <row r="113" spans="1:15" ht="15.75" thickBot="1">
      <c r="A113" s="152" t="s">
        <v>122</v>
      </c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</row>
    <row r="114" spans="1:15" ht="15.75" thickBot="1">
      <c r="A114" s="37" t="s">
        <v>111</v>
      </c>
      <c r="B114" s="29"/>
      <c r="C114" s="34">
        <f>+C91+C112</f>
        <v>307.05329230946541</v>
      </c>
      <c r="D114" s="35">
        <f t="shared" ref="D114:N114" si="20">+D91+D112</f>
        <v>589.13628007283057</v>
      </c>
      <c r="E114" s="35">
        <f t="shared" si="20"/>
        <v>586.53807708406453</v>
      </c>
      <c r="F114" s="35">
        <f t="shared" si="20"/>
        <v>725.67684060680051</v>
      </c>
      <c r="G114" s="35">
        <f t="shared" si="20"/>
        <v>356.45135192316411</v>
      </c>
      <c r="H114" s="35">
        <f t="shared" si="20"/>
        <v>388.84185362578376</v>
      </c>
      <c r="I114" s="35">
        <f t="shared" si="20"/>
        <v>399.01738068932724</v>
      </c>
      <c r="J114" s="35">
        <f t="shared" si="20"/>
        <v>348.62800166770978</v>
      </c>
      <c r="K114" s="35">
        <f t="shared" si="20"/>
        <v>182.51270279352383</v>
      </c>
      <c r="L114" s="35">
        <f t="shared" si="20"/>
        <v>161.96073616686698</v>
      </c>
      <c r="M114" s="35">
        <f t="shared" si="20"/>
        <v>175.71270279352385</v>
      </c>
      <c r="N114" s="36">
        <f t="shared" si="20"/>
        <v>224.96808316688683</v>
      </c>
      <c r="O114" s="40">
        <f>SUM(C114:N114)</f>
        <v>4446.4973028999466</v>
      </c>
    </row>
  </sheetData>
  <mergeCells count="1">
    <mergeCell ref="A113:O113"/>
  </mergeCells>
  <phoneticPr fontId="3" type="noConversion"/>
  <conditionalFormatting sqref="C20:N89">
    <cfRule type="notContainsBlanks" dxfId="403" priority="9">
      <formula>LEN(TRIM(C20))&gt;0</formula>
    </cfRule>
    <cfRule type="containsBlanks" dxfId="402" priority="10">
      <formula>LEN(TRIM(C20))=0</formula>
    </cfRule>
  </conditionalFormatting>
  <conditionalFormatting sqref="C94:N112 O112">
    <cfRule type="notContainsBlanks" dxfId="401" priority="5">
      <formula>LEN(TRIM(C94))&gt;0</formula>
    </cfRule>
    <cfRule type="containsBlanks" dxfId="400" priority="11">
      <formula>LEN(TRIM(C94))=0</formula>
    </cfRule>
  </conditionalFormatting>
  <conditionalFormatting sqref="C91:O91">
    <cfRule type="notContainsBlanks" dxfId="399" priority="7">
      <formula>LEN(TRIM(C91))&gt;0</formula>
    </cfRule>
    <cfRule type="containsBlanks" dxfId="398" priority="8">
      <formula>LEN(TRIM(C91))=0</formula>
    </cfRule>
  </conditionalFormatting>
  <conditionalFormatting sqref="C114:O114">
    <cfRule type="notContainsBlanks" dxfId="397" priority="1">
      <formula>LEN(TRIM(C114))&gt;0</formula>
    </cfRule>
    <cfRule type="containsBlanks" dxfId="396" priority="2">
      <formula>LEN(TRIM(C114))=0</formula>
    </cfRule>
  </conditionalFormatting>
  <pageMargins left="0.7" right="0.7" top="0.75" bottom="0.75" header="0.3" footer="0.3"/>
  <ignoredErrors>
    <ignoredError sqref="G107 M111 H94 K104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H65"/>
  <sheetViews>
    <sheetView topLeftCell="B45" workbookViewId="0">
      <selection activeCell="H64" sqref="H64"/>
    </sheetView>
  </sheetViews>
  <sheetFormatPr baseColWidth="10" defaultRowHeight="15"/>
  <cols>
    <col min="1" max="1" width="52" bestFit="1" customWidth="1"/>
    <col min="2" max="2" width="22.42578125" bestFit="1" customWidth="1"/>
    <col min="3" max="7" width="12" bestFit="1" customWidth="1"/>
    <col min="8" max="8" width="12.5703125" bestFit="1" customWidth="1"/>
  </cols>
  <sheetData>
    <row r="3" spans="1:8">
      <c r="A3" s="21" t="s">
        <v>485</v>
      </c>
      <c r="B3" s="21" t="s">
        <v>486</v>
      </c>
    </row>
    <row r="4" spans="1:8">
      <c r="A4" s="21" t="s">
        <v>103</v>
      </c>
      <c r="B4" t="s">
        <v>8</v>
      </c>
      <c r="C4" t="s">
        <v>13</v>
      </c>
      <c r="D4" t="s">
        <v>14</v>
      </c>
      <c r="E4" t="s">
        <v>15</v>
      </c>
      <c r="F4" t="s">
        <v>12</v>
      </c>
      <c r="G4" t="s">
        <v>4</v>
      </c>
      <c r="H4" t="s">
        <v>104</v>
      </c>
    </row>
    <row r="5" spans="1:8">
      <c r="A5" s="22" t="s">
        <v>8</v>
      </c>
      <c r="B5">
        <v>1233.3781456553529</v>
      </c>
      <c r="H5">
        <v>1233.3781456553529</v>
      </c>
    </row>
    <row r="6" spans="1:8">
      <c r="A6" s="23" t="s">
        <v>135</v>
      </c>
      <c r="B6">
        <v>86.736596908424801</v>
      </c>
      <c r="H6">
        <v>86.736596908424801</v>
      </c>
    </row>
    <row r="7" spans="1:8">
      <c r="A7" s="23" t="s">
        <v>137</v>
      </c>
      <c r="B7">
        <v>108.42094593972004</v>
      </c>
      <c r="H7">
        <v>108.42094593972004</v>
      </c>
    </row>
    <row r="8" spans="1:8">
      <c r="A8" s="23" t="s">
        <v>142</v>
      </c>
      <c r="B8">
        <v>63.606681442240117</v>
      </c>
      <c r="H8">
        <v>63.606681442240117</v>
      </c>
    </row>
    <row r="9" spans="1:8">
      <c r="A9" s="23" t="s">
        <v>136</v>
      </c>
      <c r="B9">
        <v>140.94673620610763</v>
      </c>
      <c r="H9">
        <v>140.94673620610763</v>
      </c>
    </row>
    <row r="10" spans="1:8">
      <c r="A10" s="23" t="s">
        <v>138</v>
      </c>
      <c r="B10">
        <v>165.54326401580221</v>
      </c>
      <c r="H10">
        <v>165.54326401580221</v>
      </c>
    </row>
    <row r="11" spans="1:8">
      <c r="A11" s="23" t="s">
        <v>140</v>
      </c>
      <c r="B11">
        <v>10.842094593972007</v>
      </c>
      <c r="H11">
        <v>10.842094593972007</v>
      </c>
    </row>
    <row r="12" spans="1:8">
      <c r="A12" s="23" t="s">
        <v>139</v>
      </c>
      <c r="B12">
        <v>86.736596908424801</v>
      </c>
      <c r="H12">
        <v>86.736596908424801</v>
      </c>
    </row>
    <row r="13" spans="1:8">
      <c r="A13" s="23" t="s">
        <v>141</v>
      </c>
      <c r="B13">
        <v>325.26163899623509</v>
      </c>
      <c r="H13">
        <v>325.26163899623509</v>
      </c>
    </row>
    <row r="14" spans="1:8">
      <c r="A14" s="23" t="s">
        <v>144</v>
      </c>
      <c r="B14">
        <v>7.2280408622098262</v>
      </c>
      <c r="H14">
        <v>7.2280408622098262</v>
      </c>
    </row>
    <row r="15" spans="1:8">
      <c r="A15" s="23" t="s">
        <v>130</v>
      </c>
      <c r="B15">
        <v>99.999823146576119</v>
      </c>
      <c r="H15">
        <v>99.999823146576119</v>
      </c>
    </row>
    <row r="16" spans="1:8">
      <c r="A16" s="23" t="s">
        <v>146</v>
      </c>
      <c r="B16">
        <v>67.220813052718171</v>
      </c>
      <c r="H16">
        <v>67.220813052718171</v>
      </c>
    </row>
    <row r="17" spans="1:8">
      <c r="A17" s="23" t="s">
        <v>143</v>
      </c>
      <c r="B17">
        <v>70.834913582922468</v>
      </c>
      <c r="H17">
        <v>70.834913582922468</v>
      </c>
    </row>
    <row r="18" spans="1:8">
      <c r="A18" s="22" t="s">
        <v>487</v>
      </c>
      <c r="C18">
        <v>279.95252904135572</v>
      </c>
      <c r="D18">
        <v>44.811985612145918</v>
      </c>
      <c r="H18">
        <v>324.76451465350164</v>
      </c>
    </row>
    <row r="19" spans="1:8">
      <c r="A19" s="23" t="s">
        <v>135</v>
      </c>
      <c r="C19">
        <v>12.023133535745517</v>
      </c>
      <c r="H19">
        <v>12.023133535745517</v>
      </c>
    </row>
    <row r="20" spans="1:8">
      <c r="A20" s="23" t="s">
        <v>137</v>
      </c>
      <c r="C20">
        <v>24.254996971532403</v>
      </c>
      <c r="H20">
        <v>24.254996971532403</v>
      </c>
    </row>
    <row r="21" spans="1:8">
      <c r="A21" s="23" t="s">
        <v>142</v>
      </c>
      <c r="C21">
        <v>6.2188557352036229</v>
      </c>
      <c r="H21">
        <v>6.2188557352036229</v>
      </c>
    </row>
    <row r="22" spans="1:8">
      <c r="A22" s="23" t="s">
        <v>136</v>
      </c>
      <c r="C22">
        <v>40.423974763406939</v>
      </c>
      <c r="H22">
        <v>40.423974763406939</v>
      </c>
    </row>
    <row r="23" spans="1:8">
      <c r="A23" s="23" t="s">
        <v>138</v>
      </c>
      <c r="C23">
        <v>30.265184079507989</v>
      </c>
      <c r="H23">
        <v>30.265184079507989</v>
      </c>
    </row>
    <row r="24" spans="1:8">
      <c r="A24" s="23" t="s">
        <v>140</v>
      </c>
      <c r="C24">
        <v>4.5604924352426019</v>
      </c>
      <c r="H24">
        <v>4.5604924352426019</v>
      </c>
    </row>
    <row r="25" spans="1:8">
      <c r="A25" s="23" t="s">
        <v>139</v>
      </c>
      <c r="C25">
        <v>12.023133535745517</v>
      </c>
      <c r="H25">
        <v>12.023133535745517</v>
      </c>
    </row>
    <row r="26" spans="1:8">
      <c r="A26" s="23" t="s">
        <v>141</v>
      </c>
      <c r="C26">
        <v>80.242259687757524</v>
      </c>
      <c r="H26">
        <v>80.242259687757524</v>
      </c>
    </row>
    <row r="27" spans="1:8">
      <c r="A27" s="23" t="s">
        <v>130</v>
      </c>
      <c r="C27">
        <v>43.188016846600192</v>
      </c>
      <c r="D27">
        <v>44.811985612145918</v>
      </c>
      <c r="H27">
        <v>88.00000245874611</v>
      </c>
    </row>
    <row r="28" spans="1:8">
      <c r="A28" s="23" t="s">
        <v>146</v>
      </c>
      <c r="C28">
        <v>6.6335362570919782</v>
      </c>
      <c r="H28">
        <v>6.6335362570919782</v>
      </c>
    </row>
    <row r="29" spans="1:8">
      <c r="A29" s="23" t="s">
        <v>143</v>
      </c>
      <c r="C29">
        <v>20.118945193521444</v>
      </c>
      <c r="H29">
        <v>20.118945193521444</v>
      </c>
    </row>
    <row r="30" spans="1:8">
      <c r="A30" s="22" t="s">
        <v>15</v>
      </c>
      <c r="E30">
        <v>945.39834800294375</v>
      </c>
      <c r="H30">
        <v>945.39834800294375</v>
      </c>
    </row>
    <row r="31" spans="1:8">
      <c r="A31" s="23" t="s">
        <v>135</v>
      </c>
      <c r="E31">
        <v>45.976964042439008</v>
      </c>
      <c r="H31">
        <v>45.976964042439008</v>
      </c>
    </row>
    <row r="32" spans="1:8">
      <c r="A32" s="23" t="s">
        <v>137</v>
      </c>
      <c r="E32">
        <v>92.752119927316798</v>
      </c>
      <c r="H32">
        <v>92.752119927316798</v>
      </c>
    </row>
    <row r="33" spans="1:8">
      <c r="A33" s="23" t="s">
        <v>142</v>
      </c>
      <c r="E33">
        <v>23.781163676881953</v>
      </c>
      <c r="H33">
        <v>23.781163676881953</v>
      </c>
    </row>
    <row r="34" spans="1:8">
      <c r="A34" s="23" t="s">
        <v>136</v>
      </c>
      <c r="E34">
        <v>154.58296529968453</v>
      </c>
      <c r="H34">
        <v>154.58296529968453</v>
      </c>
    </row>
    <row r="35" spans="1:8">
      <c r="A35" s="23" t="s">
        <v>138</v>
      </c>
      <c r="E35">
        <v>115.73532607155342</v>
      </c>
      <c r="H35">
        <v>115.73532607155342</v>
      </c>
    </row>
    <row r="36" spans="1:8">
      <c r="A36" s="23" t="s">
        <v>140</v>
      </c>
      <c r="E36">
        <v>17.439513258966954</v>
      </c>
      <c r="H36">
        <v>17.439513258966954</v>
      </c>
    </row>
    <row r="37" spans="1:8">
      <c r="A37" s="23" t="s">
        <v>139</v>
      </c>
      <c r="E37">
        <v>45.976964042439008</v>
      </c>
      <c r="H37">
        <v>45.976964042439008</v>
      </c>
    </row>
    <row r="38" spans="1:8">
      <c r="A38" s="23" t="s">
        <v>141</v>
      </c>
      <c r="E38">
        <v>306.84974739568338</v>
      </c>
      <c r="H38">
        <v>306.84974739568338</v>
      </c>
    </row>
    <row r="39" spans="1:8">
      <c r="A39" s="23" t="s">
        <v>130</v>
      </c>
      <c r="E39">
        <v>40.000979559851103</v>
      </c>
      <c r="H39">
        <v>40.000979559851103</v>
      </c>
    </row>
    <row r="40" spans="1:8">
      <c r="A40" s="23" t="s">
        <v>146</v>
      </c>
      <c r="E40">
        <v>25.366919286039675</v>
      </c>
      <c r="H40">
        <v>25.366919286039675</v>
      </c>
    </row>
    <row r="41" spans="1:8">
      <c r="A41" s="23" t="s">
        <v>143</v>
      </c>
      <c r="E41">
        <v>76.935685442088001</v>
      </c>
      <c r="H41">
        <v>76.935685442088001</v>
      </c>
    </row>
    <row r="42" spans="1:8">
      <c r="A42" s="22" t="s">
        <v>12</v>
      </c>
      <c r="F42">
        <v>315.04779992296795</v>
      </c>
      <c r="H42">
        <v>315.04779992296795</v>
      </c>
    </row>
    <row r="43" spans="1:8">
      <c r="A43" s="23" t="s">
        <v>135</v>
      </c>
      <c r="F43">
        <v>18.00083356487913</v>
      </c>
      <c r="H43">
        <v>18.00083356487913</v>
      </c>
    </row>
    <row r="44" spans="1:8">
      <c r="A44" s="23" t="s">
        <v>137</v>
      </c>
      <c r="F44">
        <v>35</v>
      </c>
      <c r="H44">
        <v>35</v>
      </c>
    </row>
    <row r="45" spans="1:8">
      <c r="A45" s="23" t="s">
        <v>142</v>
      </c>
      <c r="F45">
        <v>8.0001234872808098</v>
      </c>
      <c r="H45">
        <v>8.0001234872808098</v>
      </c>
    </row>
    <row r="46" spans="1:8">
      <c r="A46" s="23" t="s">
        <v>136</v>
      </c>
      <c r="F46">
        <v>53.01554828150573</v>
      </c>
      <c r="H46">
        <v>53.01554828150573</v>
      </c>
    </row>
    <row r="47" spans="1:8">
      <c r="A47" s="23" t="s">
        <v>138</v>
      </c>
      <c r="F47">
        <v>44.011548913043484</v>
      </c>
      <c r="H47">
        <v>44.011548913043484</v>
      </c>
    </row>
    <row r="48" spans="1:8">
      <c r="A48" s="23" t="s">
        <v>140</v>
      </c>
      <c r="F48">
        <v>6.0002778549597107</v>
      </c>
      <c r="H48">
        <v>6.0002778549597107</v>
      </c>
    </row>
    <row r="49" spans="1:8">
      <c r="A49" s="23" t="s">
        <v>139</v>
      </c>
      <c r="F49">
        <v>18.00083356487913</v>
      </c>
      <c r="H49">
        <v>18.00083356487913</v>
      </c>
    </row>
    <row r="50" spans="1:8">
      <c r="A50" s="23" t="s">
        <v>141</v>
      </c>
      <c r="F50">
        <v>98.010590015128599</v>
      </c>
      <c r="H50">
        <v>98.010590015128599</v>
      </c>
    </row>
    <row r="51" spans="1:8">
      <c r="A51" s="23" t="s">
        <v>146</v>
      </c>
      <c r="F51">
        <v>9.0004167824395651</v>
      </c>
      <c r="H51">
        <v>9.0004167824395651</v>
      </c>
    </row>
    <row r="52" spans="1:8">
      <c r="A52" s="23" t="s">
        <v>143</v>
      </c>
      <c r="F52">
        <v>26.007627458851868</v>
      </c>
      <c r="H52">
        <v>26.007627458851868</v>
      </c>
    </row>
    <row r="53" spans="1:8">
      <c r="A53" s="22" t="s">
        <v>4</v>
      </c>
      <c r="G53">
        <v>115.77873071985752</v>
      </c>
      <c r="H53">
        <v>115.77873071985752</v>
      </c>
    </row>
    <row r="54" spans="1:8">
      <c r="A54" s="23" t="s">
        <v>135</v>
      </c>
      <c r="G54">
        <v>9.3214211939681881</v>
      </c>
      <c r="H54">
        <v>9.3214211939681881</v>
      </c>
    </row>
    <row r="55" spans="1:8">
      <c r="A55" s="23" t="s">
        <v>137</v>
      </c>
      <c r="G55">
        <v>11.000731350560702</v>
      </c>
      <c r="H55">
        <v>11.000731350560702</v>
      </c>
    </row>
    <row r="56" spans="1:8">
      <c r="A56" s="23" t="s">
        <v>142</v>
      </c>
      <c r="G56">
        <v>6.4900043146843087</v>
      </c>
      <c r="H56">
        <v>6.4900043146843087</v>
      </c>
    </row>
    <row r="57" spans="1:8">
      <c r="A57" s="23" t="s">
        <v>136</v>
      </c>
      <c r="G57">
        <v>15.001662234042552</v>
      </c>
      <c r="H57">
        <v>15.001662234042552</v>
      </c>
    </row>
    <row r="58" spans="1:8">
      <c r="A58" s="23" t="s">
        <v>138</v>
      </c>
      <c r="G58">
        <v>17.002637528259228</v>
      </c>
      <c r="H58">
        <v>17.002637528259228</v>
      </c>
    </row>
    <row r="59" spans="1:8">
      <c r="A59" s="23" t="s">
        <v>140</v>
      </c>
      <c r="G59">
        <v>1.1692989388855057</v>
      </c>
      <c r="H59">
        <v>1.1692989388855057</v>
      </c>
    </row>
    <row r="60" spans="1:8">
      <c r="A60" s="23" t="s">
        <v>139</v>
      </c>
      <c r="G60">
        <v>9.0015958507879503</v>
      </c>
      <c r="H60">
        <v>9.0015958507879503</v>
      </c>
    </row>
    <row r="61" spans="1:8">
      <c r="A61" s="23" t="s">
        <v>141</v>
      </c>
      <c r="G61">
        <v>33.010241404535478</v>
      </c>
      <c r="H61">
        <v>33.010241404535478</v>
      </c>
    </row>
    <row r="62" spans="1:8">
      <c r="A62" s="23" t="s">
        <v>144</v>
      </c>
      <c r="G62">
        <v>0.78000760561432625</v>
      </c>
      <c r="H62">
        <v>0.78000760561432625</v>
      </c>
    </row>
    <row r="63" spans="1:8">
      <c r="A63" s="23" t="s">
        <v>146</v>
      </c>
      <c r="G63">
        <v>6.0006648936170208</v>
      </c>
      <c r="H63">
        <v>6.0006648936170208</v>
      </c>
    </row>
    <row r="64" spans="1:8">
      <c r="A64" s="23" t="s">
        <v>143</v>
      </c>
      <c r="G64">
        <v>7.0004654049022648</v>
      </c>
      <c r="H64">
        <v>7.0004654049022648</v>
      </c>
    </row>
    <row r="65" spans="1:8">
      <c r="A65" s="22" t="s">
        <v>104</v>
      </c>
      <c r="B65">
        <v>1233.3781456553529</v>
      </c>
      <c r="C65">
        <v>279.95252904135572</v>
      </c>
      <c r="D65">
        <v>44.811985612145918</v>
      </c>
      <c r="E65">
        <v>945.39834800294375</v>
      </c>
      <c r="F65">
        <v>315.04779992296795</v>
      </c>
      <c r="G65">
        <v>115.77873071985752</v>
      </c>
      <c r="H65">
        <v>2934.3675389546233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84"/>
  <sheetViews>
    <sheetView zoomScale="90" zoomScaleNormal="90" workbookViewId="0">
      <pane xSplit="2" ySplit="19" topLeftCell="C41" activePane="bottomRight" state="frozen"/>
      <selection pane="topRight" activeCell="C1" sqref="C1"/>
      <selection pane="bottomLeft" activeCell="A3" sqref="A3"/>
      <selection pane="bottomRight" activeCell="J45" sqref="J45"/>
    </sheetView>
  </sheetViews>
  <sheetFormatPr baseColWidth="10" defaultRowHeight="15" outlineLevelRow="1"/>
  <cols>
    <col min="1" max="1" width="23" bestFit="1" customWidth="1"/>
    <col min="2" max="2" width="11.42578125" bestFit="1" customWidth="1"/>
    <col min="3" max="4" width="10.42578125" bestFit="1" customWidth="1"/>
    <col min="5" max="6" width="10.140625" bestFit="1" customWidth="1"/>
    <col min="8" max="8" width="10.140625" bestFit="1" customWidth="1"/>
    <col min="9" max="9" width="11" bestFit="1" customWidth="1"/>
    <col min="10" max="10" width="10.140625" bestFit="1" customWidth="1"/>
    <col min="11" max="11" width="8.42578125" bestFit="1" customWidth="1"/>
    <col min="12" max="14" width="10.140625" bestFit="1" customWidth="1"/>
  </cols>
  <sheetData>
    <row r="1" spans="1:19" outlineLevel="1">
      <c r="A1" s="30" t="s">
        <v>120</v>
      </c>
      <c r="B1" s="41" t="s">
        <v>121</v>
      </c>
      <c r="C1" s="42">
        <f>+INDEX(Tabla2[Precio Jornal],MATCH(C$19,Tabla2[Mes],0))</f>
        <v>19319.199999999997</v>
      </c>
      <c r="D1" s="42">
        <f>+INDEX(Tabla2[Precio Jornal],MATCH(D$19,Tabla2[Mes],0))</f>
        <v>19646</v>
      </c>
      <c r="E1" s="42">
        <f>+INDEX(Tabla2[Precio Jornal],MATCH(E$19,Tabla2[Mes],0))</f>
        <v>19976.599999999999</v>
      </c>
      <c r="F1" s="42">
        <f>+INDEX(Tabla2[Precio Jornal],MATCH(F$19,Tabla2[Mes],0))</f>
        <v>20312.899999999998</v>
      </c>
      <c r="G1" s="42">
        <f>+INDEX(Tabla2[Precio Jornal],MATCH(G$19,Tabla2[Mes],0))</f>
        <v>20654.899999999998</v>
      </c>
      <c r="H1" s="42">
        <f>+INDEX(Tabla2[Precio Jornal],MATCH(H$19,Tabla2[Mes],0))</f>
        <v>21002.6</v>
      </c>
      <c r="I1" s="42">
        <f>+INDEX(Tabla2[Precio Jornal],MATCH(I$19,Tabla2[Mes],0))</f>
        <v>21357.9</v>
      </c>
      <c r="J1" s="42">
        <f>+INDEX(Tabla2[Precio Jornal],MATCH(J$19,Tabla2[Mes],0))</f>
        <v>21717</v>
      </c>
      <c r="K1" s="42">
        <f>+INDEX(Tabla2[Precio Jornal],MATCH(K$19,Tabla2[Mes],0))</f>
        <v>22083.7</v>
      </c>
      <c r="L1" s="42">
        <f>+INDEX(Tabla2[Precio Jornal],MATCH(L$19,Tabla2[Mes],0))</f>
        <v>22454.2</v>
      </c>
      <c r="M1" s="42">
        <f>+INDEX(Tabla2[Precio Jornal],MATCH(M$19,Tabla2[Mes],0))</f>
        <v>22834.2</v>
      </c>
      <c r="N1" s="42">
        <f>+INDEX(Tabla2[Precio Jornal],MATCH(N$19,Tabla2[Mes],0))</f>
        <v>23218</v>
      </c>
    </row>
    <row r="2" spans="1:19" outlineLevel="1">
      <c r="A2" s="30" t="s">
        <v>123</v>
      </c>
      <c r="B2" s="29"/>
      <c r="C2" s="44">
        <v>23.5</v>
      </c>
      <c r="D2" s="44">
        <v>20.5</v>
      </c>
      <c r="E2" s="44">
        <v>24</v>
      </c>
      <c r="F2" s="44">
        <v>24</v>
      </c>
      <c r="G2" s="44">
        <v>23</v>
      </c>
      <c r="H2" s="44">
        <v>24.5</v>
      </c>
      <c r="I2" s="44">
        <v>22.5</v>
      </c>
      <c r="J2" s="44">
        <v>23</v>
      </c>
      <c r="K2" s="44">
        <v>24</v>
      </c>
      <c r="L2" s="44">
        <v>20.5</v>
      </c>
      <c r="M2" s="44">
        <v>23</v>
      </c>
      <c r="N2" s="44">
        <v>22</v>
      </c>
    </row>
    <row r="3" spans="1:19" outlineLevel="1">
      <c r="A3" s="30" t="s">
        <v>134</v>
      </c>
      <c r="B3" s="45">
        <v>2</v>
      </c>
      <c r="C3" s="46">
        <f>+$B3*C2</f>
        <v>47</v>
      </c>
      <c r="D3" s="46">
        <f t="shared" ref="D3:N3" si="0">+$B3*D2</f>
        <v>41</v>
      </c>
      <c r="E3" s="46">
        <f t="shared" si="0"/>
        <v>48</v>
      </c>
      <c r="F3" s="46">
        <f t="shared" si="0"/>
        <v>48</v>
      </c>
      <c r="G3" s="46">
        <f t="shared" si="0"/>
        <v>46</v>
      </c>
      <c r="H3" s="46">
        <f t="shared" si="0"/>
        <v>49</v>
      </c>
      <c r="I3" s="46">
        <f t="shared" si="0"/>
        <v>45</v>
      </c>
      <c r="J3" s="46">
        <f t="shared" si="0"/>
        <v>46</v>
      </c>
      <c r="K3" s="46">
        <f t="shared" si="0"/>
        <v>48</v>
      </c>
      <c r="L3" s="46">
        <f t="shared" si="0"/>
        <v>41</v>
      </c>
      <c r="M3" s="46">
        <f t="shared" si="0"/>
        <v>46</v>
      </c>
      <c r="N3" s="46">
        <f t="shared" si="0"/>
        <v>44</v>
      </c>
      <c r="O3" t="s">
        <v>164</v>
      </c>
      <c r="P3" t="s">
        <v>165</v>
      </c>
      <c r="Q3" t="s">
        <v>166</v>
      </c>
      <c r="R3" t="s">
        <v>167</v>
      </c>
    </row>
    <row r="4" spans="1:19" outlineLevel="1">
      <c r="A4" s="30" t="s">
        <v>132</v>
      </c>
      <c r="B4" s="61">
        <f>+SUMIFS(TablaGeneral[Anotador],TablaGeneral[Finca],A18)+SUMIFS(TablaGeneral[Tracto elevador],TablaGeneral[Finca],A18)+SUMIFS(TablaGeneral[Tractor con uñas],TablaGeneral[Finca],A18)+SUMIFS(TablaGeneral[Lavar Bines],TablaGeneral[Finca],A18)+SUMIFS(TablaGeneral[Tractor con acoplado],TablaGeneral[Finca],A18)</f>
        <v>165.00432953983179</v>
      </c>
      <c r="C4" s="49"/>
      <c r="D4" s="49"/>
      <c r="E4" s="49"/>
      <c r="F4" s="49"/>
      <c r="G4" s="49"/>
      <c r="H4" s="49"/>
      <c r="I4" s="49"/>
      <c r="J4" s="49"/>
      <c r="K4" s="49">
        <f>+B4*0.2</f>
        <v>33.000865907966357</v>
      </c>
      <c r="L4" s="49">
        <f>+B4*0.4</f>
        <v>66.001731815932715</v>
      </c>
      <c r="M4" s="49">
        <f>+B4*0.4</f>
        <v>66.001731815932715</v>
      </c>
      <c r="N4" s="49"/>
      <c r="O4" s="2">
        <f>SUM(C4:N4)</f>
        <v>165.00432953983179</v>
      </c>
      <c r="P4" s="2">
        <f>SUM(C5:N5)</f>
        <v>32.414099773695938</v>
      </c>
      <c r="Q4" s="2">
        <f>+O84</f>
        <v>1968.100725522926</v>
      </c>
      <c r="R4" s="62">
        <f>+(O4+P4+Q4)/SUMIFS(TablaGeneral[Has],TablaGeneral[Finca],A18)</f>
        <v>80.863299284408271</v>
      </c>
      <c r="S4">
        <f>+Q4/SUMIFS(TablaGeneral[Has],TablaGeneral[Finca],A18)</f>
        <v>73.4914385930891</v>
      </c>
    </row>
    <row r="5" spans="1:19" outlineLevel="1">
      <c r="A5" s="30" t="s">
        <v>133</v>
      </c>
      <c r="B5" s="61">
        <f>+SUMIFS(TablaGeneral[Resumen Jornales totales de Secado],TablaGeneral[Finca],"Puente Alto")*0.28</f>
        <v>32.418044601560119</v>
      </c>
      <c r="C5" s="49">
        <f>+$B5*C18</f>
        <v>4.4610524206580555</v>
      </c>
      <c r="D5" s="49">
        <f t="shared" ref="D5:N5" si="1">+$B5*D18</f>
        <v>3.8408092203731035</v>
      </c>
      <c r="E5" s="49">
        <f t="shared" si="1"/>
        <v>0</v>
      </c>
      <c r="F5" s="49">
        <f t="shared" si="1"/>
        <v>0</v>
      </c>
      <c r="G5" s="49">
        <f t="shared" si="1"/>
        <v>0.31012160014247564</v>
      </c>
      <c r="H5" s="49">
        <f t="shared" si="1"/>
        <v>0</v>
      </c>
      <c r="I5" s="49">
        <f t="shared" si="1"/>
        <v>0</v>
      </c>
      <c r="J5" s="49">
        <f t="shared" si="1"/>
        <v>0.10337386671415855</v>
      </c>
      <c r="K5" s="49">
        <f t="shared" si="1"/>
        <v>2.5622651738359852</v>
      </c>
      <c r="L5" s="49">
        <f t="shared" si="1"/>
        <v>8.4282573739196316</v>
      </c>
      <c r="M5" s="49">
        <f t="shared" si="1"/>
        <v>7.8336722305378395</v>
      </c>
      <c r="N5" s="49">
        <f t="shared" si="1"/>
        <v>4.874547887514689</v>
      </c>
      <c r="Q5">
        <f>+Q4/27</f>
        <v>72.892619463812082</v>
      </c>
    </row>
    <row r="6" spans="1:19" outlineLevel="1">
      <c r="A6" s="30" t="s">
        <v>125</v>
      </c>
      <c r="B6" s="52">
        <f t="shared" ref="B6:B17" si="2">SUM(C6:N6)</f>
        <v>1616.5191548364539</v>
      </c>
      <c r="C6" s="51">
        <f>+(C5+C4+C84)-C3</f>
        <v>152.94444610125521</v>
      </c>
      <c r="D6" s="51">
        <f t="shared" ref="D6:N6" si="3">+(D5+D4+D84)-D3</f>
        <v>170.43756028250021</v>
      </c>
      <c r="E6" s="51">
        <f t="shared" si="3"/>
        <v>158.96342171770462</v>
      </c>
      <c r="F6" s="51">
        <f t="shared" si="3"/>
        <v>236.424605673592</v>
      </c>
      <c r="G6" s="51">
        <f t="shared" si="3"/>
        <v>36.69016139904997</v>
      </c>
      <c r="H6" s="51">
        <f t="shared" si="3"/>
        <v>279.2353189793746</v>
      </c>
      <c r="I6" s="51">
        <f t="shared" si="3"/>
        <v>167.14846000501558</v>
      </c>
      <c r="J6" s="51">
        <f t="shared" si="3"/>
        <v>166.61369071866301</v>
      </c>
      <c r="K6" s="51">
        <f t="shared" si="3"/>
        <v>21.807214513470228</v>
      </c>
      <c r="L6" s="51">
        <f t="shared" si="3"/>
        <v>85.395109745198056</v>
      </c>
      <c r="M6" s="51">
        <f t="shared" si="3"/>
        <v>110.47387099587635</v>
      </c>
      <c r="N6" s="51">
        <f t="shared" si="3"/>
        <v>30.385294704754003</v>
      </c>
    </row>
    <row r="7" spans="1:19" outlineLevel="1">
      <c r="A7" s="30" t="s">
        <v>155</v>
      </c>
      <c r="B7" s="53">
        <f t="shared" si="2"/>
        <v>33719118.74959892</v>
      </c>
      <c r="C7" s="53">
        <f>+C6*C1</f>
        <v>2954764.3431193694</v>
      </c>
      <c r="D7" s="53">
        <f t="shared" ref="D7:N7" si="4">+D6*D1</f>
        <v>3348416.309309999</v>
      </c>
      <c r="E7" s="53">
        <f t="shared" si="4"/>
        <v>3175548.6902858978</v>
      </c>
      <c r="F7" s="53">
        <f t="shared" si="4"/>
        <v>4802469.3725871062</v>
      </c>
      <c r="G7" s="53">
        <f t="shared" si="4"/>
        <v>757831.61468123714</v>
      </c>
      <c r="H7" s="53">
        <f t="shared" si="4"/>
        <v>5864667.7103962125</v>
      </c>
      <c r="I7" s="53">
        <f t="shared" si="4"/>
        <v>3569940.0939411223</v>
      </c>
      <c r="J7" s="53">
        <f t="shared" si="4"/>
        <v>3618349.5213372046</v>
      </c>
      <c r="K7" s="53">
        <f t="shared" si="4"/>
        <v>481583.98315112252</v>
      </c>
      <c r="L7" s="53">
        <f t="shared" si="4"/>
        <v>1917478.8732406262</v>
      </c>
      <c r="M7" s="53">
        <f t="shared" si="4"/>
        <v>2522582.4650940397</v>
      </c>
      <c r="N7" s="53">
        <f t="shared" si="4"/>
        <v>705485.77245497843</v>
      </c>
      <c r="P7" s="43" t="s">
        <v>149</v>
      </c>
    </row>
    <row r="8" spans="1:19" outlineLevel="1">
      <c r="A8" s="30" t="s">
        <v>359</v>
      </c>
      <c r="B8" s="53">
        <f t="shared" si="2"/>
        <v>28575.366749850775</v>
      </c>
      <c r="C8" s="53">
        <f>+C7/INDEX(Tabla2[TC],MATCH(C19,Tabla2[Mes],0))</f>
        <v>2621.7962228210909</v>
      </c>
      <c r="D8" s="53">
        <f>+D7/INDEX(Tabla2[TC],MATCH(D19,Tabla2[Mes],0))</f>
        <v>2941.6714042450376</v>
      </c>
      <c r="E8" s="53">
        <f>+E7/INDEX(Tabla2[TC],MATCH(E19,Tabla2[Mes],0))</f>
        <v>2762.1808658266077</v>
      </c>
      <c r="F8" s="53">
        <f>+F7/INDEX(Tabla2[TC],MATCH(F19,Tabla2[Mes],0))</f>
        <v>4135.9622526684125</v>
      </c>
      <c r="G8" s="53">
        <f>+G7/INDEX(Tabla2[TC],MATCH(G19,Tabla2[Mes],0))</f>
        <v>646.1945750987968</v>
      </c>
      <c r="H8" s="53">
        <f>+H7/INDEX(Tabla2[TC],MATCH(H19,Tabla2[Mes],0))</f>
        <v>4951.2245746736726</v>
      </c>
      <c r="I8" s="53">
        <f>+I7/INDEX(Tabla2[TC],MATCH(I19,Tabla2[Mes],0))</f>
        <v>2984.0683723515431</v>
      </c>
      <c r="J8" s="53">
        <f>+J7/INDEX(Tabla2[TC],MATCH(J19,Tabla2[Mes],0))</f>
        <v>2994.587335219283</v>
      </c>
      <c r="K8" s="53">
        <f>+K7/INDEX(Tabla2[TC],MATCH(K19,Tabla2[Mes],0))</f>
        <v>394.61821531168249</v>
      </c>
      <c r="L8" s="53">
        <f>+L7/INDEX(Tabla2[TC],MATCH(L19,Tabla2[Mes],0))</f>
        <v>1555.658647686407</v>
      </c>
      <c r="M8" s="53">
        <f>+M7/INDEX(Tabla2[TC],MATCH(M19,Tabla2[Mes],0))</f>
        <v>2026.3185428455211</v>
      </c>
      <c r="N8" s="53">
        <f>+N7/INDEX(Tabla2[TC],MATCH(N19,Tabla2[Mes],0))</f>
        <v>561.08574110272116</v>
      </c>
      <c r="P8" s="53">
        <f>+B8/SUMIFS(TablaGeneral[Has],TablaGeneral[Finca],A18)</f>
        <v>1067.041327477624</v>
      </c>
    </row>
    <row r="9" spans="1:19" outlineLevel="1">
      <c r="A9" s="30" t="s">
        <v>152</v>
      </c>
      <c r="B9" s="57">
        <f t="shared" si="2"/>
        <v>1535.0072948156217</v>
      </c>
      <c r="C9" s="57">
        <f>+(SUM(C20:C25,C34:C39,C48:C53,C74)*7.5)</f>
        <v>30.000005318560497</v>
      </c>
      <c r="D9" s="57">
        <f t="shared" ref="D9:N9" si="5">+(SUM(D20:D25,D34:D39,D48:D53,D74)*7.5)</f>
        <v>30.000005318560497</v>
      </c>
      <c r="E9" s="57">
        <f t="shared" si="5"/>
        <v>30.000005318560497</v>
      </c>
      <c r="F9" s="57">
        <f t="shared" si="5"/>
        <v>225.00100295369174</v>
      </c>
      <c r="G9" s="57">
        <f t="shared" si="5"/>
        <v>266.25000530861308</v>
      </c>
      <c r="H9" s="57">
        <f t="shared" si="5"/>
        <v>247.1265636629754</v>
      </c>
      <c r="I9" s="57">
        <f t="shared" si="5"/>
        <v>168.15781366297543</v>
      </c>
      <c r="J9" s="57">
        <f t="shared" si="5"/>
        <v>44.064063662975393</v>
      </c>
      <c r="K9" s="57">
        <f t="shared" si="5"/>
        <v>30.000005318560497</v>
      </c>
      <c r="L9" s="57">
        <f t="shared" si="5"/>
        <v>168.15781366297543</v>
      </c>
      <c r="M9" s="57">
        <f t="shared" si="5"/>
        <v>30.000005318560497</v>
      </c>
      <c r="N9" s="57">
        <f t="shared" si="5"/>
        <v>266.25000530861308</v>
      </c>
    </row>
    <row r="10" spans="1:19" outlineLevel="1">
      <c r="A10" s="30" t="s">
        <v>154</v>
      </c>
      <c r="B10" s="57">
        <f t="shared" si="2"/>
        <v>324.14099773695943</v>
      </c>
      <c r="C10" s="57">
        <f>+(SUMIFS(TablaGeneral[Resumen Jornales totales de Secado],TablaGeneral[Finca],"Puente alto"))*0.28*C18*10</f>
        <v>44.610524206580557</v>
      </c>
      <c r="D10" s="57">
        <f>+(SUMIFS(TablaGeneral[Resumen Jornales totales de Secado],TablaGeneral[Finca],"Puente alto"))*0.28*D18*10</f>
        <v>38.408092203731037</v>
      </c>
      <c r="E10" s="57">
        <f>+(SUMIFS(TablaGeneral[Resumen Jornales totales de Secado],TablaGeneral[Finca],"Puente alto"))*0.28*E18*10</f>
        <v>0</v>
      </c>
      <c r="F10" s="57">
        <f>+(SUMIFS(TablaGeneral[Resumen Jornales totales de Secado],TablaGeneral[Finca],"Puente alto"))*0.28*F18*10</f>
        <v>0</v>
      </c>
      <c r="G10" s="57">
        <f>+(SUMIFS(TablaGeneral[Resumen Jornales totales de Secado],TablaGeneral[Finca],"Puente alto"))*0.28*G18*10</f>
        <v>3.1012160014247563</v>
      </c>
      <c r="H10" s="57">
        <f>+(SUMIFS(TablaGeneral[Resumen Jornales totales de Secado],TablaGeneral[Finca],"Puente alto"))*0.28*H18*10</f>
        <v>0</v>
      </c>
      <c r="I10" s="57">
        <f>+(SUMIFS(TablaGeneral[Resumen Jornales totales de Secado],TablaGeneral[Finca],"Puente alto"))*0.28*I18*10</f>
        <v>0</v>
      </c>
      <c r="J10" s="57">
        <f>+(SUMIFS(TablaGeneral[Resumen Jornales totales de Secado],TablaGeneral[Finca],"Puente alto"))*0.28*J18*10</f>
        <v>1.0337386671415856</v>
      </c>
      <c r="K10" s="57">
        <f>+(SUMIFS(TablaGeneral[Resumen Jornales totales de Secado],TablaGeneral[Finca],"Puente alto"))*0.28*K18*10</f>
        <v>25.622651738359853</v>
      </c>
      <c r="L10" s="57">
        <f>+(SUMIFS(TablaGeneral[Resumen Jornales totales de Secado],TablaGeneral[Finca],"Puente alto"))*0.28*L18*10</f>
        <v>84.282573739196323</v>
      </c>
      <c r="M10" s="57">
        <f>+(SUMIFS(TablaGeneral[Resumen Jornales totales de Secado],TablaGeneral[Finca],"Puente alto"))*0.28*M18*10</f>
        <v>78.336722305378402</v>
      </c>
      <c r="N10" s="57">
        <f>+(SUMIFS(TablaGeneral[Resumen Jornales totales de Secado],TablaGeneral[Finca],"Puente alto"))*0.28*N18*10</f>
        <v>48.745478875146887</v>
      </c>
    </row>
    <row r="11" spans="1:19" outlineLevel="1">
      <c r="A11" s="30" t="s">
        <v>153</v>
      </c>
      <c r="B11" s="57">
        <f t="shared" si="2"/>
        <v>960.10638297872367</v>
      </c>
      <c r="C11" s="57"/>
      <c r="D11" s="57"/>
      <c r="E11" s="57"/>
      <c r="F11" s="57"/>
      <c r="G11" s="57"/>
      <c r="H11" s="57"/>
      <c r="I11" s="57"/>
      <c r="J11" s="57"/>
      <c r="K11" s="57">
        <f>+(SUMIFS(TablaGeneral[Tracto elevador],TablaGeneral[Finca],A18)+SUMIFS(TablaGeneral[Tractor con uñas],TablaGeneral[Finca],A18)+SUMIFS(TablaGeneral[Tractor con acoplado],TablaGeneral[Finca],A18))*0.2*10</f>
        <v>192.02127659574472</v>
      </c>
      <c r="L11" s="57">
        <f>+(SUMIFS(TablaGeneral[Tracto elevador],TablaGeneral[Finca],A18)+SUMIFS(TablaGeneral[Tractor con uñas],TablaGeneral[Finca],A18)+SUMIFS(TablaGeneral[Tractor con acoplado],TablaGeneral[Finca],A18))*0.4*10</f>
        <v>384.04255319148945</v>
      </c>
      <c r="M11" s="57">
        <f>+(SUMIFS(TablaGeneral[Tracto elevador],TablaGeneral[Finca],A18)+SUMIFS(TablaGeneral[Tractor con uñas],TablaGeneral[Finca],A18)+SUMIFS(TablaGeneral[Tractor con acoplado],TablaGeneral[Finca],A18))*0.4*10</f>
        <v>384.04255319148945</v>
      </c>
      <c r="N11" s="57"/>
    </row>
    <row r="12" spans="1:19" outlineLevel="1">
      <c r="A12" s="30" t="s">
        <v>305</v>
      </c>
      <c r="B12" s="57">
        <f t="shared" ref="B12:B13" si="6">SUM(C12:N12)</f>
        <v>2819.2546755313051</v>
      </c>
      <c r="C12" s="57">
        <f>SUM(C9:C11)</f>
        <v>74.610529525141061</v>
      </c>
      <c r="D12" s="57">
        <f t="shared" ref="D12:N12" si="7">SUM(D9:D11)</f>
        <v>68.408097522291541</v>
      </c>
      <c r="E12" s="57">
        <f t="shared" si="7"/>
        <v>30.000005318560497</v>
      </c>
      <c r="F12" s="57">
        <f t="shared" si="7"/>
        <v>225.00100295369174</v>
      </c>
      <c r="G12" s="57">
        <f t="shared" si="7"/>
        <v>269.35122131003783</v>
      </c>
      <c r="H12" s="57">
        <f t="shared" si="7"/>
        <v>247.1265636629754</v>
      </c>
      <c r="I12" s="57">
        <f t="shared" si="7"/>
        <v>168.15781366297543</v>
      </c>
      <c r="J12" s="57">
        <f t="shared" si="7"/>
        <v>45.097802330116977</v>
      </c>
      <c r="K12" s="57">
        <f t="shared" si="7"/>
        <v>247.64393365266505</v>
      </c>
      <c r="L12" s="57">
        <f t="shared" si="7"/>
        <v>636.48294059366117</v>
      </c>
      <c r="M12" s="57">
        <f t="shared" si="7"/>
        <v>492.37928081542833</v>
      </c>
      <c r="N12" s="57">
        <f t="shared" si="7"/>
        <v>314.99548418375997</v>
      </c>
    </row>
    <row r="13" spans="1:19" outlineLevel="1">
      <c r="A13" s="30" t="s">
        <v>304</v>
      </c>
      <c r="B13" s="82">
        <f t="shared" si="6"/>
        <v>61.083851303178271</v>
      </c>
      <c r="C13" s="82">
        <f>+(C12/100)+(C12/150)+(C12/200)</f>
        <v>1.6165614730447229</v>
      </c>
      <c r="D13" s="82">
        <f t="shared" ref="D13:N13" si="8">+(D12/100)+(D12/150)+(D12/200)</f>
        <v>1.4821754463163168</v>
      </c>
      <c r="E13" s="82">
        <f t="shared" si="8"/>
        <v>0.65000011523547752</v>
      </c>
      <c r="F13" s="82">
        <f t="shared" si="8"/>
        <v>4.8750217306633203</v>
      </c>
      <c r="G13" s="82">
        <f t="shared" si="8"/>
        <v>5.8359431283841525</v>
      </c>
      <c r="H13" s="82">
        <f t="shared" si="8"/>
        <v>5.3544088793644669</v>
      </c>
      <c r="I13" s="82">
        <f t="shared" si="8"/>
        <v>3.6434192960311345</v>
      </c>
      <c r="J13" s="82">
        <f t="shared" si="8"/>
        <v>0.97711905048586789</v>
      </c>
      <c r="K13" s="82">
        <f t="shared" si="8"/>
        <v>5.3656185624744097</v>
      </c>
      <c r="L13" s="82">
        <f t="shared" si="8"/>
        <v>13.790463712862659</v>
      </c>
      <c r="M13" s="82">
        <f t="shared" si="8"/>
        <v>10.668217751000949</v>
      </c>
      <c r="N13" s="82">
        <f t="shared" si="8"/>
        <v>6.8249021573148001</v>
      </c>
    </row>
    <row r="14" spans="1:19" outlineLevel="1">
      <c r="A14" s="30" t="s">
        <v>151</v>
      </c>
      <c r="B14" s="83">
        <f>SUM(C14:N14)</f>
        <v>3503180.5190761532</v>
      </c>
      <c r="C14" s="83">
        <f>+(INDEX(Tabla2[Combustible],MATCH(C19,Tabla2[Mes],0))*C12)</f>
        <v>86188.218444204816</v>
      </c>
      <c r="D14" s="83">
        <f>+(INDEX(Tabla2[Combustible],MATCH(D19,Tabla2[Mes],0))*D12)</f>
        <v>79813.557295866252</v>
      </c>
      <c r="E14" s="83">
        <f>+(INDEX(Tabla2[Combustible],MATCH(E19,Tabla2[Mes],0))*E12)</f>
        <v>35351.826792359869</v>
      </c>
      <c r="F14" s="83">
        <f>+(INDEX(Tabla2[Combustible],MATCH(F19,Tabla2[Mes],0))*F12)</f>
        <v>267791.23417025147</v>
      </c>
      <c r="G14" s="83">
        <f>+(INDEX(Tabla2[Combustible],MATCH(G19,Tabla2[Mes],0))*G12)</f>
        <v>323781.64534080832</v>
      </c>
      <c r="H14" s="83">
        <f>+(INDEX(Tabla2[Combustible],MATCH(H19,Tabla2[Mes],0))*H12)</f>
        <v>300036.49306307652</v>
      </c>
      <c r="I14" s="83">
        <f>+(INDEX(Tabla2[Combustible],MATCH(I19,Tabla2[Mes],0))*I12)</f>
        <v>206202.09638416109</v>
      </c>
      <c r="J14" s="83">
        <f>+(INDEX(Tabla2[Combustible],MATCH(J19,Tabla2[Mes],0))*J12)</f>
        <v>55853.806564353981</v>
      </c>
      <c r="K14" s="83">
        <f>+(INDEX(Tabla2[Combustible],MATCH(K19,Tabla2[Mes],0))*K12)</f>
        <v>309775.07126578747</v>
      </c>
      <c r="L14" s="83">
        <f>+(INDEX(Tabla2[Combustible],MATCH(L19,Tabla2[Mes],0))*L12)</f>
        <v>804131.20090387843</v>
      </c>
      <c r="M14" s="83">
        <f>+(INDEX(Tabla2[Combustible],MATCH(M19,Tabla2[Mes],0))*M12)</f>
        <v>628291.65135695378</v>
      </c>
      <c r="N14" s="83">
        <f>+(INDEX(Tabla2[Combustible],MATCH(N19,Tabla2[Mes],0))*N12)</f>
        <v>405963.71749445156</v>
      </c>
      <c r="P14" s="83">
        <f>+(B14+B15)/SUMIFS(TablaGeneral[Has],TablaGeneral[Finca],A18)</f>
        <v>146436.46383103382</v>
      </c>
    </row>
    <row r="15" spans="1:19" outlineLevel="1">
      <c r="A15" s="30" t="s">
        <v>306</v>
      </c>
      <c r="B15" s="83">
        <f>SUM(C15:N15)</f>
        <v>418387.98231893248</v>
      </c>
      <c r="C15" s="83">
        <f>+(INDEX(Tabla2[Lubricantes],MATCH(C19,Tabla2[Mes],0))*C13)</f>
        <v>10293.536007685925</v>
      </c>
      <c r="D15" s="83">
        <f>+(INDEX(Tabla2[Lubricantes],MATCH(D19,Tabla2[Mes],0))*D13)</f>
        <v>9532.2045258233793</v>
      </c>
      <c r="E15" s="83">
        <f>+(INDEX(Tabla2[Lubricantes],MATCH(E19,Tabla2[Mes],0))*E13)</f>
        <v>4222.1002892663955</v>
      </c>
      <c r="F15" s="83">
        <f>+(INDEX(Tabla2[Lubricantes],MATCH(F19,Tabla2[Mes],0))*F13)</f>
        <v>31982.546585048734</v>
      </c>
      <c r="G15" s="83">
        <f>+(INDEX(Tabla2[Lubricantes],MATCH(G19,Tabla2[Mes],0))*G13)</f>
        <v>38669.531463873769</v>
      </c>
      <c r="H15" s="83">
        <f>+(INDEX(Tabla2[Lubricantes],MATCH(H19,Tabla2[Mes],0))*H13)</f>
        <v>35833.626691842233</v>
      </c>
      <c r="I15" s="83">
        <f>+(INDEX(Tabla2[Lubricantes],MATCH(I19,Tabla2[Mes],0))*I13)</f>
        <v>24626.900779539243</v>
      </c>
      <c r="J15" s="83">
        <f>+(INDEX(Tabla2[Lubricantes],MATCH(J19,Tabla2[Mes],0))*J13)</f>
        <v>6670.6700685395135</v>
      </c>
      <c r="K15" s="83">
        <f>+(INDEX(Tabla2[Lubricantes],MATCH(K19,Tabla2[Mes],0))*K13)</f>
        <v>36996.713795889584</v>
      </c>
      <c r="L15" s="83">
        <f>+(INDEX(Tabla2[Lubricantes],MATCH(L19,Tabla2[Mes],0))*L13)</f>
        <v>96038.108465674595</v>
      </c>
      <c r="M15" s="83">
        <f>+(INDEX(Tabla2[Lubricantes],MATCH(M19,Tabla2[Mes],0))*M13)</f>
        <v>75037.433808403701</v>
      </c>
      <c r="N15" s="83">
        <f>+(INDEX(Tabla2[Lubricantes],MATCH(N19,Tabla2[Mes],0))*N13)</f>
        <v>48484.609837345488</v>
      </c>
    </row>
    <row r="16" spans="1:19" outlineLevel="1">
      <c r="A16" s="30" t="s">
        <v>150</v>
      </c>
      <c r="B16" s="55">
        <f t="shared" si="2"/>
        <v>2303452.7418393553</v>
      </c>
      <c r="C16" s="55">
        <f>+(C9*INDEX(Tabla2[Combustible],MATCH(C19,Tabla2[Mes],0)))+(C13*INDEX(Tabla2[Lubricantes],MATCH(C19,Tabla2[Mes],0)))</f>
        <v>44948.792151554051</v>
      </c>
      <c r="D16" s="55">
        <f>+(D9*INDEX(Tabla2[Combustible],MATCH(D19,Tabla2[Mes],0)))+(D13*INDEX(Tabla2[Lubricantes],MATCH(D19,Tabla2[Mes],0)))</f>
        <v>44534.013231130179</v>
      </c>
      <c r="E16" s="55">
        <f>+(E9*INDEX(Tabla2[Combustible],MATCH(E19,Tabla2[Mes],0)))+(E13*INDEX(Tabla2[Lubricantes],MATCH(E19,Tabla2[Mes],0)))</f>
        <v>39573.927081626265</v>
      </c>
      <c r="F16" s="55">
        <f>+(F9*INDEX(Tabla2[Combustible],MATCH(F19,Tabla2[Mes],0)))+(F13*INDEX(Tabla2[Lubricantes],MATCH(F19,Tabla2[Mes],0)))</f>
        <v>299773.78075530019</v>
      </c>
      <c r="G16" s="55">
        <f>+(G9*INDEX(Tabla2[Combustible],MATCH(G19,Tabla2[Mes],0)))+(G13*INDEX(Tabla2[Lubricantes],MATCH(G19,Tabla2[Mes],0)))</f>
        <v>358723.26788852847</v>
      </c>
      <c r="H16" s="55">
        <f>+(H9*INDEX(Tabla2[Combustible],MATCH(H19,Tabla2[Mes],0)))+(H13*INDEX(Tabla2[Lubricantes],MATCH(H19,Tabla2[Mes],0)))</f>
        <v>335870.11975491873</v>
      </c>
      <c r="I16" s="55">
        <f>+(I9*INDEX(Tabla2[Combustible],MATCH(I19,Tabla2[Mes],0)))+(I13*INDEX(Tabla2[Lubricantes],MATCH(I19,Tabla2[Mes],0)))</f>
        <v>230828.99716370035</v>
      </c>
      <c r="J16" s="55">
        <f>+(J9*INDEX(Tabla2[Combustible],MATCH(J19,Tabla2[Mes],0)))+(J13*INDEX(Tabla2[Lubricantes],MATCH(J19,Tabla2[Mes],0)))</f>
        <v>61244.187204819507</v>
      </c>
      <c r="K16" s="55">
        <f>+(K9*INDEX(Tabla2[Combustible],MATCH(K19,Tabla2[Mes],0)))+(K13*INDEX(Tabla2[Lubricantes],MATCH(K19,Tabla2[Mes],0)))</f>
        <v>74523.390296535901</v>
      </c>
      <c r="L16" s="55">
        <f>+(L9*INDEX(Tabla2[Combustible],MATCH(L19,Tabla2[Mes],0)))+(L13*INDEX(Tabla2[Lubricantes],MATCH(L19,Tabla2[Mes],0)))</f>
        <v>308488.33457237214</v>
      </c>
      <c r="M16" s="55">
        <f>+(M9*INDEX(Tabla2[Combustible],MATCH(M19,Tabla2[Mes],0)))+(M13*INDEX(Tabla2[Lubricantes],MATCH(M19,Tabla2[Mes],0)))</f>
        <v>113318.396506713</v>
      </c>
      <c r="N16" s="55">
        <f>+(N9*INDEX(Tabla2[Combustible],MATCH(N19,Tabla2[Mes],0)))+(N13*INDEX(Tabla2[Lubricantes],MATCH(N19,Tabla2[Mes],0)))</f>
        <v>391625.53523215675</v>
      </c>
    </row>
    <row r="17" spans="1:16" outlineLevel="1">
      <c r="A17" s="30" t="s">
        <v>363</v>
      </c>
      <c r="B17" s="55">
        <f t="shared" si="2"/>
        <v>1918.50623704897</v>
      </c>
      <c r="C17" s="55">
        <f>+C16/INDEX(Tabla2[TC],MATCH(C19,Tabla2[Mes],0))</f>
        <v>39.883577774227199</v>
      </c>
      <c r="D17" s="55">
        <f>+D16/INDEX(Tabla2[TC],MATCH(D19,Tabla2[Mes],0))</f>
        <v>39.1242967232117</v>
      </c>
      <c r="E17" s="55">
        <f>+E16/INDEX(Tabla2[TC],MATCH(E19,Tabla2[Mes],0))</f>
        <v>34.422506102604956</v>
      </c>
      <c r="F17" s="55">
        <f>+F16/INDEX(Tabla2[TC],MATCH(F19,Tabla2[Mes],0))</f>
        <v>258.16990080578177</v>
      </c>
      <c r="G17" s="55">
        <f>+G16/INDEX(Tabla2[TC],MATCH(G19,Tabla2[Mes],0))</f>
        <v>305.87933411669889</v>
      </c>
      <c r="H17" s="55">
        <f>+H16/INDEX(Tabla2[TC],MATCH(H19,Tabla2[Mes],0))</f>
        <v>283.55713792295899</v>
      </c>
      <c r="I17" s="55">
        <f>+I16/INDEX(Tabla2[TC],MATCH(I19,Tabla2[Mes],0))</f>
        <v>192.94707802712571</v>
      </c>
      <c r="J17" s="55">
        <f>+J16/INDEX(Tabla2[TC],MATCH(J19,Tabla2[Mes],0))</f>
        <v>50.686387889794922</v>
      </c>
      <c r="K17" s="55">
        <f>+K16/INDEX(Tabla2[TC],MATCH(K19,Tabla2[Mes],0))</f>
        <v>61.065750329504922</v>
      </c>
      <c r="L17" s="55">
        <f>+L16/INDEX(Tabla2[TC],MATCH(L19,Tabla2[Mes],0))</f>
        <v>250.27787898222383</v>
      </c>
      <c r="M17" s="55">
        <f>+M16/INDEX(Tabla2[TC],MATCH(M19,Tabla2[Mes],0))</f>
        <v>91.025435744679868</v>
      </c>
      <c r="N17" s="55">
        <f>+N16/INDEX(Tabla2[TC],MATCH(N19,Tabla2[Mes],0))</f>
        <v>311.46695263015698</v>
      </c>
      <c r="P17" s="2">
        <f>SUM(C17:N17)/SUMIFS(TablaGeneral[Has],TablaGeneral[Finca],A18)</f>
        <v>71.639515946563478</v>
      </c>
    </row>
    <row r="18" spans="1:16">
      <c r="A18" s="21" t="s">
        <v>4</v>
      </c>
      <c r="B18" t="s">
        <v>108</v>
      </c>
      <c r="C18" s="50">
        <v>0.13761016358288825</v>
      </c>
      <c r="D18" s="50">
        <v>0.11847751052166375</v>
      </c>
      <c r="E18" s="50">
        <v>0</v>
      </c>
      <c r="F18" s="50">
        <v>0</v>
      </c>
      <c r="G18" s="50">
        <v>9.5663265306122451E-3</v>
      </c>
      <c r="H18" s="50">
        <v>0</v>
      </c>
      <c r="I18" s="50">
        <v>0</v>
      </c>
      <c r="J18" s="50">
        <v>3.1887755102040817E-3</v>
      </c>
      <c r="K18" s="50">
        <v>7.9038239515306113E-2</v>
      </c>
      <c r="L18" s="50">
        <v>0.25998660553123004</v>
      </c>
      <c r="M18" s="50">
        <v>0.24164542700890862</v>
      </c>
      <c r="N18" s="50">
        <v>0.15036526562370456</v>
      </c>
    </row>
    <row r="19" spans="1:16">
      <c r="A19" s="33" t="s">
        <v>6</v>
      </c>
      <c r="B19" s="31">
        <v>707.19489095902247</v>
      </c>
      <c r="C19" s="30" t="s">
        <v>88</v>
      </c>
      <c r="D19" s="30" t="s">
        <v>89</v>
      </c>
      <c r="E19" s="30" t="s">
        <v>90</v>
      </c>
      <c r="F19" s="30" t="s">
        <v>91</v>
      </c>
      <c r="G19" s="30" t="s">
        <v>92</v>
      </c>
      <c r="H19" s="30" t="s">
        <v>93</v>
      </c>
      <c r="I19" s="30" t="s">
        <v>94</v>
      </c>
      <c r="J19" s="30" t="s">
        <v>95</v>
      </c>
      <c r="K19" s="30" t="s">
        <v>96</v>
      </c>
      <c r="L19" s="30" t="s">
        <v>97</v>
      </c>
      <c r="M19" s="30" t="s">
        <v>98</v>
      </c>
      <c r="N19" s="30" t="s">
        <v>99</v>
      </c>
    </row>
    <row r="20" spans="1:16">
      <c r="A20" s="23" t="s">
        <v>58</v>
      </c>
      <c r="B20" s="2">
        <v>8.6508144044321327</v>
      </c>
      <c r="F20" s="2">
        <f>+B20</f>
        <v>8.6508144044321327</v>
      </c>
    </row>
    <row r="21" spans="1:16">
      <c r="A21" s="23" t="s">
        <v>61</v>
      </c>
      <c r="B21" s="2">
        <v>3.7847313279645904</v>
      </c>
      <c r="F21" s="2">
        <f>+B21</f>
        <v>3.7847313279645904</v>
      </c>
    </row>
    <row r="22" spans="1:16">
      <c r="A22" s="23" t="s">
        <v>62</v>
      </c>
      <c r="B22" s="2">
        <v>1.6220995944418588</v>
      </c>
      <c r="F22" s="2">
        <f>+B22</f>
        <v>1.6220995944418588</v>
      </c>
    </row>
    <row r="23" spans="1:16">
      <c r="A23" s="23" t="s">
        <v>63</v>
      </c>
      <c r="B23" s="2">
        <v>34.062581716017306</v>
      </c>
      <c r="G23" s="25">
        <f>+B23/2</f>
        <v>17.031290858008653</v>
      </c>
      <c r="N23">
        <f>+B23/2</f>
        <v>17.031290858008653</v>
      </c>
    </row>
    <row r="24" spans="1:16">
      <c r="A24" s="23" t="s">
        <v>64</v>
      </c>
      <c r="B24" s="2">
        <v>32.530666666666669</v>
      </c>
      <c r="H24">
        <f>+B24*0.45</f>
        <v>14.638800000000002</v>
      </c>
      <c r="I24">
        <f>+B24*0.275</f>
        <v>8.9459333333333344</v>
      </c>
      <c r="L24">
        <f>+B24*0.275</f>
        <v>8.9459333333333344</v>
      </c>
    </row>
    <row r="25" spans="1:16">
      <c r="A25" s="23" t="s">
        <v>106</v>
      </c>
      <c r="B25" s="2">
        <v>4.0555186170212769</v>
      </c>
      <c r="H25">
        <f>+B25/4</f>
        <v>1.0138796542553192</v>
      </c>
      <c r="I25">
        <f>+B25/4</f>
        <v>1.0138796542553192</v>
      </c>
      <c r="J25">
        <f>+B25/4</f>
        <v>1.0138796542553192</v>
      </c>
      <c r="L25">
        <f>+B25/4</f>
        <v>1.0138796542553192</v>
      </c>
    </row>
    <row r="26" spans="1:16">
      <c r="A26" s="23" t="s">
        <v>51</v>
      </c>
      <c r="B26" s="2">
        <v>182.81333333333333</v>
      </c>
      <c r="D26">
        <f>+B26/3</f>
        <v>60.937777777777775</v>
      </c>
      <c r="E26">
        <f>+B26/3</f>
        <v>60.937777777777775</v>
      </c>
      <c r="F26">
        <f>+B26/3</f>
        <v>60.937777777777775</v>
      </c>
    </row>
    <row r="27" spans="1:16">
      <c r="A27" s="23" t="s">
        <v>52</v>
      </c>
      <c r="B27" s="2">
        <v>121.87555555555555</v>
      </c>
      <c r="D27">
        <f>+B27/3</f>
        <v>40.625185185185181</v>
      </c>
      <c r="E27">
        <f>+B27/3</f>
        <v>40.625185185185181</v>
      </c>
      <c r="F27">
        <f>+B27/3</f>
        <v>40.625185185185181</v>
      </c>
    </row>
    <row r="28" spans="1:16">
      <c r="A28" s="23" t="s">
        <v>54</v>
      </c>
      <c r="B28" s="2">
        <v>81.326666666666668</v>
      </c>
      <c r="I28" s="2">
        <f>+B28</f>
        <v>81.326666666666668</v>
      </c>
    </row>
    <row r="29" spans="1:16">
      <c r="A29" s="23" t="s">
        <v>53</v>
      </c>
      <c r="B29" s="2">
        <v>187.67692307692309</v>
      </c>
      <c r="H29">
        <f>+B29/2</f>
        <v>93.838461538461544</v>
      </c>
      <c r="J29">
        <f>+B29/2</f>
        <v>93.838461538461544</v>
      </c>
    </row>
    <row r="30" spans="1:16">
      <c r="A30" s="23" t="s">
        <v>57</v>
      </c>
      <c r="B30" s="2">
        <v>0</v>
      </c>
      <c r="I30" s="2">
        <f>+B30</f>
        <v>0</v>
      </c>
    </row>
    <row r="31" spans="1:16">
      <c r="A31" s="23" t="s">
        <v>55</v>
      </c>
      <c r="B31" s="2">
        <v>0</v>
      </c>
    </row>
    <row r="32" spans="1:16" ht="15.75" thickBot="1">
      <c r="A32" s="23" t="s">
        <v>56</v>
      </c>
      <c r="B32" s="2">
        <v>48.795999999999999</v>
      </c>
      <c r="H32" s="2">
        <f>+B32</f>
        <v>48.795999999999999</v>
      </c>
    </row>
    <row r="33" spans="1:14" ht="15.75" thickBot="1">
      <c r="A33" s="33" t="s">
        <v>7</v>
      </c>
      <c r="B33" s="31">
        <v>293.85886501882385</v>
      </c>
      <c r="C33" s="26">
        <f>+SUM(C20:C32)</f>
        <v>0</v>
      </c>
      <c r="D33" s="27">
        <f t="shared" ref="D33:N33" si="9">+SUM(D20:D32)</f>
        <v>101.56296296296296</v>
      </c>
      <c r="E33" s="27">
        <f t="shared" si="9"/>
        <v>101.56296296296296</v>
      </c>
      <c r="F33" s="27">
        <f t="shared" si="9"/>
        <v>115.62060828980154</v>
      </c>
      <c r="G33" s="27">
        <f t="shared" si="9"/>
        <v>17.031290858008653</v>
      </c>
      <c r="H33" s="27">
        <f t="shared" si="9"/>
        <v>158.28714119271686</v>
      </c>
      <c r="I33" s="27">
        <f t="shared" si="9"/>
        <v>91.286479654255317</v>
      </c>
      <c r="J33" s="27">
        <f t="shared" si="9"/>
        <v>94.852341192716864</v>
      </c>
      <c r="K33" s="27">
        <f t="shared" si="9"/>
        <v>0</v>
      </c>
      <c r="L33" s="27">
        <f t="shared" si="9"/>
        <v>9.9598129875886539</v>
      </c>
      <c r="M33" s="27">
        <f t="shared" si="9"/>
        <v>0</v>
      </c>
      <c r="N33" s="28">
        <f t="shared" si="9"/>
        <v>17.031290858008653</v>
      </c>
    </row>
    <row r="34" spans="1:14">
      <c r="A34" s="23" t="s">
        <v>58</v>
      </c>
      <c r="B34" s="2">
        <v>4.045296398891967</v>
      </c>
      <c r="F34">
        <f>+B34</f>
        <v>4.045296398891967</v>
      </c>
    </row>
    <row r="35" spans="1:14">
      <c r="A35" s="23" t="s">
        <v>61</v>
      </c>
      <c r="B35" s="2">
        <v>1.7698171866853025</v>
      </c>
      <c r="F35">
        <f>+B35</f>
        <v>1.7698171866853025</v>
      </c>
    </row>
    <row r="36" spans="1:14">
      <c r="A36" s="23" t="s">
        <v>62</v>
      </c>
      <c r="B36" s="2">
        <v>0.75852669370387604</v>
      </c>
      <c r="F36">
        <f>+B36</f>
        <v>0.75852669370387604</v>
      </c>
    </row>
    <row r="37" spans="1:14">
      <c r="A37" s="23" t="s">
        <v>63</v>
      </c>
      <c r="B37" s="2">
        <v>15.92835456996645</v>
      </c>
      <c r="G37">
        <f>+B37/2</f>
        <v>7.9641772849832249</v>
      </c>
      <c r="N37">
        <f>+B37/2</f>
        <v>7.9641772849832249</v>
      </c>
    </row>
    <row r="38" spans="1:14">
      <c r="A38" s="23" t="s">
        <v>64</v>
      </c>
      <c r="B38" s="2">
        <v>15.212</v>
      </c>
      <c r="H38">
        <f>+B38*0.45</f>
        <v>6.8453999999999997</v>
      </c>
      <c r="I38">
        <f>+B38*0.275</f>
        <v>4.1833</v>
      </c>
      <c r="L38">
        <f>+B38*0.275</f>
        <v>4.1833</v>
      </c>
    </row>
    <row r="39" spans="1:14">
      <c r="A39" s="23" t="s">
        <v>106</v>
      </c>
      <c r="B39" s="2">
        <v>1.8964428191489362</v>
      </c>
      <c r="H39">
        <f>+B39/4</f>
        <v>0.47411070478723405</v>
      </c>
      <c r="I39">
        <f>+B39/4</f>
        <v>0.47411070478723405</v>
      </c>
      <c r="J39">
        <f>+B39/4</f>
        <v>0.47411070478723405</v>
      </c>
      <c r="L39">
        <f>+B39/4</f>
        <v>0.47411070478723405</v>
      </c>
    </row>
    <row r="40" spans="1:14">
      <c r="A40" s="23" t="s">
        <v>51</v>
      </c>
      <c r="B40" s="2">
        <v>63.383333333333333</v>
      </c>
      <c r="D40">
        <f>+B40/3</f>
        <v>21.127777777777776</v>
      </c>
      <c r="E40">
        <f>+B40/3</f>
        <v>21.127777777777776</v>
      </c>
      <c r="F40">
        <f>+B40/3</f>
        <v>21.127777777777776</v>
      </c>
    </row>
    <row r="41" spans="1:14">
      <c r="A41" s="23" t="s">
        <v>52</v>
      </c>
      <c r="B41" s="2">
        <v>42.25555555555556</v>
      </c>
      <c r="D41">
        <f>+B41/3</f>
        <v>14.085185185185187</v>
      </c>
      <c r="E41">
        <f>+B41/3</f>
        <v>14.085185185185187</v>
      </c>
      <c r="F41">
        <f>+B41/3</f>
        <v>14.085185185185187</v>
      </c>
    </row>
    <row r="42" spans="1:14">
      <c r="A42" s="23" t="s">
        <v>54</v>
      </c>
      <c r="B42" s="2">
        <v>38.03</v>
      </c>
      <c r="I42">
        <f>+B42</f>
        <v>38.03</v>
      </c>
    </row>
    <row r="43" spans="1:14">
      <c r="A43" s="23" t="s">
        <v>53</v>
      </c>
      <c r="B43" s="2">
        <v>87.761538461538464</v>
      </c>
      <c r="H43">
        <f>+B43/2</f>
        <v>43.880769230769232</v>
      </c>
      <c r="J43">
        <f>+B43/2</f>
        <v>43.880769230769232</v>
      </c>
    </row>
    <row r="44" spans="1:14">
      <c r="A44" s="23" t="s">
        <v>57</v>
      </c>
      <c r="B44" s="2">
        <v>0</v>
      </c>
      <c r="I44">
        <f>+B44</f>
        <v>0</v>
      </c>
    </row>
    <row r="45" spans="1:14">
      <c r="A45" s="23" t="s">
        <v>55</v>
      </c>
      <c r="B45" s="2">
        <v>0</v>
      </c>
      <c r="J45" s="2">
        <f>+B45</f>
        <v>0</v>
      </c>
    </row>
    <row r="46" spans="1:14" ht="15.75" thickBot="1">
      <c r="A46" s="23" t="s">
        <v>56</v>
      </c>
      <c r="B46" s="2">
        <v>22.817999999999998</v>
      </c>
      <c r="H46">
        <f>+B46</f>
        <v>22.817999999999998</v>
      </c>
    </row>
    <row r="47" spans="1:14" ht="15.75" thickBot="1">
      <c r="A47" s="33" t="s">
        <v>5</v>
      </c>
      <c r="B47" s="31">
        <v>266.95400691133858</v>
      </c>
      <c r="C47" s="26">
        <f>+SUM(C34:C46)</f>
        <v>0</v>
      </c>
      <c r="D47" s="27">
        <f>+SUM(D34:D46)</f>
        <v>35.212962962962962</v>
      </c>
      <c r="E47" s="27">
        <f t="shared" ref="E47:N47" si="10">+SUM(E34:E46)</f>
        <v>35.212962962962962</v>
      </c>
      <c r="F47" s="27">
        <f t="shared" si="10"/>
        <v>41.786603242244112</v>
      </c>
      <c r="G47" s="27">
        <f t="shared" si="10"/>
        <v>7.9641772849832249</v>
      </c>
      <c r="H47" s="27">
        <f t="shared" si="10"/>
        <v>74.018279935556464</v>
      </c>
      <c r="I47" s="27">
        <f t="shared" si="10"/>
        <v>42.687410704787233</v>
      </c>
      <c r="J47" s="27">
        <f t="shared" si="10"/>
        <v>44.354879935556468</v>
      </c>
      <c r="K47" s="27">
        <f t="shared" si="10"/>
        <v>0</v>
      </c>
      <c r="L47" s="27">
        <f t="shared" si="10"/>
        <v>4.6574107047872344</v>
      </c>
      <c r="M47" s="27">
        <f t="shared" si="10"/>
        <v>0</v>
      </c>
      <c r="N47" s="28">
        <f t="shared" si="10"/>
        <v>7.9641772849832249</v>
      </c>
    </row>
    <row r="48" spans="1:14">
      <c r="A48" s="23" t="s">
        <v>58</v>
      </c>
      <c r="B48" s="2">
        <v>3.3038891966759003</v>
      </c>
      <c r="F48">
        <f>+B48</f>
        <v>3.3038891966759003</v>
      </c>
    </row>
    <row r="49" spans="1:15">
      <c r="A49" s="23" t="s">
        <v>61</v>
      </c>
      <c r="B49" s="2">
        <v>1.4454515334852878</v>
      </c>
      <c r="F49">
        <f>+B49</f>
        <v>1.4454515334852878</v>
      </c>
    </row>
    <row r="50" spans="1:15">
      <c r="A50" s="23" t="s">
        <v>62</v>
      </c>
      <c r="B50" s="2">
        <v>0.61950668173658663</v>
      </c>
      <c r="F50">
        <f>+B50</f>
        <v>0.61950668173658663</v>
      </c>
    </row>
    <row r="51" spans="1:15">
      <c r="A51" s="23" t="s">
        <v>63</v>
      </c>
      <c r="B51" s="2">
        <v>13.009063711363606</v>
      </c>
      <c r="G51">
        <f>+B51/2</f>
        <v>6.5045318556818028</v>
      </c>
      <c r="N51">
        <f>+B51/2</f>
        <v>6.5045318556818028</v>
      </c>
    </row>
    <row r="52" spans="1:15">
      <c r="A52" s="23" t="s">
        <v>64</v>
      </c>
      <c r="B52" s="2">
        <v>12.423999999999999</v>
      </c>
      <c r="H52">
        <f>+B52*0.45</f>
        <v>5.5907999999999998</v>
      </c>
      <c r="I52">
        <f>+B52*0.275</f>
        <v>3.4166000000000003</v>
      </c>
      <c r="L52">
        <f>+B52*0.275</f>
        <v>3.4166000000000003</v>
      </c>
    </row>
    <row r="53" spans="1:15">
      <c r="A53" s="23" t="s">
        <v>106</v>
      </c>
      <c r="B53" s="2">
        <v>1.5488696808510638</v>
      </c>
      <c r="H53">
        <f>+B53/4</f>
        <v>0.38721742021276595</v>
      </c>
      <c r="I53">
        <f>+B53/4</f>
        <v>0.38721742021276595</v>
      </c>
      <c r="J53">
        <f>+B53/4</f>
        <v>0.38721742021276595</v>
      </c>
      <c r="L53">
        <f>+B53/4</f>
        <v>0.38721742021276595</v>
      </c>
    </row>
    <row r="54" spans="1:15">
      <c r="A54" s="23" t="s">
        <v>51</v>
      </c>
      <c r="B54" s="2">
        <v>67.938181818181818</v>
      </c>
      <c r="D54">
        <f>+B54/3</f>
        <v>22.646060606060605</v>
      </c>
      <c r="E54">
        <f>+B54/3</f>
        <v>22.646060606060605</v>
      </c>
      <c r="F54">
        <f>+B54/3</f>
        <v>22.646060606060605</v>
      </c>
    </row>
    <row r="55" spans="1:15">
      <c r="A55" s="23" t="s">
        <v>52</v>
      </c>
      <c r="B55" s="2">
        <v>45.292121212121209</v>
      </c>
      <c r="D55">
        <f>+B55/3</f>
        <v>15.097373737373736</v>
      </c>
      <c r="E55">
        <f>+B55/3</f>
        <v>15.097373737373736</v>
      </c>
      <c r="F55">
        <f>+B55/3</f>
        <v>15.097373737373736</v>
      </c>
    </row>
    <row r="56" spans="1:15">
      <c r="A56" s="23" t="s">
        <v>54</v>
      </c>
      <c r="B56" s="2">
        <v>31.06</v>
      </c>
      <c r="I56">
        <f>+B56</f>
        <v>31.06</v>
      </c>
    </row>
    <row r="57" spans="1:15">
      <c r="A57" s="23" t="s">
        <v>53</v>
      </c>
      <c r="B57" s="2">
        <v>71.676923076923075</v>
      </c>
      <c r="H57">
        <f>+B57/2</f>
        <v>35.838461538461537</v>
      </c>
      <c r="J57">
        <f>+B57/2</f>
        <v>35.838461538461537</v>
      </c>
    </row>
    <row r="58" spans="1:15">
      <c r="A58" s="23" t="s">
        <v>57</v>
      </c>
      <c r="B58" s="2">
        <v>0</v>
      </c>
      <c r="I58">
        <f>+B58</f>
        <v>0</v>
      </c>
    </row>
    <row r="59" spans="1:15">
      <c r="A59" s="23" t="s">
        <v>55</v>
      </c>
      <c r="B59" s="2">
        <v>0</v>
      </c>
      <c r="J59">
        <f>+B59</f>
        <v>0</v>
      </c>
    </row>
    <row r="60" spans="1:15" ht="15.75" thickBot="1">
      <c r="A60" s="23" t="s">
        <v>56</v>
      </c>
      <c r="B60" s="2">
        <v>18.635999999999999</v>
      </c>
      <c r="H60">
        <f>+B60</f>
        <v>18.635999999999999</v>
      </c>
    </row>
    <row r="61" spans="1:15" ht="15.75" thickBot="1">
      <c r="A61" s="32" t="s">
        <v>104</v>
      </c>
      <c r="B61" s="31">
        <v>1268.0077628891847</v>
      </c>
      <c r="C61" s="26">
        <f>+SUM(C48:C60)</f>
        <v>0</v>
      </c>
      <c r="D61" s="27">
        <f>+SUM(D48:D60)</f>
        <v>37.743434343434345</v>
      </c>
      <c r="E61" s="27">
        <f t="shared" ref="E61:N61" si="11">+SUM(E48:E60)</f>
        <v>37.743434343434345</v>
      </c>
      <c r="F61" s="27">
        <f t="shared" si="11"/>
        <v>43.11228175533212</v>
      </c>
      <c r="G61" s="27">
        <f t="shared" si="11"/>
        <v>6.5045318556818028</v>
      </c>
      <c r="H61" s="27">
        <f t="shared" si="11"/>
        <v>60.452478958674305</v>
      </c>
      <c r="I61" s="27">
        <f t="shared" si="11"/>
        <v>34.863817420212769</v>
      </c>
      <c r="J61" s="27">
        <f t="shared" si="11"/>
        <v>36.225678958674301</v>
      </c>
      <c r="K61" s="27">
        <f t="shared" si="11"/>
        <v>0</v>
      </c>
      <c r="L61" s="27">
        <f t="shared" si="11"/>
        <v>3.8038174202127664</v>
      </c>
      <c r="M61" s="27">
        <f t="shared" si="11"/>
        <v>0</v>
      </c>
      <c r="N61" s="28">
        <f t="shared" si="11"/>
        <v>6.5045318556818028</v>
      </c>
    </row>
    <row r="62" spans="1:15" ht="15.75" thickBot="1"/>
    <row r="63" spans="1:15" ht="15.75" thickBot="1">
      <c r="A63" s="38" t="s">
        <v>109</v>
      </c>
      <c r="B63" s="38"/>
      <c r="C63" s="34">
        <f>+C33+C47+C61</f>
        <v>0</v>
      </c>
      <c r="D63" s="35">
        <f t="shared" ref="D63:N63" si="12">+D33+D47+D61</f>
        <v>174.51936026936028</v>
      </c>
      <c r="E63" s="35">
        <f t="shared" si="12"/>
        <v>174.51936026936028</v>
      </c>
      <c r="F63" s="35">
        <f t="shared" si="12"/>
        <v>200.51949328737777</v>
      </c>
      <c r="G63" s="35">
        <f t="shared" si="12"/>
        <v>31.49999999867368</v>
      </c>
      <c r="H63" s="35">
        <f t="shared" si="12"/>
        <v>292.75790008694764</v>
      </c>
      <c r="I63" s="35">
        <f t="shared" si="12"/>
        <v>168.83770777925531</v>
      </c>
      <c r="J63" s="35">
        <f t="shared" si="12"/>
        <v>175.43290008694763</v>
      </c>
      <c r="K63" s="35">
        <f t="shared" si="12"/>
        <v>0</v>
      </c>
      <c r="L63" s="35">
        <f t="shared" si="12"/>
        <v>18.421041112588654</v>
      </c>
      <c r="M63" s="35">
        <f t="shared" si="12"/>
        <v>0</v>
      </c>
      <c r="N63" s="36">
        <f t="shared" si="12"/>
        <v>31.49999999867368</v>
      </c>
      <c r="O63" s="40">
        <f>SUM(C63:N63)</f>
        <v>1268.0077628891852</v>
      </c>
    </row>
    <row r="65" spans="1:15">
      <c r="A65" s="29" t="s">
        <v>103</v>
      </c>
      <c r="B65" s="29" t="s">
        <v>108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4"/>
    </row>
    <row r="66" spans="1:15">
      <c r="A66" s="22" t="s">
        <v>65</v>
      </c>
      <c r="B66" s="2">
        <v>100</v>
      </c>
      <c r="C66">
        <f>+$B66*0.03</f>
        <v>3</v>
      </c>
      <c r="D66">
        <f>+$B66*0.03</f>
        <v>3</v>
      </c>
      <c r="E66">
        <f>+$B66*0.03</f>
        <v>3</v>
      </c>
      <c r="F66">
        <f>+$B66*0.04</f>
        <v>4</v>
      </c>
      <c r="G66">
        <f>+$B66*0.06</f>
        <v>6</v>
      </c>
      <c r="H66">
        <f t="shared" ref="H66:M66" si="13">+$B66*0.12</f>
        <v>12</v>
      </c>
      <c r="I66">
        <f t="shared" si="13"/>
        <v>12</v>
      </c>
      <c r="J66">
        <f t="shared" si="13"/>
        <v>12</v>
      </c>
      <c r="K66">
        <f t="shared" si="13"/>
        <v>12</v>
      </c>
      <c r="L66">
        <f t="shared" si="13"/>
        <v>12</v>
      </c>
      <c r="M66">
        <f t="shared" si="13"/>
        <v>12</v>
      </c>
      <c r="N66">
        <f>+$B66*0.09</f>
        <v>9</v>
      </c>
    </row>
    <row r="67" spans="1:15">
      <c r="A67" s="22" t="s">
        <v>68</v>
      </c>
      <c r="B67" s="2">
        <v>7</v>
      </c>
      <c r="C67">
        <f>+$B67/6</f>
        <v>1.1666666666666667</v>
      </c>
      <c r="E67">
        <f>+$B67/6</f>
        <v>1.1666666666666667</v>
      </c>
      <c r="G67">
        <f>+$B67/6</f>
        <v>1.1666666666666667</v>
      </c>
      <c r="I67">
        <f>+$B67/6</f>
        <v>1.1666666666666667</v>
      </c>
      <c r="K67">
        <f>+$B67/6</f>
        <v>1.1666666666666667</v>
      </c>
      <c r="M67">
        <f>+$B67/6</f>
        <v>1.1666666666666667</v>
      </c>
    </row>
    <row r="68" spans="1:15">
      <c r="A68" s="22" t="s">
        <v>69</v>
      </c>
      <c r="B68" s="2">
        <v>100.05543237250554</v>
      </c>
      <c r="F68">
        <f>+$B68/2</f>
        <v>50.027716186252768</v>
      </c>
      <c r="M68">
        <f>+$B68/2</f>
        <v>50.027716186252768</v>
      </c>
    </row>
    <row r="69" spans="1:15">
      <c r="A69" s="22" t="s">
        <v>70</v>
      </c>
      <c r="B69" s="2">
        <v>20</v>
      </c>
      <c r="I69">
        <f>+$B69/3</f>
        <v>6.666666666666667</v>
      </c>
      <c r="J69">
        <f>+$B69/3</f>
        <v>6.666666666666667</v>
      </c>
      <c r="N69">
        <f>+$B69/3</f>
        <v>6.666666666666667</v>
      </c>
    </row>
    <row r="70" spans="1:15">
      <c r="A70" s="22" t="s">
        <v>72</v>
      </c>
      <c r="B70" s="2">
        <v>16.000014182838058</v>
      </c>
      <c r="F70">
        <f>+$B70*0.1</f>
        <v>1.6000014182838058</v>
      </c>
      <c r="G70">
        <f>+$B70*0.2</f>
        <v>3.2000028365676116</v>
      </c>
      <c r="H70">
        <f>+$B70*0.2</f>
        <v>3.2000028365676116</v>
      </c>
      <c r="I70">
        <f>+$B70*0.2</f>
        <v>3.2000028365676116</v>
      </c>
      <c r="J70">
        <f>+$B70*0.05</f>
        <v>0.80000070914190291</v>
      </c>
      <c r="K70">
        <f>+$B70*0.05</f>
        <v>0.80000070914190291</v>
      </c>
      <c r="L70">
        <f>+$B70*0.05</f>
        <v>0.80000070914190291</v>
      </c>
      <c r="M70">
        <f>+$B70*0.05</f>
        <v>0.80000070914190291</v>
      </c>
      <c r="N70">
        <f>+$B70*0.1</f>
        <v>1.6000014182838058</v>
      </c>
    </row>
    <row r="71" spans="1:15">
      <c r="A71" s="22" t="s">
        <v>73</v>
      </c>
      <c r="B71" s="2">
        <v>45.034930139720558</v>
      </c>
      <c r="D71">
        <f>+$B71/11</f>
        <v>4.094084558156414</v>
      </c>
      <c r="E71">
        <f t="shared" ref="E71:N71" si="14">+$B71/11</f>
        <v>4.094084558156414</v>
      </c>
      <c r="F71">
        <f t="shared" si="14"/>
        <v>4.094084558156414</v>
      </c>
      <c r="G71">
        <f t="shared" si="14"/>
        <v>4.094084558156414</v>
      </c>
      <c r="H71">
        <f t="shared" si="14"/>
        <v>4.094084558156414</v>
      </c>
      <c r="I71">
        <f t="shared" si="14"/>
        <v>4.094084558156414</v>
      </c>
      <c r="J71">
        <f t="shared" si="14"/>
        <v>4.094084558156414</v>
      </c>
      <c r="K71">
        <f t="shared" si="14"/>
        <v>4.094084558156414</v>
      </c>
      <c r="L71">
        <f t="shared" si="14"/>
        <v>4.094084558156414</v>
      </c>
      <c r="M71">
        <f t="shared" si="14"/>
        <v>4.094084558156414</v>
      </c>
      <c r="N71">
        <f t="shared" si="14"/>
        <v>4.094084558156414</v>
      </c>
    </row>
    <row r="72" spans="1:15">
      <c r="A72" s="22" t="s">
        <v>75</v>
      </c>
      <c r="B72" s="2">
        <v>20</v>
      </c>
      <c r="D72">
        <f>+$B72/7.5</f>
        <v>2.6666666666666665</v>
      </c>
      <c r="E72">
        <f>+$B72/7.5</f>
        <v>2.6666666666666665</v>
      </c>
      <c r="F72">
        <f>+$B72/7.5</f>
        <v>2.6666666666666665</v>
      </c>
      <c r="H72">
        <f>+$B72/7.5</f>
        <v>2.6666666666666665</v>
      </c>
      <c r="I72">
        <f>+$B72/7.5</f>
        <v>2.6666666666666665</v>
      </c>
      <c r="K72">
        <f>+$B72/7.5</f>
        <v>2.6666666666666665</v>
      </c>
      <c r="L72">
        <f>+$B72/7.5/2</f>
        <v>1.3333333333333333</v>
      </c>
      <c r="M72">
        <f>+$B72/7.5/2</f>
        <v>1.3333333333333333</v>
      </c>
      <c r="N72">
        <f>+$B72/7.5/2</f>
        <v>1.3333333333333333</v>
      </c>
    </row>
    <row r="73" spans="1:15">
      <c r="A73" s="22" t="s">
        <v>76</v>
      </c>
      <c r="B73" s="2">
        <v>31.999914903273385</v>
      </c>
      <c r="D73">
        <f>+$B73/4</f>
        <v>7.9999787258183463</v>
      </c>
      <c r="E73">
        <f>+$B73/4</f>
        <v>7.9999787258183463</v>
      </c>
      <c r="F73">
        <f>+$B73/4</f>
        <v>7.9999787258183463</v>
      </c>
      <c r="G73">
        <f>+$B73/4</f>
        <v>7.9999787258183463</v>
      </c>
    </row>
    <row r="74" spans="1:15">
      <c r="A74" s="22" t="s">
        <v>77</v>
      </c>
      <c r="B74" s="2">
        <v>48.000008509696798</v>
      </c>
      <c r="C74">
        <f t="shared" ref="C74:N74" si="15">+$B74/12</f>
        <v>4.0000007091413998</v>
      </c>
      <c r="D74">
        <f t="shared" si="15"/>
        <v>4.0000007091413998</v>
      </c>
      <c r="E74">
        <f t="shared" si="15"/>
        <v>4.0000007091413998</v>
      </c>
      <c r="F74">
        <f t="shared" si="15"/>
        <v>4.0000007091413998</v>
      </c>
      <c r="G74">
        <f t="shared" si="15"/>
        <v>4.0000007091413998</v>
      </c>
      <c r="H74">
        <f t="shared" si="15"/>
        <v>4.0000007091413998</v>
      </c>
      <c r="I74">
        <f t="shared" si="15"/>
        <v>4.0000007091413998</v>
      </c>
      <c r="J74">
        <f t="shared" si="15"/>
        <v>4.0000007091413998</v>
      </c>
      <c r="K74">
        <f t="shared" si="15"/>
        <v>4.0000007091413998</v>
      </c>
      <c r="L74">
        <f t="shared" si="15"/>
        <v>4.0000007091413998</v>
      </c>
      <c r="M74">
        <f t="shared" si="15"/>
        <v>4.0000007091413998</v>
      </c>
      <c r="N74">
        <f t="shared" si="15"/>
        <v>4.0000007091413998</v>
      </c>
    </row>
    <row r="75" spans="1:15">
      <c r="A75" s="22" t="s">
        <v>78</v>
      </c>
      <c r="B75" s="2">
        <v>17.002637528259228</v>
      </c>
      <c r="G75">
        <f>+B75</f>
        <v>17.002637528259228</v>
      </c>
    </row>
    <row r="76" spans="1:15">
      <c r="A76" s="22" t="s">
        <v>79</v>
      </c>
      <c r="B76" s="2">
        <v>58.000017994465409</v>
      </c>
      <c r="C76">
        <f t="shared" ref="C76:N77" si="16">+$B76/12</f>
        <v>4.8333348328721177</v>
      </c>
      <c r="D76">
        <f t="shared" si="16"/>
        <v>4.8333348328721177</v>
      </c>
      <c r="E76">
        <f t="shared" si="16"/>
        <v>4.8333348328721177</v>
      </c>
      <c r="F76">
        <f t="shared" si="16"/>
        <v>4.8333348328721177</v>
      </c>
      <c r="G76">
        <f t="shared" si="16"/>
        <v>4.8333348328721177</v>
      </c>
      <c r="H76">
        <f t="shared" si="16"/>
        <v>4.8333348328721177</v>
      </c>
      <c r="I76">
        <f t="shared" si="16"/>
        <v>4.8333348328721177</v>
      </c>
      <c r="J76">
        <f t="shared" si="16"/>
        <v>4.8333348328721177</v>
      </c>
      <c r="K76">
        <f t="shared" si="16"/>
        <v>4.8333348328721177</v>
      </c>
      <c r="L76">
        <f t="shared" si="16"/>
        <v>4.8333348328721177</v>
      </c>
      <c r="M76">
        <f t="shared" si="16"/>
        <v>4.8333348328721177</v>
      </c>
      <c r="N76">
        <f t="shared" si="16"/>
        <v>4.8333348328721177</v>
      </c>
    </row>
    <row r="77" spans="1:15">
      <c r="A77" s="22" t="s">
        <v>80</v>
      </c>
      <c r="B77" s="2">
        <v>11.000007313024252</v>
      </c>
      <c r="C77">
        <f t="shared" si="16"/>
        <v>0.91666727608535437</v>
      </c>
      <c r="D77">
        <f t="shared" si="16"/>
        <v>0.91666727608535437</v>
      </c>
      <c r="E77">
        <f t="shared" si="16"/>
        <v>0.91666727608535437</v>
      </c>
      <c r="F77">
        <f t="shared" si="16"/>
        <v>0.91666727608535437</v>
      </c>
      <c r="G77">
        <f t="shared" si="16"/>
        <v>0.91666727608535437</v>
      </c>
      <c r="H77">
        <f t="shared" si="16"/>
        <v>0.91666727608535437</v>
      </c>
      <c r="I77">
        <f t="shared" si="16"/>
        <v>0.91666727608535437</v>
      </c>
      <c r="J77">
        <f t="shared" si="16"/>
        <v>0.91666727608535437</v>
      </c>
      <c r="K77">
        <f t="shared" si="16"/>
        <v>0.91666727608535437</v>
      </c>
      <c r="L77">
        <f t="shared" si="16"/>
        <v>0.91666727608535437</v>
      </c>
      <c r="M77">
        <f t="shared" si="16"/>
        <v>0.91666727608535437</v>
      </c>
      <c r="N77">
        <f t="shared" si="16"/>
        <v>0.91666727608535437</v>
      </c>
    </row>
    <row r="78" spans="1:15">
      <c r="A78" s="22" t="s">
        <v>81</v>
      </c>
      <c r="B78" s="2">
        <v>62.999986038784257</v>
      </c>
      <c r="C78">
        <f>+B78</f>
        <v>62.999986038784257</v>
      </c>
    </row>
    <row r="79" spans="1:15">
      <c r="A79" s="22" t="s">
        <v>82</v>
      </c>
      <c r="B79" s="2">
        <v>29.999933518152869</v>
      </c>
      <c r="C79">
        <f>+$B79*0.13</f>
        <v>3.8999913573598732</v>
      </c>
      <c r="D79">
        <f>+$B79*0.13</f>
        <v>3.8999913573598732</v>
      </c>
      <c r="E79">
        <f>+$B79*0.07</f>
        <v>2.0999953462707008</v>
      </c>
      <c r="F79">
        <f>+$B79*0.07</f>
        <v>2.0999953462707008</v>
      </c>
      <c r="G79" s="2"/>
      <c r="H79">
        <f>+$B79*0.07</f>
        <v>2.0999953462707008</v>
      </c>
      <c r="I79">
        <f>+$B79*0.07</f>
        <v>2.0999953462707008</v>
      </c>
      <c r="J79">
        <f>+$B79*0.07</f>
        <v>2.0999953462707008</v>
      </c>
      <c r="K79">
        <f>+$B79*0.07</f>
        <v>2.0999953462707008</v>
      </c>
      <c r="L79">
        <f>+$B79*0.13</f>
        <v>3.8999913573598732</v>
      </c>
      <c r="M79">
        <f>+$B79*0.06</f>
        <v>1.799996011089172</v>
      </c>
      <c r="N79">
        <f>+$B79*0.13</f>
        <v>3.8999913573598732</v>
      </c>
    </row>
    <row r="80" spans="1:15">
      <c r="A80" s="22" t="s">
        <v>118</v>
      </c>
      <c r="B80" s="2">
        <v>113.00008013302082</v>
      </c>
      <c r="C80" s="2">
        <f>+B80</f>
        <v>113.00008013302082</v>
      </c>
    </row>
    <row r="81" spans="1:15" ht="15.75" thickBot="1">
      <c r="A81" s="22" t="s">
        <v>119</v>
      </c>
      <c r="B81" s="2">
        <v>20</v>
      </c>
      <c r="C81">
        <f>+$B81/12</f>
        <v>1.6666666666666667</v>
      </c>
      <c r="D81">
        <f t="shared" ref="D81:N81" si="17">+$B81/12</f>
        <v>1.6666666666666667</v>
      </c>
      <c r="E81">
        <f t="shared" si="17"/>
        <v>1.6666666666666667</v>
      </c>
      <c r="F81">
        <f t="shared" si="17"/>
        <v>1.6666666666666667</v>
      </c>
      <c r="G81">
        <f t="shared" si="17"/>
        <v>1.6666666666666667</v>
      </c>
      <c r="H81">
        <f t="shared" si="17"/>
        <v>1.6666666666666667</v>
      </c>
      <c r="I81">
        <f t="shared" si="17"/>
        <v>1.6666666666666667</v>
      </c>
      <c r="J81">
        <f t="shared" si="17"/>
        <v>1.6666666666666667</v>
      </c>
      <c r="K81">
        <f t="shared" si="17"/>
        <v>1.6666666666666667</v>
      </c>
      <c r="L81">
        <f t="shared" si="17"/>
        <v>1.6666666666666667</v>
      </c>
      <c r="M81">
        <f t="shared" si="17"/>
        <v>1.6666666666666667</v>
      </c>
      <c r="N81">
        <f t="shared" si="17"/>
        <v>1.6666666666666667</v>
      </c>
    </row>
    <row r="82" spans="1:15" ht="15.75" thickBot="1">
      <c r="A82" s="37" t="s">
        <v>110</v>
      </c>
      <c r="B82" s="31">
        <v>700.09296263374108</v>
      </c>
      <c r="C82" s="34">
        <f t="shared" ref="C82:N82" si="18">SUM(C66:C81)</f>
        <v>195.48339368059715</v>
      </c>
      <c r="D82" s="35">
        <f t="shared" si="18"/>
        <v>33.077390792766842</v>
      </c>
      <c r="E82" s="35">
        <f t="shared" si="18"/>
        <v>32.444061448344335</v>
      </c>
      <c r="F82" s="35">
        <f t="shared" si="18"/>
        <v>83.905112386214228</v>
      </c>
      <c r="G82" s="35">
        <f t="shared" si="18"/>
        <v>50.88003980023381</v>
      </c>
      <c r="H82" s="35">
        <f t="shared" si="18"/>
        <v>35.477418892426932</v>
      </c>
      <c r="I82" s="35">
        <f t="shared" si="18"/>
        <v>43.310752225760268</v>
      </c>
      <c r="J82" s="35">
        <f t="shared" si="18"/>
        <v>37.077416765001225</v>
      </c>
      <c r="K82" s="35">
        <f t="shared" si="18"/>
        <v>34.244083431667889</v>
      </c>
      <c r="L82" s="35">
        <f t="shared" si="18"/>
        <v>33.544079442757059</v>
      </c>
      <c r="M82" s="35">
        <f t="shared" si="18"/>
        <v>82.638466949405796</v>
      </c>
      <c r="N82" s="36">
        <f t="shared" si="18"/>
        <v>38.010746818565629</v>
      </c>
      <c r="O82" s="40">
        <f>SUM(C82:N82)</f>
        <v>700.09296263374119</v>
      </c>
    </row>
    <row r="83" spans="1:15" ht="15.75" thickBot="1">
      <c r="A83" s="152" t="s">
        <v>122</v>
      </c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</row>
    <row r="84" spans="1:15" ht="15.75" thickBot="1">
      <c r="A84" s="37" t="s">
        <v>111</v>
      </c>
      <c r="B84" s="29"/>
      <c r="C84" s="34">
        <f t="shared" ref="C84:N84" si="19">+C63+C82</f>
        <v>195.48339368059715</v>
      </c>
      <c r="D84" s="35">
        <f t="shared" si="19"/>
        <v>207.59675106212711</v>
      </c>
      <c r="E84" s="35">
        <f t="shared" si="19"/>
        <v>206.96342171770462</v>
      </c>
      <c r="F84" s="35">
        <f t="shared" si="19"/>
        <v>284.424605673592</v>
      </c>
      <c r="G84" s="35">
        <f t="shared" si="19"/>
        <v>82.38003979890749</v>
      </c>
      <c r="H84" s="35">
        <f t="shared" si="19"/>
        <v>328.2353189793746</v>
      </c>
      <c r="I84" s="35">
        <f t="shared" si="19"/>
        <v>212.14846000501558</v>
      </c>
      <c r="J84" s="35">
        <f t="shared" si="19"/>
        <v>212.51031685194886</v>
      </c>
      <c r="K84" s="35">
        <f t="shared" si="19"/>
        <v>34.244083431667889</v>
      </c>
      <c r="L84" s="35">
        <f t="shared" si="19"/>
        <v>51.965120555345713</v>
      </c>
      <c r="M84" s="35">
        <f t="shared" si="19"/>
        <v>82.638466949405796</v>
      </c>
      <c r="N84" s="36">
        <f t="shared" si="19"/>
        <v>69.510746817239308</v>
      </c>
      <c r="O84" s="40">
        <f>SUM(C84:N84)</f>
        <v>1968.100725522926</v>
      </c>
    </row>
  </sheetData>
  <mergeCells count="1">
    <mergeCell ref="A83:O83"/>
  </mergeCells>
  <conditionalFormatting sqref="C20:N61 C66:N82">
    <cfRule type="notContainsBlanks" dxfId="373" priority="6">
      <formula>LEN(TRIM(C20))&gt;0</formula>
    </cfRule>
    <cfRule type="containsBlanks" dxfId="372" priority="7">
      <formula>LEN(TRIM(C20))=0</formula>
    </cfRule>
  </conditionalFormatting>
  <conditionalFormatting sqref="C63:O63">
    <cfRule type="notContainsBlanks" dxfId="371" priority="4">
      <formula>LEN(TRIM(C63))&gt;0</formula>
    </cfRule>
    <cfRule type="containsBlanks" dxfId="370" priority="5">
      <formula>LEN(TRIM(C63))=0</formula>
    </cfRule>
  </conditionalFormatting>
  <conditionalFormatting sqref="C84:O84">
    <cfRule type="notContainsBlanks" dxfId="369" priority="1">
      <formula>LEN(TRIM(C84))&gt;0</formula>
    </cfRule>
    <cfRule type="containsBlanks" dxfId="368" priority="2">
      <formula>LEN(TRIM(C84))=0</formula>
    </cfRule>
  </conditionalFormatting>
  <conditionalFormatting sqref="O82">
    <cfRule type="notContainsBlanks" dxfId="367" priority="3">
      <formula>LEN(TRIM(O82))&gt;0</formula>
    </cfRule>
    <cfRule type="containsBlanks" dxfId="366" priority="8">
      <formula>LEN(TRIM(O82))=0</formula>
    </cfRule>
  </conditionalFormatting>
  <pageMargins left="0.7" right="0.7" top="0.75" bottom="0.75" header="0.3" footer="0.3"/>
  <ignoredErrors>
    <ignoredError sqref="C79 M79 G75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85"/>
  <sheetViews>
    <sheetView zoomScale="90" zoomScaleNormal="90" workbookViewId="0">
      <pane xSplit="2" ySplit="19" topLeftCell="C40" activePane="bottomRight" state="frozen"/>
      <selection pane="topRight" activeCell="C1" sqref="C1"/>
      <selection pane="bottomLeft" activeCell="A3" sqref="A3"/>
      <selection pane="bottomRight" activeCell="J59" sqref="J59"/>
    </sheetView>
  </sheetViews>
  <sheetFormatPr baseColWidth="10" defaultRowHeight="15" outlineLevelRow="1"/>
  <cols>
    <col min="1" max="1" width="35.42578125" bestFit="1" customWidth="1"/>
    <col min="2" max="2" width="11.28515625" bestFit="1" customWidth="1"/>
    <col min="3" max="4" width="10.42578125" bestFit="1" customWidth="1"/>
    <col min="5" max="5" width="10.140625" bestFit="1" customWidth="1"/>
    <col min="6" max="6" width="10.42578125" bestFit="1" customWidth="1"/>
    <col min="8" max="8" width="10.42578125" bestFit="1" customWidth="1"/>
    <col min="9" max="9" width="11" bestFit="1" customWidth="1"/>
    <col min="10" max="10" width="10.42578125" bestFit="1" customWidth="1"/>
    <col min="11" max="11" width="10.140625" bestFit="1" customWidth="1"/>
    <col min="12" max="12" width="10.42578125" bestFit="1" customWidth="1"/>
    <col min="13" max="13" width="10.140625" bestFit="1" customWidth="1"/>
    <col min="14" max="14" width="9.85546875" bestFit="1" customWidth="1"/>
  </cols>
  <sheetData>
    <row r="1" spans="1:18" hidden="1" outlineLevel="1">
      <c r="A1" s="30" t="s">
        <v>120</v>
      </c>
      <c r="B1" s="41" t="s">
        <v>121</v>
      </c>
      <c r="C1" s="42">
        <f>+INDEX(Tabla2[Precio Jornal],MATCH(C$19,Tabla2[Mes],0))</f>
        <v>19319.199999999997</v>
      </c>
      <c r="D1" s="42">
        <f>+INDEX(Tabla2[Precio Jornal],MATCH(D$19,Tabla2[Mes],0))</f>
        <v>19646</v>
      </c>
      <c r="E1" s="42">
        <f>+INDEX(Tabla2[Precio Jornal],MATCH(E$19,Tabla2[Mes],0))</f>
        <v>19976.599999999999</v>
      </c>
      <c r="F1" s="42">
        <f>+INDEX(Tabla2[Precio Jornal],MATCH(F$19,Tabla2[Mes],0))</f>
        <v>20312.899999999998</v>
      </c>
      <c r="G1" s="42">
        <f>+INDEX(Tabla2[Precio Jornal],MATCH(G$19,Tabla2[Mes],0))</f>
        <v>20654.899999999998</v>
      </c>
      <c r="H1" s="42">
        <f>+INDEX(Tabla2[Precio Jornal],MATCH(H$19,Tabla2[Mes],0))</f>
        <v>21002.6</v>
      </c>
      <c r="I1" s="42">
        <f>+INDEX(Tabla2[Precio Jornal],MATCH(I$19,Tabla2[Mes],0))</f>
        <v>21357.9</v>
      </c>
      <c r="J1" s="42">
        <f>+INDEX(Tabla2[Precio Jornal],MATCH(J$19,Tabla2[Mes],0))</f>
        <v>21717</v>
      </c>
      <c r="K1" s="42">
        <f>+INDEX(Tabla2[Precio Jornal],MATCH(K$19,Tabla2[Mes],0))</f>
        <v>22083.7</v>
      </c>
      <c r="L1" s="42">
        <f>+INDEX(Tabla2[Precio Jornal],MATCH(L$19,Tabla2[Mes],0))</f>
        <v>22454.2</v>
      </c>
      <c r="M1" s="42">
        <f>+INDEX(Tabla2[Precio Jornal],MATCH(M$19,Tabla2[Mes],0))</f>
        <v>22834.2</v>
      </c>
      <c r="N1" s="42">
        <f>+INDEX(Tabla2[Precio Jornal],MATCH(N$19,Tabla2[Mes],0))</f>
        <v>23218</v>
      </c>
    </row>
    <row r="2" spans="1:18" hidden="1" outlineLevel="1">
      <c r="A2" s="30" t="s">
        <v>123</v>
      </c>
      <c r="B2" s="29"/>
      <c r="C2" s="44">
        <v>23.5</v>
      </c>
      <c r="D2" s="44">
        <v>20.5</v>
      </c>
      <c r="E2" s="44">
        <v>24</v>
      </c>
      <c r="F2" s="44">
        <v>24</v>
      </c>
      <c r="G2" s="44">
        <v>23</v>
      </c>
      <c r="H2" s="44">
        <v>24.5</v>
      </c>
      <c r="I2" s="44">
        <v>22.5</v>
      </c>
      <c r="J2" s="44">
        <v>23</v>
      </c>
      <c r="K2" s="44">
        <v>24</v>
      </c>
      <c r="L2" s="44">
        <v>20.5</v>
      </c>
      <c r="M2" s="44">
        <v>23</v>
      </c>
      <c r="N2" s="44">
        <v>22</v>
      </c>
    </row>
    <row r="3" spans="1:18" hidden="1" outlineLevel="1">
      <c r="A3" s="30" t="s">
        <v>134</v>
      </c>
      <c r="B3" s="45">
        <v>3</v>
      </c>
      <c r="C3" s="46">
        <f>+$B3*C2</f>
        <v>70.5</v>
      </c>
      <c r="D3" s="46">
        <f>+$B3*D2</f>
        <v>61.5</v>
      </c>
      <c r="E3" s="46">
        <f t="shared" ref="E3:N3" si="0">+$B3*E2</f>
        <v>72</v>
      </c>
      <c r="F3" s="46">
        <f t="shared" si="0"/>
        <v>72</v>
      </c>
      <c r="G3" s="46">
        <f t="shared" si="0"/>
        <v>69</v>
      </c>
      <c r="H3" s="46">
        <f t="shared" si="0"/>
        <v>73.5</v>
      </c>
      <c r="I3" s="46">
        <f t="shared" si="0"/>
        <v>67.5</v>
      </c>
      <c r="J3" s="46">
        <f t="shared" si="0"/>
        <v>69</v>
      </c>
      <c r="K3" s="46">
        <f t="shared" si="0"/>
        <v>72</v>
      </c>
      <c r="L3" s="46">
        <f t="shared" si="0"/>
        <v>61.5</v>
      </c>
      <c r="M3" s="46">
        <f t="shared" si="0"/>
        <v>69</v>
      </c>
      <c r="N3" s="46">
        <f t="shared" si="0"/>
        <v>66</v>
      </c>
      <c r="O3" t="s">
        <v>164</v>
      </c>
      <c r="P3" t="s">
        <v>165</v>
      </c>
      <c r="Q3" t="s">
        <v>166</v>
      </c>
      <c r="R3" t="s">
        <v>167</v>
      </c>
    </row>
    <row r="4" spans="1:18" hidden="1" outlineLevel="1">
      <c r="A4" s="30" t="s">
        <v>132</v>
      </c>
      <c r="B4" s="61">
        <f>+SUMIF(TablaGeneral[Finca],"La Chimbera",TablaGeneral[Resumen Jornales totales de Cosecha])</f>
        <v>283.04332210357182</v>
      </c>
      <c r="C4" s="49"/>
      <c r="D4" s="49"/>
      <c r="E4" s="49"/>
      <c r="F4" s="49"/>
      <c r="G4" s="49"/>
      <c r="H4" s="49"/>
      <c r="I4" s="49"/>
      <c r="J4" s="49"/>
      <c r="K4" s="49">
        <f>+B4*0.2</f>
        <v>56.608664420714369</v>
      </c>
      <c r="L4" s="49">
        <f>+B4*0.4</f>
        <v>113.21732884142874</v>
      </c>
      <c r="M4" s="49">
        <f>+B4*0.4</f>
        <v>113.21732884142874</v>
      </c>
      <c r="N4" s="49"/>
      <c r="O4" s="2">
        <f>SUM(C4:N4)</f>
        <v>283.04332210357182</v>
      </c>
      <c r="P4" s="2">
        <f>SUM(C5:N5)</f>
        <v>315.00946296110129</v>
      </c>
      <c r="Q4" s="2">
        <f>+O85</f>
        <v>2516.622641695657</v>
      </c>
      <c r="R4" s="62">
        <f>+(O4+P4+Q4)/SUMIFS(TablaGeneral[Has],TablaGeneral[Finca],A18)</f>
        <v>77.287231433258796</v>
      </c>
    </row>
    <row r="5" spans="1:18" hidden="1" outlineLevel="1">
      <c r="A5" s="30" t="s">
        <v>133</v>
      </c>
      <c r="B5" s="61">
        <f>+SUMIFS(TablaGeneral[Resumen Jornales totales de Secado],TablaGeneral[Finca],"La Chimbera")</f>
        <v>315.04779992296801</v>
      </c>
      <c r="C5" s="49">
        <f>+$B5*C18</f>
        <v>43.353779283828672</v>
      </c>
      <c r="D5" s="49">
        <f t="shared" ref="D5:N5" si="1">+$B5*D18</f>
        <v>37.326079030200461</v>
      </c>
      <c r="E5" s="49">
        <f t="shared" si="1"/>
        <v>0</v>
      </c>
      <c r="F5" s="49">
        <f t="shared" si="1"/>
        <v>0</v>
      </c>
      <c r="G5" s="49">
        <f t="shared" si="1"/>
        <v>3.0138501268141074</v>
      </c>
      <c r="H5" s="49">
        <f t="shared" si="1"/>
        <v>0</v>
      </c>
      <c r="I5" s="49">
        <f t="shared" si="1"/>
        <v>0</v>
      </c>
      <c r="J5" s="49">
        <f t="shared" si="1"/>
        <v>1.0046167089380358</v>
      </c>
      <c r="K5" s="49">
        <f t="shared" si="1"/>
        <v>24.900823469081786</v>
      </c>
      <c r="L5" s="49">
        <f t="shared" si="1"/>
        <v>81.908208082054571</v>
      </c>
      <c r="M5" s="49">
        <f t="shared" si="1"/>
        <v>76.129860140602815</v>
      </c>
      <c r="N5" s="49">
        <f t="shared" si="1"/>
        <v>47.372246119580815</v>
      </c>
      <c r="Q5">
        <f>+Q4/40</f>
        <v>62.915566042391426</v>
      </c>
    </row>
    <row r="6" spans="1:18" hidden="1" outlineLevel="1">
      <c r="A6" s="30" t="s">
        <v>125</v>
      </c>
      <c r="B6" s="52">
        <f t="shared" ref="B6:B17" si="2">SUM(C6:N6)</f>
        <v>2291.175426760331</v>
      </c>
      <c r="C6" s="51">
        <f t="shared" ref="C6:N6" si="3">+(C5+C4+C85)-C3</f>
        <v>165.54062359554405</v>
      </c>
      <c r="D6" s="51">
        <f t="shared" si="3"/>
        <v>267.97623476023608</v>
      </c>
      <c r="E6" s="51">
        <f t="shared" si="3"/>
        <v>218.84973887037842</v>
      </c>
      <c r="F6" s="51">
        <f t="shared" si="3"/>
        <v>261.63731051963225</v>
      </c>
      <c r="G6" s="51">
        <f t="shared" si="3"/>
        <v>68.725773092954341</v>
      </c>
      <c r="H6" s="51">
        <f t="shared" si="3"/>
        <v>236.30147065363275</v>
      </c>
      <c r="I6" s="51">
        <f t="shared" si="3"/>
        <v>347.79934385657759</v>
      </c>
      <c r="J6" s="51">
        <f t="shared" si="3"/>
        <v>265.64768413860213</v>
      </c>
      <c r="K6" s="51">
        <f t="shared" si="3"/>
        <v>42.713808390176524</v>
      </c>
      <c r="L6" s="51">
        <f t="shared" si="3"/>
        <v>192.83020907387504</v>
      </c>
      <c r="M6" s="51">
        <f t="shared" si="3"/>
        <v>199.65136378275059</v>
      </c>
      <c r="N6" s="51">
        <f t="shared" si="3"/>
        <v>23.501866025970969</v>
      </c>
    </row>
    <row r="7" spans="1:18" hidden="1" outlineLevel="1">
      <c r="A7" s="30" t="s">
        <v>360</v>
      </c>
      <c r="B7" s="53">
        <f t="shared" si="2"/>
        <v>48106735.849850766</v>
      </c>
      <c r="C7" s="53">
        <f>+C6*C1</f>
        <v>3198112.4153670343</v>
      </c>
      <c r="D7" s="53">
        <f t="shared" ref="D7:N7" si="4">+D6*D1</f>
        <v>5264661.1080995984</v>
      </c>
      <c r="E7" s="53">
        <f t="shared" si="4"/>
        <v>4371873.6935180016</v>
      </c>
      <c r="F7" s="53">
        <f t="shared" si="4"/>
        <v>5314612.5248542372</v>
      </c>
      <c r="G7" s="53">
        <f t="shared" si="4"/>
        <v>1419523.9706576625</v>
      </c>
      <c r="H7" s="53">
        <f t="shared" si="4"/>
        <v>4962945.267549987</v>
      </c>
      <c r="I7" s="53">
        <f t="shared" si="4"/>
        <v>7428263.606154399</v>
      </c>
      <c r="J7" s="53">
        <f t="shared" si="4"/>
        <v>5769070.7564380225</v>
      </c>
      <c r="K7" s="53">
        <f t="shared" si="4"/>
        <v>943278.93034614134</v>
      </c>
      <c r="L7" s="53">
        <f t="shared" si="4"/>
        <v>4329848.0805866048</v>
      </c>
      <c r="M7" s="53">
        <f t="shared" si="4"/>
        <v>4558879.170888084</v>
      </c>
      <c r="N7" s="53">
        <f t="shared" si="4"/>
        <v>545666.32539099397</v>
      </c>
      <c r="P7" s="43" t="s">
        <v>149</v>
      </c>
    </row>
    <row r="8" spans="1:18" hidden="1" outlineLevel="1">
      <c r="A8" s="30" t="s">
        <v>361</v>
      </c>
      <c r="B8" s="53">
        <f t="shared" si="2"/>
        <v>40608.531587027421</v>
      </c>
      <c r="C8" s="53">
        <f>+C7/INDEX(Tabla2[TC],MATCH(C19,Tabla2[Mes],0))</f>
        <v>2837.7217527657804</v>
      </c>
      <c r="D8" s="53">
        <f>+D7/INDEX(Tabla2[TC],MATCH(D19,Tabla2[Mes],0))</f>
        <v>4625.1426358417584</v>
      </c>
      <c r="E8" s="53">
        <f>+E7/INDEX(Tabla2[TC],MATCH(E19,Tabla2[Mes],0))</f>
        <v>3802.7777375880569</v>
      </c>
      <c r="F8" s="53">
        <f>+F7/INDEX(Tabla2[TC],MATCH(F19,Tabla2[Mes],0))</f>
        <v>4577.0280006001649</v>
      </c>
      <c r="G8" s="53">
        <f>+G7/INDEX(Tabla2[TC],MATCH(G19,Tabla2[Mes],0))</f>
        <v>1210.4122753542285</v>
      </c>
      <c r="H8" s="53">
        <f>+H7/INDEX(Tabla2[TC],MATCH(H19,Tabla2[Mes],0))</f>
        <v>4189.9486526567061</v>
      </c>
      <c r="I8" s="53">
        <f>+I7/INDEX(Tabla2[TC],MATCH(I19,Tabla2[Mes],0))</f>
        <v>6209.1928450665328</v>
      </c>
      <c r="J8" s="53">
        <f>+J7/INDEX(Tabla2[TC],MATCH(J19,Tabla2[Mes],0))</f>
        <v>4774.5487607920977</v>
      </c>
      <c r="K8" s="53">
        <f>+K7/INDEX(Tabla2[TC],MATCH(K19,Tabla2[Mes],0))</f>
        <v>772.93901179744728</v>
      </c>
      <c r="L8" s="53">
        <f>+L7/INDEX(Tabla2[TC],MATCH(L19,Tabla2[Mes],0))</f>
        <v>3512.8238979494954</v>
      </c>
      <c r="M8" s="53">
        <f>+M7/INDEX(Tabla2[TC],MATCH(M19,Tabla2[Mes],0))</f>
        <v>3662.0176055248858</v>
      </c>
      <c r="N8" s="53">
        <f>+N7/INDEX(Tabla2[TC],MATCH(N19,Tabla2[Mes],0))</f>
        <v>433.97841109027161</v>
      </c>
      <c r="P8" s="53">
        <f>+B8/SUMIFS(TablaGeneral[Has],TablaGeneral[Finca],A18)</f>
        <v>1007.6558706458416</v>
      </c>
    </row>
    <row r="9" spans="1:18" hidden="1" outlineLevel="1">
      <c r="A9" s="30" t="s">
        <v>152</v>
      </c>
      <c r="B9" s="57">
        <f t="shared" si="2"/>
        <v>2262.2737678168592</v>
      </c>
      <c r="C9" s="57">
        <f>+(SUM(C20:C25,C34:C39,C48:C53,C74)*13)</f>
        <v>48.772585128561502</v>
      </c>
      <c r="D9" s="57">
        <f t="shared" ref="D9:N9" si="5">+(SUM(D20:D25,D34:D39,D48:D53,D74)*13)</f>
        <v>48.772585128561502</v>
      </c>
      <c r="E9" s="57">
        <f t="shared" si="5"/>
        <v>48.772585128561502</v>
      </c>
      <c r="F9" s="57">
        <f t="shared" si="5"/>
        <v>295.61348036275808</v>
      </c>
      <c r="G9" s="57">
        <f t="shared" si="5"/>
        <v>398.23732350886587</v>
      </c>
      <c r="H9" s="57">
        <f t="shared" si="5"/>
        <v>348.16874423235242</v>
      </c>
      <c r="I9" s="57">
        <f t="shared" si="5"/>
        <v>384.17306190647633</v>
      </c>
      <c r="J9" s="57">
        <f t="shared" si="5"/>
        <v>126.7725851285615</v>
      </c>
      <c r="K9" s="57">
        <f t="shared" si="5"/>
        <v>48.772585128561502</v>
      </c>
      <c r="L9" s="57">
        <f t="shared" si="5"/>
        <v>384.17306190647633</v>
      </c>
      <c r="M9" s="57">
        <f t="shared" si="5"/>
        <v>48.772585128561502</v>
      </c>
      <c r="N9" s="57">
        <f t="shared" si="5"/>
        <v>81.272585128561502</v>
      </c>
    </row>
    <row r="10" spans="1:18" hidden="1" outlineLevel="1">
      <c r="A10" s="30" t="s">
        <v>154</v>
      </c>
      <c r="B10" s="57">
        <f t="shared" si="2"/>
        <v>1207.2826930465728</v>
      </c>
      <c r="C10" s="57">
        <f>+SUM(TablaGeneral[Tractor Volcado de bins],TablaGeneral[Tractor Cincelado de piedras],TablaGeneral[Tractor Carga de pasa],TablaGeneral[Tractor Descarga y carga de bines con tracto elevador],TablaGeneral[Descarga y carga de bines con Autoelevador])*10*C18*0.28</f>
        <v>166.15458759723231</v>
      </c>
      <c r="D10" s="57">
        <f>+SUM(TablaGeneral[Tractor Volcado de bins],TablaGeneral[Tractor Cincelado de piedras],TablaGeneral[Tractor Carga de pasa],TablaGeneral[Tractor Descarga y carga de bines con tracto elevador],TablaGeneral[Descarga y carga de bines con Autoelevador])*10*D18*0.28</f>
        <v>143.05325557160867</v>
      </c>
      <c r="E10" s="57">
        <f>+SUM(TablaGeneral[Tractor Volcado de bins],TablaGeneral[Tractor Cincelado de piedras],TablaGeneral[Tractor Carga de pasa],TablaGeneral[Tractor Descarga y carga de bines con tracto elevador],TablaGeneral[Descarga y carga de bines con Autoelevador])*10*E18*0.28</f>
        <v>0</v>
      </c>
      <c r="F10" s="57">
        <f>+SUM(TablaGeneral[Tractor Volcado de bins],TablaGeneral[Tractor Cincelado de piedras],TablaGeneral[Tractor Carga de pasa],TablaGeneral[Tractor Descarga y carga de bines con tracto elevador],TablaGeneral[Descarga y carga de bines con Autoelevador])*10*F18*0.28</f>
        <v>0</v>
      </c>
      <c r="G10" s="57">
        <f>+SUM(TablaGeneral[Tractor Volcado de bins],TablaGeneral[Tractor Cincelado de piedras],TablaGeneral[Tractor Carga de pasa],TablaGeneral[Tractor Descarga y carga de bines con tracto elevador],TablaGeneral[Descarga y carga de bines con Autoelevador])*10*G18*0.28</f>
        <v>11.550666012811801</v>
      </c>
      <c r="H10" s="57">
        <f>+SUM(TablaGeneral[Tractor Volcado de bins],TablaGeneral[Tractor Cincelado de piedras],TablaGeneral[Tractor Carga de pasa],TablaGeneral[Tractor Descarga y carga de bines con tracto elevador],TablaGeneral[Descarga y carga de bines con Autoelevador])*10*H18*0.28</f>
        <v>0</v>
      </c>
      <c r="I10" s="57">
        <f>+SUM(TablaGeneral[Tractor Volcado de bins],TablaGeneral[Tractor Cincelado de piedras],TablaGeneral[Tractor Carga de pasa],TablaGeneral[Tractor Descarga y carga de bines con tracto elevador],TablaGeneral[Descarga y carga de bines con Autoelevador])*10*I18*0.28</f>
        <v>0</v>
      </c>
      <c r="J10" s="57">
        <f>+SUM(TablaGeneral[Tractor Volcado de bins],TablaGeneral[Tractor Cincelado de piedras],TablaGeneral[Tractor Carga de pasa],TablaGeneral[Tractor Descarga y carga de bines con tracto elevador],TablaGeneral[Descarga y carga de bines con Autoelevador])*10*J18*0.28</f>
        <v>3.8502220042706008</v>
      </c>
      <c r="K10" s="57">
        <f>+SUM(TablaGeneral[Tractor Volcado de bins],TablaGeneral[Tractor Cincelado de piedras],TablaGeneral[Tractor Carga de pasa],TablaGeneral[Tractor Descarga y carga de bines con tracto elevador],TablaGeneral[Descarga y carga de bines con Autoelevador])*10*K18*0.28</f>
        <v>95.433111546057233</v>
      </c>
      <c r="L10" s="57">
        <f>+SUM(TablaGeneral[Tractor Volcado de bins],TablaGeneral[Tractor Cincelado de piedras],TablaGeneral[Tractor Carga de pasa],TablaGeneral[Tractor Descarga y carga de bines con tracto elevador],TablaGeneral[Descarga y carga de bines con Autoelevador])*10*L18*0.28</f>
        <v>313.91552846186346</v>
      </c>
      <c r="M10" s="57">
        <f>+SUM(TablaGeneral[Tractor Volcado de bins],TablaGeneral[Tractor Cincelado de piedras],TablaGeneral[Tractor Carga de pasa],TablaGeneral[Tractor Descarga y carga de bines con tracto elevador],TablaGeneral[Descarga y carga de bines con Autoelevador])*10*M18*0.28</f>
        <v>291.76984623841406</v>
      </c>
      <c r="N10" s="57">
        <f>+SUM(TablaGeneral[Tractor Volcado de bins],TablaGeneral[Tractor Cincelado de piedras],TablaGeneral[Tractor Carga de pasa],TablaGeneral[Tractor Descarga y carga de bines con tracto elevador],TablaGeneral[Descarga y carga de bines con Autoelevador])*10*N18*0.28</f>
        <v>181.55547561431467</v>
      </c>
    </row>
    <row r="11" spans="1:18" hidden="1" outlineLevel="1">
      <c r="A11" s="30" t="s">
        <v>153</v>
      </c>
      <c r="B11" s="57">
        <f t="shared" si="2"/>
        <v>2150.104585006693</v>
      </c>
      <c r="C11" s="57"/>
      <c r="D11" s="57"/>
      <c r="E11" s="57"/>
      <c r="F11" s="57"/>
      <c r="G11" s="57"/>
      <c r="H11" s="57"/>
      <c r="I11" s="57"/>
      <c r="J11" s="57"/>
      <c r="K11" s="57">
        <f>+(SUMIFS(TablaGeneral[Tracto elevador],TablaGeneral[Finca],A18)+SUMIFS(TablaGeneral[Tractor con uñas],TablaGeneral[Finca],A18)+SUMIFS(TablaGeneral[Tractor con acoplado],TablaGeneral[Finca],A18))*0.2*10</f>
        <v>430.0209170013386</v>
      </c>
      <c r="L11" s="57">
        <f>+(SUMIFS(TablaGeneral[Tracto elevador],TablaGeneral[Finca],A18)+SUMIFS(TablaGeneral[Tractor con uñas],TablaGeneral[Finca],A18)+SUMIFS(TablaGeneral[Tractor con acoplado],TablaGeneral[Finca],A18))*0.4*10</f>
        <v>860.04183400267721</v>
      </c>
      <c r="M11" s="57">
        <f>+(SUMIFS(TablaGeneral[Tracto elevador],TablaGeneral[Finca],A18)+SUMIFS(TablaGeneral[Tractor con uñas],TablaGeneral[Finca],A18)+SUMIFS(TablaGeneral[Tractor con acoplado],TablaGeneral[Finca],A18))*0.4*10</f>
        <v>860.04183400267721</v>
      </c>
      <c r="N11" s="57"/>
    </row>
    <row r="12" spans="1:18" hidden="1" outlineLevel="1">
      <c r="A12" s="30" t="s">
        <v>305</v>
      </c>
      <c r="B12" s="57">
        <f t="shared" ref="B12:B13" si="6">SUM(C12:N12)</f>
        <v>5619.6610458701243</v>
      </c>
      <c r="C12" s="57">
        <f>SUM(C9:C11)</f>
        <v>214.92717272579381</v>
      </c>
      <c r="D12" s="57">
        <f t="shared" ref="D12:N12" si="7">SUM(D9:D11)</f>
        <v>191.82584070017018</v>
      </c>
      <c r="E12" s="57">
        <f t="shared" si="7"/>
        <v>48.772585128561502</v>
      </c>
      <c r="F12" s="57">
        <f t="shared" si="7"/>
        <v>295.61348036275808</v>
      </c>
      <c r="G12" s="57">
        <f t="shared" si="7"/>
        <v>409.78798952167767</v>
      </c>
      <c r="H12" s="57">
        <f t="shared" si="7"/>
        <v>348.16874423235242</v>
      </c>
      <c r="I12" s="57">
        <f t="shared" si="7"/>
        <v>384.17306190647633</v>
      </c>
      <c r="J12" s="57">
        <f t="shared" si="7"/>
        <v>130.62280713283209</v>
      </c>
      <c r="K12" s="57">
        <f t="shared" si="7"/>
        <v>574.22661367595731</v>
      </c>
      <c r="L12" s="57">
        <f t="shared" si="7"/>
        <v>1558.1304243710169</v>
      </c>
      <c r="M12" s="57">
        <f t="shared" si="7"/>
        <v>1200.5842653696527</v>
      </c>
      <c r="N12" s="57">
        <f t="shared" si="7"/>
        <v>262.82806074287618</v>
      </c>
    </row>
    <row r="13" spans="1:18" hidden="1" outlineLevel="1">
      <c r="A13" s="30" t="s">
        <v>304</v>
      </c>
      <c r="B13" s="82">
        <f t="shared" si="6"/>
        <v>121.75932266051937</v>
      </c>
      <c r="C13" s="82">
        <f>+(C12/100)+(C12/150)+(C12/200)</f>
        <v>4.6567554090588654</v>
      </c>
      <c r="D13" s="82">
        <f t="shared" ref="D13:N13" si="8">+(D12/100)+(D12/150)+(D12/200)</f>
        <v>4.1562265485036871</v>
      </c>
      <c r="E13" s="82">
        <f t="shared" si="8"/>
        <v>1.0567393444521658</v>
      </c>
      <c r="F13" s="82">
        <f t="shared" si="8"/>
        <v>6.4049587411930915</v>
      </c>
      <c r="G13" s="82">
        <f t="shared" si="8"/>
        <v>8.8787397729696842</v>
      </c>
      <c r="H13" s="82">
        <f t="shared" si="8"/>
        <v>7.5436561250343024</v>
      </c>
      <c r="I13" s="82">
        <f t="shared" si="8"/>
        <v>8.3237496746403199</v>
      </c>
      <c r="J13" s="82">
        <f t="shared" si="8"/>
        <v>2.8301608212113618</v>
      </c>
      <c r="K13" s="82">
        <f t="shared" si="8"/>
        <v>12.441576629645741</v>
      </c>
      <c r="L13" s="82">
        <f t="shared" si="8"/>
        <v>33.759492528038699</v>
      </c>
      <c r="M13" s="82">
        <f t="shared" si="8"/>
        <v>26.012659083009144</v>
      </c>
      <c r="N13" s="82">
        <f t="shared" si="8"/>
        <v>5.6946079827623173</v>
      </c>
    </row>
    <row r="14" spans="1:18" hidden="1" outlineLevel="1">
      <c r="A14" s="30" t="s">
        <v>151</v>
      </c>
      <c r="B14" s="83">
        <f>SUM(C14:N14)</f>
        <v>6987115.2967519313</v>
      </c>
      <c r="C14" s="83">
        <f>+(INDEX(Tabla2[Combustible],MATCH(C19,Tabla2[Mes],0))*C12)</f>
        <v>248278.49675351885</v>
      </c>
      <c r="D14" s="83">
        <f>+(INDEX(Tabla2[Combustible],MATCH(D19,Tabla2[Mes],0))*D12)</f>
        <v>223808.33968612723</v>
      </c>
      <c r="E14" s="83">
        <f>+(INDEX(Tabla2[Combustible],MATCH(E19,Tabla2[Mes],0))*E12)</f>
        <v>57473.32253350634</v>
      </c>
      <c r="F14" s="83">
        <f>+(INDEX(Tabla2[Combustible],MATCH(F19,Tabla2[Mes],0))*F12)</f>
        <v>351832.64831934613</v>
      </c>
      <c r="G14" s="83">
        <f>+(INDEX(Tabla2[Combustible],MATCH(G19,Tabla2[Mes],0))*G12)</f>
        <v>492597.83877314127</v>
      </c>
      <c r="H14" s="83">
        <f>+(INDEX(Tabla2[Combustible],MATCH(H19,Tabla2[Mes],0))*H12)</f>
        <v>422711.85851195897</v>
      </c>
      <c r="I14" s="83">
        <f>+(INDEX(Tabla2[Combustible],MATCH(I19,Tabla2[Mes],0))*I12)</f>
        <v>471088.96704738372</v>
      </c>
      <c r="J14" s="83">
        <f>+(INDEX(Tabla2[Combustible],MATCH(J19,Tabla2[Mes],0))*J12)</f>
        <v>161776.8632955733</v>
      </c>
      <c r="K14" s="83">
        <f>+(INDEX(Tabla2[Combustible],MATCH(K19,Tabla2[Mes],0))*K12)</f>
        <v>718293.7516396828</v>
      </c>
      <c r="L14" s="83">
        <f>+(INDEX(Tabla2[Combustible],MATCH(L19,Tabla2[Mes],0))*L12)</f>
        <v>1968538.6825068565</v>
      </c>
      <c r="M14" s="83">
        <f>+(INDEX(Tabla2[Combustible],MATCH(M19,Tabla2[Mes],0))*M12)</f>
        <v>1531983.7776948116</v>
      </c>
      <c r="N14" s="83">
        <f>+(INDEX(Tabla2[Combustible],MATCH(N19,Tabla2[Mes],0))*N12)</f>
        <v>338730.74999002327</v>
      </c>
    </row>
    <row r="15" spans="1:18" hidden="1" outlineLevel="1">
      <c r="A15" s="30" t="s">
        <v>306</v>
      </c>
      <c r="B15" s="83">
        <f>SUM(C15:N15)</f>
        <v>834477.42853077943</v>
      </c>
      <c r="C15" s="83">
        <f>+(INDEX(Tabla2[Lubricantes],MATCH(C19,Tabla2[Mes],0))*C13)</f>
        <v>29652.122904952779</v>
      </c>
      <c r="D15" s="83">
        <f>+(INDEX(Tabla2[Lubricantes],MATCH(D19,Tabla2[Mes],0))*D13)</f>
        <v>26729.630162513902</v>
      </c>
      <c r="E15" s="83">
        <f>+(INDEX(Tabla2[Lubricantes],MATCH(E19,Tabla2[Mes],0))*E13)</f>
        <v>6864.0903090829943</v>
      </c>
      <c r="F15" s="83">
        <f>+(INDEX(Tabla2[Lubricantes],MATCH(F19,Tabla2[Mes],0))*F13)</f>
        <v>42019.687835863377</v>
      </c>
      <c r="G15" s="83">
        <f>+(INDEX(Tabla2[Lubricantes],MATCH(G19,Tabla2[Mes],0))*G13)</f>
        <v>58831.400419328835</v>
      </c>
      <c r="H15" s="83">
        <f>+(INDEX(Tabla2[Lubricantes],MATCH(H19,Tabla2[Mes],0))*H13)</f>
        <v>50484.855297078684</v>
      </c>
      <c r="I15" s="83">
        <f>+(INDEX(Tabla2[Lubricantes],MATCH(I19,Tabla2[Mes],0))*I13)</f>
        <v>56262.576633545257</v>
      </c>
      <c r="J15" s="83">
        <f>+(INDEX(Tabla2[Lubricantes],MATCH(J19,Tabla2[Mes],0))*J13)</f>
        <v>19321.155461885952</v>
      </c>
      <c r="K15" s="83">
        <f>+(INDEX(Tabla2[Lubricantes],MATCH(K19,Tabla2[Mes],0))*K13)</f>
        <v>85786.465134853192</v>
      </c>
      <c r="L15" s="83">
        <f>+(INDEX(Tabla2[Lubricantes],MATCH(L19,Tabla2[Mes],0))*L13)</f>
        <v>235104.33533354249</v>
      </c>
      <c r="M15" s="83">
        <f>+(INDEX(Tabla2[Lubricantes],MATCH(M19,Tabla2[Mes],0))*M13)</f>
        <v>182966.19263688446</v>
      </c>
      <c r="N15" s="83">
        <f>+(INDEX(Tabla2[Lubricantes],MATCH(N19,Tabla2[Mes],0))*N13)</f>
        <v>40454.916401247501</v>
      </c>
    </row>
    <row r="16" spans="1:18" hidden="1" outlineLevel="1">
      <c r="A16" s="30" t="s">
        <v>150</v>
      </c>
      <c r="B16" s="55">
        <f t="shared" si="2"/>
        <v>3599902.1099097459</v>
      </c>
      <c r="C16" s="55">
        <f>+(C9*INDEX(Tabla2[Combustible],MATCH(C19,Tabla2[Mes],0)))+(C13*INDEX(Tabla2[Lubricantes],MATCH(C19,Tabla2[Mes],0)))</f>
        <v>85992.993930838813</v>
      </c>
      <c r="D16" s="55">
        <f>+(D9*INDEX(Tabla2[Combustible],MATCH(D19,Tabla2[Mes],0)))+(D13*INDEX(Tabla2[Lubricantes],MATCH(D19,Tabla2[Mes],0)))</f>
        <v>83633.909898658778</v>
      </c>
      <c r="E16" s="55">
        <f>+(E9*INDEX(Tabla2[Combustible],MATCH(E19,Tabla2[Mes],0)))+(E13*INDEX(Tabla2[Lubricantes],MATCH(E19,Tabla2[Mes],0)))</f>
        <v>64337.412842589336</v>
      </c>
      <c r="F16" s="55">
        <f>+(F9*INDEX(Tabla2[Combustible],MATCH(F19,Tabla2[Mes],0)))+(F13*INDEX(Tabla2[Lubricantes],MATCH(F19,Tabla2[Mes],0)))</f>
        <v>393852.33615520952</v>
      </c>
      <c r="G16" s="55">
        <f>+(G9*INDEX(Tabla2[Combustible],MATCH(G19,Tabla2[Mes],0)))+(G13*INDEX(Tabla2[Lubricantes],MATCH(G19,Tabla2[Mes],0)))</f>
        <v>537544.41762670653</v>
      </c>
      <c r="H16" s="55">
        <f>+(H9*INDEX(Tabla2[Combustible],MATCH(H19,Tabla2[Mes],0)))+(H13*INDEX(Tabla2[Lubricantes],MATCH(H19,Tabla2[Mes],0)))</f>
        <v>473196.71380903764</v>
      </c>
      <c r="I16" s="55">
        <f>+(I9*INDEX(Tabla2[Combustible],MATCH(I19,Tabla2[Mes],0)))+(I13*INDEX(Tabla2[Lubricantes],MATCH(I19,Tabla2[Mes],0)))</f>
        <v>527351.543680929</v>
      </c>
      <c r="J16" s="55">
        <f>+(J9*INDEX(Tabla2[Combustible],MATCH(J19,Tabla2[Mes],0)))+(J13*INDEX(Tabla2[Lubricantes],MATCH(J19,Tabla2[Mes],0)))</f>
        <v>176329.50357611669</v>
      </c>
      <c r="K16" s="55">
        <f>+(K9*INDEX(Tabla2[Combustible],MATCH(K19,Tabla2[Mes],0)))+(K13*INDEX(Tabla2[Lubricantes],MATCH(K19,Tabla2[Mes],0)))</f>
        <v>146795.55512616067</v>
      </c>
      <c r="L16" s="55">
        <f>+(L9*INDEX(Tabla2[Combustible],MATCH(L19,Tabla2[Mes],0)))+(L13*INDEX(Tabla2[Lubricantes],MATCH(L19,Tabla2[Mes],0)))</f>
        <v>720467.76917142887</v>
      </c>
      <c r="M16" s="55">
        <f>+(M9*INDEX(Tabla2[Combustible],MATCH(M19,Tabla2[Mes],0)))+(M13*INDEX(Tabla2[Lubricantes],MATCH(M19,Tabla2[Mes],0)))</f>
        <v>245201.56533701724</v>
      </c>
      <c r="N16" s="55">
        <f>+(N9*INDEX(Tabla2[Combustible],MATCH(N19,Tabla2[Mes],0)))+(N13*INDEX(Tabla2[Lubricantes],MATCH(N19,Tabla2[Mes],0)))</f>
        <v>145198.38875505258</v>
      </c>
    </row>
    <row r="17" spans="1:16" hidden="1" outlineLevel="1">
      <c r="A17" s="30" t="s">
        <v>363</v>
      </c>
      <c r="B17" s="55">
        <f t="shared" si="2"/>
        <v>3006.7707850442152</v>
      </c>
      <c r="C17" s="55">
        <f>+C16/INDEX(Tabla2[TC],MATCH(C19,Tabla2[Mes],0))</f>
        <v>76.302567817958135</v>
      </c>
      <c r="D17" s="55">
        <f>+D16/INDEX(Tabla2[TC],MATCH(D19,Tabla2[Mes],0))</f>
        <v>73.474579755821367</v>
      </c>
      <c r="E17" s="55">
        <f>+E16/INDEX(Tabla2[TC],MATCH(E19,Tabla2[Mes],0))</f>
        <v>55.962477052930275</v>
      </c>
      <c r="F17" s="55">
        <f>+F16/INDEX(Tabla2[TC],MATCH(F19,Tabla2[Mes],0))</f>
        <v>339.191834259568</v>
      </c>
      <c r="G17" s="55">
        <f>+G16/INDEX(Tabla2[TC],MATCH(G19,Tabla2[Mes],0))</f>
        <v>458.35813631386623</v>
      </c>
      <c r="H17" s="55">
        <f>+H16/INDEX(Tabla2[TC],MATCH(H19,Tabla2[Mes],0))</f>
        <v>399.49461994460506</v>
      </c>
      <c r="I17" s="55">
        <f>+I16/INDEX(Tabla2[TC],MATCH(I19,Tabla2[Mes],0))</f>
        <v>440.80657411585605</v>
      </c>
      <c r="J17" s="55">
        <f>+J16/INDEX(Tabla2[TC],MATCH(J19,Tabla2[Mes],0))</f>
        <v>145.93230839661973</v>
      </c>
      <c r="K17" s="55">
        <f>+K16/INDEX(Tabla2[TC],MATCH(K19,Tabla2[Mes],0))</f>
        <v>120.28680771427398</v>
      </c>
      <c r="L17" s="55">
        <f>+L16/INDEX(Tabla2[TC],MATCH(L19,Tabla2[Mes],0))</f>
        <v>584.5185212375568</v>
      </c>
      <c r="M17" s="55">
        <f>+M16/INDEX(Tabla2[TC],MATCH(M19,Tabla2[Mes],0))</f>
        <v>196.9634235757772</v>
      </c>
      <c r="N17" s="55">
        <f>+N16/INDEX(Tabla2[TC],MATCH(N19,Tabla2[Mes],0))</f>
        <v>115.47893485938263</v>
      </c>
      <c r="P17" s="2">
        <f>SUM(C17:N17)/SUMIFS(TablaGeneral[Has],TablaGeneral[Finca],A18)</f>
        <v>74.609696899360173</v>
      </c>
    </row>
    <row r="18" spans="1:16" collapsed="1">
      <c r="A18" s="21" t="s">
        <v>12</v>
      </c>
      <c r="B18" t="s">
        <v>108</v>
      </c>
      <c r="C18" s="50">
        <v>0.13761016358288825</v>
      </c>
      <c r="D18" s="50">
        <v>0.11847751052166375</v>
      </c>
      <c r="E18" s="50">
        <v>0</v>
      </c>
      <c r="F18" s="50">
        <v>0</v>
      </c>
      <c r="G18" s="50">
        <v>9.5663265306122451E-3</v>
      </c>
      <c r="H18" s="50">
        <v>0</v>
      </c>
      <c r="I18" s="50">
        <v>0</v>
      </c>
      <c r="J18" s="50">
        <v>3.1887755102040817E-3</v>
      </c>
      <c r="K18" s="50">
        <v>7.9038239515306113E-2</v>
      </c>
      <c r="L18" s="50">
        <v>0.25998660553123004</v>
      </c>
      <c r="M18" s="50">
        <v>0.24164542700890862</v>
      </c>
      <c r="N18" s="50">
        <v>0.15036526562370456</v>
      </c>
    </row>
    <row r="19" spans="1:16">
      <c r="A19" s="33" t="s">
        <v>6</v>
      </c>
      <c r="B19" s="31">
        <v>893.41487240478114</v>
      </c>
      <c r="C19" s="30" t="s">
        <v>88</v>
      </c>
      <c r="D19" s="30" t="s">
        <v>89</v>
      </c>
      <c r="E19" s="30" t="s">
        <v>90</v>
      </c>
      <c r="F19" s="30" t="s">
        <v>91</v>
      </c>
      <c r="G19" s="30" t="s">
        <v>92</v>
      </c>
      <c r="H19" s="30" t="s">
        <v>93</v>
      </c>
      <c r="I19" s="30" t="s">
        <v>94</v>
      </c>
      <c r="J19" s="30" t="s">
        <v>95</v>
      </c>
      <c r="K19" s="30" t="s">
        <v>96</v>
      </c>
      <c r="L19" s="30" t="s">
        <v>97</v>
      </c>
      <c r="M19" s="30" t="s">
        <v>98</v>
      </c>
      <c r="N19" s="30" t="s">
        <v>99</v>
      </c>
    </row>
    <row r="20" spans="1:16">
      <c r="A20" s="23" t="s">
        <v>58</v>
      </c>
      <c r="B20" s="2">
        <v>9.0123167155425215</v>
      </c>
      <c r="F20" s="2"/>
      <c r="G20" s="2">
        <f>+B20</f>
        <v>9.0123167155425215</v>
      </c>
    </row>
    <row r="21" spans="1:16">
      <c r="A21" s="23" t="s">
        <v>61</v>
      </c>
      <c r="B21" s="2">
        <v>2.3718453345681874</v>
      </c>
      <c r="F21" s="2">
        <f>+B21</f>
        <v>2.3718453345681874</v>
      </c>
    </row>
    <row r="22" spans="1:16">
      <c r="A22" s="23" t="s">
        <v>62</v>
      </c>
      <c r="B22" s="2">
        <v>1.8982087708462017</v>
      </c>
      <c r="F22" s="2">
        <f>+B22</f>
        <v>1.8982087708462017</v>
      </c>
    </row>
    <row r="23" spans="1:16">
      <c r="A23" s="23" t="s">
        <v>63</v>
      </c>
      <c r="B23" s="2">
        <v>2.3718453345681874</v>
      </c>
      <c r="G23" s="25">
        <f>+B23/2</f>
        <v>1.1859226672840937</v>
      </c>
      <c r="N23">
        <f>+B23/2</f>
        <v>1.1859226672840937</v>
      </c>
    </row>
    <row r="24" spans="1:16">
      <c r="A24" s="23" t="s">
        <v>64</v>
      </c>
      <c r="B24" s="2">
        <v>34.154636081752408</v>
      </c>
      <c r="G24">
        <f>+B24*0.45</f>
        <v>15.369586236788583</v>
      </c>
      <c r="I24">
        <f>+B24*0.275</f>
        <v>9.392524922481913</v>
      </c>
      <c r="L24">
        <f>+B24*0.275</f>
        <v>9.392524922481913</v>
      </c>
    </row>
    <row r="25" spans="1:16">
      <c r="A25" s="23" t="s">
        <v>106</v>
      </c>
      <c r="B25" s="2">
        <v>11.384857605927298</v>
      </c>
      <c r="H25">
        <f>+B25/4</f>
        <v>2.8462144014818245</v>
      </c>
      <c r="I25">
        <f>+B25/4</f>
        <v>2.8462144014818245</v>
      </c>
      <c r="J25">
        <f>+B25/4</f>
        <v>2.8462144014818245</v>
      </c>
      <c r="L25">
        <f>+B25/4</f>
        <v>2.8462144014818245</v>
      </c>
    </row>
    <row r="26" spans="1:16">
      <c r="A26" s="23" t="s">
        <v>51</v>
      </c>
      <c r="B26" s="2">
        <v>236.40000000000003</v>
      </c>
      <c r="D26">
        <f>+B26/3</f>
        <v>78.800000000000011</v>
      </c>
      <c r="E26">
        <f>+B26/3</f>
        <v>78.800000000000011</v>
      </c>
      <c r="F26">
        <f>+B26/3</f>
        <v>78.800000000000011</v>
      </c>
    </row>
    <row r="27" spans="1:16">
      <c r="A27" s="23" t="s">
        <v>52</v>
      </c>
      <c r="B27" s="2">
        <v>157.6</v>
      </c>
      <c r="D27">
        <f>+B27/3</f>
        <v>52.533333333333331</v>
      </c>
      <c r="E27">
        <f>+B27/3</f>
        <v>52.533333333333331</v>
      </c>
      <c r="F27">
        <f>+B27/3</f>
        <v>52.533333333333331</v>
      </c>
    </row>
    <row r="28" spans="1:16">
      <c r="A28" s="23" t="s">
        <v>54</v>
      </c>
      <c r="B28" s="2">
        <v>61.463999999999999</v>
      </c>
      <c r="I28" s="2">
        <f>+B28</f>
        <v>61.463999999999999</v>
      </c>
    </row>
    <row r="29" spans="1:16">
      <c r="A29" s="23" t="s">
        <v>53</v>
      </c>
      <c r="B29" s="2">
        <v>151.38916256157637</v>
      </c>
      <c r="G29">
        <f>+B29/2/2</f>
        <v>37.847290640394093</v>
      </c>
      <c r="H29">
        <f>+B29/2/2</f>
        <v>37.847290640394093</v>
      </c>
      <c r="J29">
        <f>+B29/2</f>
        <v>75.694581280788185</v>
      </c>
    </row>
    <row r="30" spans="1:16">
      <c r="A30" s="23" t="s">
        <v>57</v>
      </c>
      <c r="B30" s="2">
        <v>102.44000000000001</v>
      </c>
      <c r="I30" s="2">
        <f>+B30</f>
        <v>102.44000000000001</v>
      </c>
    </row>
    <row r="31" spans="1:16">
      <c r="A31" s="23" t="s">
        <v>55</v>
      </c>
      <c r="B31" s="2">
        <v>61.463999999999999</v>
      </c>
      <c r="J31" s="2">
        <f>+B31</f>
        <v>61.463999999999999</v>
      </c>
    </row>
    <row r="32" spans="1:16" ht="15.75" thickBot="1">
      <c r="A32" s="23" t="s">
        <v>56</v>
      </c>
      <c r="B32" s="2">
        <v>61.463999999999999</v>
      </c>
      <c r="H32" s="2">
        <f>+B32</f>
        <v>61.463999999999999</v>
      </c>
    </row>
    <row r="33" spans="1:14" ht="15.75" thickBot="1">
      <c r="A33" s="33" t="s">
        <v>7</v>
      </c>
      <c r="B33" s="31">
        <v>518.38422773473189</v>
      </c>
      <c r="C33" s="26">
        <f>+SUM(C20:C32)</f>
        <v>0</v>
      </c>
      <c r="D33" s="27">
        <f t="shared" ref="D33:N33" si="9">+SUM(D20:D32)</f>
        <v>131.33333333333334</v>
      </c>
      <c r="E33" s="27">
        <f t="shared" si="9"/>
        <v>131.33333333333334</v>
      </c>
      <c r="F33" s="27">
        <f t="shared" si="9"/>
        <v>135.60338743874775</v>
      </c>
      <c r="G33" s="27">
        <f t="shared" si="9"/>
        <v>63.415116260009292</v>
      </c>
      <c r="H33" s="27">
        <f t="shared" si="9"/>
        <v>102.15750504187591</v>
      </c>
      <c r="I33" s="27">
        <f t="shared" si="9"/>
        <v>176.14273932396375</v>
      </c>
      <c r="J33" s="27">
        <f t="shared" si="9"/>
        <v>140.00479568227001</v>
      </c>
      <c r="K33" s="27">
        <f t="shared" si="9"/>
        <v>0</v>
      </c>
      <c r="L33" s="27">
        <f t="shared" si="9"/>
        <v>12.238739323963738</v>
      </c>
      <c r="M33" s="27">
        <f t="shared" si="9"/>
        <v>0</v>
      </c>
      <c r="N33" s="28">
        <f t="shared" si="9"/>
        <v>1.1859226672840937</v>
      </c>
    </row>
    <row r="34" spans="1:14">
      <c r="A34" s="23" t="s">
        <v>58</v>
      </c>
      <c r="B34" s="2">
        <v>5.356011730205279</v>
      </c>
      <c r="F34">
        <f>+B34</f>
        <v>5.356011730205279</v>
      </c>
    </row>
    <row r="35" spans="1:14">
      <c r="A35" s="23" t="s">
        <v>61</v>
      </c>
      <c r="B35" s="2">
        <v>1.40958555221116</v>
      </c>
      <c r="F35">
        <f>+B35</f>
        <v>1.40958555221116</v>
      </c>
    </row>
    <row r="36" spans="1:14">
      <c r="A36" s="23" t="s">
        <v>62</v>
      </c>
      <c r="B36" s="2">
        <v>1.1281037677578751</v>
      </c>
      <c r="F36">
        <f>+B36</f>
        <v>1.1281037677578751</v>
      </c>
    </row>
    <row r="37" spans="1:14">
      <c r="A37" s="23" t="s">
        <v>63</v>
      </c>
      <c r="B37" s="2">
        <v>1.40958555221116</v>
      </c>
      <c r="G37">
        <f>+B37/2</f>
        <v>0.70479277610558</v>
      </c>
      <c r="N37">
        <f>+B37/2</f>
        <v>0.70479277610558</v>
      </c>
    </row>
    <row r="38" spans="1:14">
      <c r="A38" s="23" t="s">
        <v>64</v>
      </c>
      <c r="B38" s="2">
        <v>20.298069549561564</v>
      </c>
      <c r="H38">
        <f>+B38*0.45</f>
        <v>9.1341312973027033</v>
      </c>
      <c r="I38">
        <f>+B38*0.275</f>
        <v>5.5819691261294304</v>
      </c>
      <c r="L38">
        <f>+B38*0.275</f>
        <v>5.5819691261294304</v>
      </c>
    </row>
    <row r="39" spans="1:14">
      <c r="A39" s="23" t="s">
        <v>106</v>
      </c>
      <c r="B39" s="2">
        <v>6.766010650613568</v>
      </c>
      <c r="H39">
        <f>+B39/4</f>
        <v>1.691502662653392</v>
      </c>
      <c r="I39">
        <f>+B39/4</f>
        <v>1.691502662653392</v>
      </c>
      <c r="J39">
        <f>+B39/4</f>
        <v>1.691502662653392</v>
      </c>
      <c r="L39">
        <f>+B39/4</f>
        <v>1.691502662653392</v>
      </c>
    </row>
    <row r="40" spans="1:14">
      <c r="A40" s="23" t="s">
        <v>51</v>
      </c>
      <c r="B40" s="2">
        <v>132.94945054945055</v>
      </c>
      <c r="D40">
        <f>+B40/3</f>
        <v>44.316483516483515</v>
      </c>
      <c r="E40">
        <f>+B40/3</f>
        <v>44.316483516483515</v>
      </c>
      <c r="F40">
        <f>+B40/3</f>
        <v>44.316483516483515</v>
      </c>
    </row>
    <row r="41" spans="1:14">
      <c r="A41" s="23" t="s">
        <v>52</v>
      </c>
      <c r="B41" s="2">
        <v>88.632967032967031</v>
      </c>
      <c r="D41">
        <f>+B41/3</f>
        <v>29.544322344322342</v>
      </c>
      <c r="E41">
        <f>+B41/3</f>
        <v>29.544322344322342</v>
      </c>
      <c r="F41">
        <f>+B41/3</f>
        <v>29.544322344322342</v>
      </c>
    </row>
    <row r="42" spans="1:14">
      <c r="A42" s="23" t="s">
        <v>54</v>
      </c>
      <c r="B42" s="2">
        <v>36.527999999999999</v>
      </c>
      <c r="I42">
        <f>+B42</f>
        <v>36.527999999999999</v>
      </c>
    </row>
    <row r="43" spans="1:14">
      <c r="A43" s="23" t="s">
        <v>53</v>
      </c>
      <c r="B43" s="2">
        <v>89.970443349753694</v>
      </c>
      <c r="H43">
        <f>+B43/2</f>
        <v>44.985221674876847</v>
      </c>
      <c r="J43">
        <f>+B43/2</f>
        <v>44.985221674876847</v>
      </c>
    </row>
    <row r="44" spans="1:14">
      <c r="A44" s="23" t="s">
        <v>57</v>
      </c>
      <c r="B44" s="2">
        <v>60.879999999999995</v>
      </c>
      <c r="I44">
        <f>+B44</f>
        <v>60.879999999999995</v>
      </c>
    </row>
    <row r="45" spans="1:14">
      <c r="A45" s="23" t="s">
        <v>55</v>
      </c>
      <c r="B45" s="2">
        <v>36.527999999999999</v>
      </c>
      <c r="J45" s="2">
        <f>+B45</f>
        <v>36.527999999999999</v>
      </c>
    </row>
    <row r="46" spans="1:14" ht="15.75" thickBot="1">
      <c r="A46" s="23" t="s">
        <v>56</v>
      </c>
      <c r="B46" s="2">
        <v>36.527999999999999</v>
      </c>
      <c r="H46">
        <f>+B46</f>
        <v>36.527999999999999</v>
      </c>
    </row>
    <row r="47" spans="1:14" ht="15.75" thickBot="1">
      <c r="A47" s="33" t="s">
        <v>10</v>
      </c>
      <c r="B47" s="31">
        <v>417.75097539875844</v>
      </c>
      <c r="C47" s="26">
        <f>+SUM(C34:C46)</f>
        <v>0</v>
      </c>
      <c r="D47" s="27">
        <f>+SUM(D34:D46)</f>
        <v>73.860805860805854</v>
      </c>
      <c r="E47" s="27">
        <f t="shared" ref="E47:N47" si="10">+SUM(E34:E46)</f>
        <v>73.860805860805854</v>
      </c>
      <c r="F47" s="27">
        <f t="shared" si="10"/>
        <v>81.754506910980169</v>
      </c>
      <c r="G47" s="27">
        <f t="shared" si="10"/>
        <v>0.70479277610558</v>
      </c>
      <c r="H47" s="27">
        <f t="shared" si="10"/>
        <v>92.338855634832939</v>
      </c>
      <c r="I47" s="27">
        <f t="shared" si="10"/>
        <v>104.68147178878282</v>
      </c>
      <c r="J47" s="27">
        <f t="shared" si="10"/>
        <v>83.204724337530237</v>
      </c>
      <c r="K47" s="27">
        <f t="shared" si="10"/>
        <v>0</v>
      </c>
      <c r="L47" s="27">
        <f t="shared" si="10"/>
        <v>7.2734717887828229</v>
      </c>
      <c r="M47" s="27">
        <f t="shared" si="10"/>
        <v>0</v>
      </c>
      <c r="N47" s="28">
        <f t="shared" si="10"/>
        <v>0.70479277610558</v>
      </c>
    </row>
    <row r="48" spans="1:14">
      <c r="A48" s="23" t="s">
        <v>58</v>
      </c>
      <c r="B48" s="2">
        <v>4.630205278592376</v>
      </c>
      <c r="F48">
        <f>+B48</f>
        <v>4.630205278592376</v>
      </c>
    </row>
    <row r="49" spans="1:15">
      <c r="A49" s="23" t="s">
        <v>61</v>
      </c>
      <c r="B49" s="2">
        <v>1.2185691132206529</v>
      </c>
      <c r="F49">
        <f>+B49</f>
        <v>1.2185691132206529</v>
      </c>
    </row>
    <row r="50" spans="1:15">
      <c r="A50" s="23" t="s">
        <v>62</v>
      </c>
      <c r="B50" s="2">
        <v>0.97523162445954292</v>
      </c>
      <c r="F50">
        <f>+B50</f>
        <v>0.97523162445954292</v>
      </c>
    </row>
    <row r="51" spans="1:15">
      <c r="A51" s="23" t="s">
        <v>63</v>
      </c>
      <c r="B51" s="2">
        <v>1.2185691132206529</v>
      </c>
      <c r="G51">
        <f>+B51/2</f>
        <v>0.60928455661032643</v>
      </c>
      <c r="N51">
        <f>+B51/2</f>
        <v>0.60928455661032643</v>
      </c>
    </row>
    <row r="52" spans="1:15">
      <c r="A52" s="23" t="s">
        <v>64</v>
      </c>
      <c r="B52" s="2">
        <v>17.547427733137734</v>
      </c>
      <c r="H52">
        <f>+B52*0.45</f>
        <v>7.896342479911981</v>
      </c>
      <c r="I52">
        <f>+B52*0.275</f>
        <v>4.8255426266128776</v>
      </c>
      <c r="L52">
        <f>+B52*0.275</f>
        <v>4.8255426266128776</v>
      </c>
    </row>
    <row r="53" spans="1:15">
      <c r="A53" s="23" t="s">
        <v>106</v>
      </c>
      <c r="B53" s="2">
        <v>5.8491317434591341</v>
      </c>
      <c r="H53">
        <f>+B53/4</f>
        <v>1.4622829358647835</v>
      </c>
      <c r="I53">
        <f>+B53/4</f>
        <v>1.4622829358647835</v>
      </c>
      <c r="J53">
        <f>+B53/4</f>
        <v>1.4622829358647835</v>
      </c>
      <c r="L53">
        <f>+B53/4</f>
        <v>1.4622829358647835</v>
      </c>
    </row>
    <row r="54" spans="1:15">
      <c r="A54" s="23" t="s">
        <v>51</v>
      </c>
      <c r="B54" s="2">
        <v>96.701709401709394</v>
      </c>
      <c r="D54">
        <f>+B54/3</f>
        <v>32.233903133903134</v>
      </c>
      <c r="E54">
        <f>+B54/3</f>
        <v>32.233903133903134</v>
      </c>
      <c r="F54">
        <f>+B54/3</f>
        <v>32.233903133903134</v>
      </c>
    </row>
    <row r="55" spans="1:15">
      <c r="A55" s="23" t="s">
        <v>52</v>
      </c>
      <c r="B55" s="2">
        <v>64.467806267806267</v>
      </c>
      <c r="D55">
        <f>+B55/3</f>
        <v>21.489268755935424</v>
      </c>
      <c r="E55">
        <f>+B55/3</f>
        <v>21.489268755935424</v>
      </c>
      <c r="F55">
        <f>+B55/3</f>
        <v>21.489268755935424</v>
      </c>
    </row>
    <row r="56" spans="1:15">
      <c r="A56" s="23" t="s">
        <v>54</v>
      </c>
      <c r="B56" s="2">
        <v>31.578000000000003</v>
      </c>
      <c r="I56">
        <f>+B56</f>
        <v>31.578000000000003</v>
      </c>
    </row>
    <row r="57" spans="1:15">
      <c r="A57" s="23" t="s">
        <v>53</v>
      </c>
      <c r="B57" s="2">
        <v>77.778325123152712</v>
      </c>
      <c r="H57">
        <f>+B57/2</f>
        <v>38.889162561576356</v>
      </c>
      <c r="J57">
        <f>+B57/2</f>
        <v>38.889162561576356</v>
      </c>
    </row>
    <row r="58" spans="1:15">
      <c r="A58" s="23" t="s">
        <v>57</v>
      </c>
      <c r="B58" s="2">
        <v>52.63</v>
      </c>
      <c r="I58">
        <f>+B58</f>
        <v>52.63</v>
      </c>
    </row>
    <row r="59" spans="1:15">
      <c r="A59" s="23" t="s">
        <v>55</v>
      </c>
      <c r="B59" s="2">
        <v>31.578000000000003</v>
      </c>
      <c r="J59">
        <f>+B59</f>
        <v>31.578000000000003</v>
      </c>
    </row>
    <row r="60" spans="1:15" ht="15.75" thickBot="1">
      <c r="A60" s="23" t="s">
        <v>56</v>
      </c>
      <c r="B60" s="2">
        <v>31.578000000000003</v>
      </c>
      <c r="H60">
        <f>+B60</f>
        <v>31.578000000000003</v>
      </c>
    </row>
    <row r="61" spans="1:15" ht="15.75" thickBot="1">
      <c r="A61" s="32" t="s">
        <v>104</v>
      </c>
      <c r="B61" s="31">
        <v>1829.5500755382716</v>
      </c>
      <c r="C61" s="26">
        <f>+SUM(C48:C60)</f>
        <v>0</v>
      </c>
      <c r="D61" s="27">
        <f>+SUM(D48:D60)</f>
        <v>53.723171889838554</v>
      </c>
      <c r="E61" s="27">
        <f t="shared" ref="E61:N61" si="11">+SUM(E48:E60)</f>
        <v>53.723171889838554</v>
      </c>
      <c r="F61" s="27">
        <f t="shared" si="11"/>
        <v>60.547177906111131</v>
      </c>
      <c r="G61" s="27">
        <f t="shared" si="11"/>
        <v>0.60928455661032643</v>
      </c>
      <c r="H61" s="27">
        <f t="shared" si="11"/>
        <v>79.825787977353116</v>
      </c>
      <c r="I61" s="27">
        <f t="shared" si="11"/>
        <v>90.495825562477677</v>
      </c>
      <c r="J61" s="27">
        <f t="shared" si="11"/>
        <v>71.929445497441151</v>
      </c>
      <c r="K61" s="27">
        <f t="shared" si="11"/>
        <v>0</v>
      </c>
      <c r="L61" s="27">
        <f t="shared" si="11"/>
        <v>6.2878255624776607</v>
      </c>
      <c r="M61" s="27">
        <f t="shared" si="11"/>
        <v>0</v>
      </c>
      <c r="N61" s="28">
        <f t="shared" si="11"/>
        <v>0.60928455661032643</v>
      </c>
    </row>
    <row r="62" spans="1:15" ht="15.75" thickBot="1"/>
    <row r="63" spans="1:15" ht="15.75" thickBot="1">
      <c r="A63" s="38" t="s">
        <v>109</v>
      </c>
      <c r="B63" s="38"/>
      <c r="C63" s="34">
        <f>+C33+C47+C61</f>
        <v>0</v>
      </c>
      <c r="D63" s="35">
        <f t="shared" ref="D63:N63" si="12">+D33+D47+D61</f>
        <v>258.91731108397778</v>
      </c>
      <c r="E63" s="35">
        <f t="shared" si="12"/>
        <v>258.91731108397778</v>
      </c>
      <c r="F63" s="35">
        <f t="shared" si="12"/>
        <v>277.90507225583906</v>
      </c>
      <c r="G63" s="35">
        <f t="shared" si="12"/>
        <v>64.72919359272521</v>
      </c>
      <c r="H63" s="35">
        <f t="shared" si="12"/>
        <v>274.32214865406195</v>
      </c>
      <c r="I63" s="35">
        <f t="shared" si="12"/>
        <v>371.32003667522429</v>
      </c>
      <c r="J63" s="35">
        <f t="shared" si="12"/>
        <v>295.13896551724145</v>
      </c>
      <c r="K63" s="35">
        <f t="shared" si="12"/>
        <v>0</v>
      </c>
      <c r="L63" s="35">
        <f t="shared" si="12"/>
        <v>25.800036675224224</v>
      </c>
      <c r="M63" s="35">
        <f t="shared" si="12"/>
        <v>0</v>
      </c>
      <c r="N63" s="36">
        <f t="shared" si="12"/>
        <v>2.5</v>
      </c>
      <c r="O63" s="40">
        <f>SUM(C63:N63)</f>
        <v>1829.550075538272</v>
      </c>
    </row>
    <row r="65" spans="1:15">
      <c r="A65" s="29" t="s">
        <v>103</v>
      </c>
      <c r="B65" s="29" t="s">
        <v>108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4"/>
    </row>
    <row r="66" spans="1:15">
      <c r="A66" s="22" t="s">
        <v>65</v>
      </c>
      <c r="B66" s="2">
        <v>90.000041676333254</v>
      </c>
      <c r="C66">
        <f>+$B66*0.03</f>
        <v>2.7000012502899975</v>
      </c>
      <c r="D66">
        <f>+$B66*0.03</f>
        <v>2.7000012502899975</v>
      </c>
      <c r="E66">
        <f>+$B66*0.03</f>
        <v>2.7000012502899975</v>
      </c>
      <c r="F66">
        <f>+$B66*0.04</f>
        <v>3.6000016670533301</v>
      </c>
      <c r="G66">
        <f>+$B66*0.06</f>
        <v>5.400002500579995</v>
      </c>
      <c r="H66">
        <f t="shared" ref="H66:M66" si="13">+$B66*0.12</f>
        <v>10.80000500115999</v>
      </c>
      <c r="I66">
        <f t="shared" si="13"/>
        <v>10.80000500115999</v>
      </c>
      <c r="J66">
        <f t="shared" si="13"/>
        <v>10.80000500115999</v>
      </c>
      <c r="K66">
        <f t="shared" si="13"/>
        <v>10.80000500115999</v>
      </c>
      <c r="L66">
        <f t="shared" si="13"/>
        <v>10.80000500115999</v>
      </c>
      <c r="M66">
        <f t="shared" si="13"/>
        <v>10.80000500115999</v>
      </c>
      <c r="N66">
        <f>+$B66*0.09</f>
        <v>8.1000037508699929</v>
      </c>
    </row>
    <row r="67" spans="1:15">
      <c r="A67" s="22" t="s">
        <v>68</v>
      </c>
      <c r="B67" s="2">
        <v>3</v>
      </c>
      <c r="C67">
        <f>+$B67/6</f>
        <v>0.5</v>
      </c>
      <c r="E67">
        <f>+$B67/6</f>
        <v>0.5</v>
      </c>
      <c r="G67">
        <f>+$B67/6</f>
        <v>0.5</v>
      </c>
      <c r="I67">
        <f>+$B67/6</f>
        <v>0.5</v>
      </c>
      <c r="K67">
        <f>+$B67/6</f>
        <v>0.5</v>
      </c>
      <c r="M67">
        <f>+$B67/6</f>
        <v>0.5</v>
      </c>
    </row>
    <row r="68" spans="1:15">
      <c r="A68" s="22" t="s">
        <v>69</v>
      </c>
      <c r="B68" s="2">
        <v>95.000051323636583</v>
      </c>
      <c r="F68">
        <f>+$B68/2/2</f>
        <v>23.750012830909146</v>
      </c>
      <c r="G68">
        <f>+$B68/2/2</f>
        <v>23.750012830909146</v>
      </c>
      <c r="M68">
        <f>+$B68/2</f>
        <v>47.500025661818292</v>
      </c>
    </row>
    <row r="69" spans="1:15">
      <c r="A69" s="22" t="s">
        <v>70</v>
      </c>
      <c r="B69" s="2">
        <v>23.999955545347451</v>
      </c>
      <c r="I69">
        <f>+$B69/3</f>
        <v>7.9999851817824839</v>
      </c>
      <c r="J69">
        <f>+$B69/3</f>
        <v>7.9999851817824839</v>
      </c>
      <c r="N69">
        <f>+$B69/3</f>
        <v>7.9999851817824839</v>
      </c>
    </row>
    <row r="70" spans="1:15">
      <c r="A70" s="22" t="s">
        <v>72</v>
      </c>
      <c r="B70" s="2">
        <v>18.500009994602912</v>
      </c>
      <c r="F70">
        <f>+$B70*0.1</f>
        <v>1.8500009994602913</v>
      </c>
      <c r="G70">
        <f>+$B70*0.2</f>
        <v>3.7000019989205826</v>
      </c>
      <c r="H70">
        <f>+$B70*0.2</f>
        <v>3.7000019989205826</v>
      </c>
      <c r="I70">
        <f>+$B70*0.2</f>
        <v>3.7000019989205826</v>
      </c>
      <c r="J70">
        <f>+$B70*0.05</f>
        <v>0.92500049973014564</v>
      </c>
      <c r="K70">
        <f>+$B70*0.05</f>
        <v>0.92500049973014564</v>
      </c>
      <c r="L70">
        <f>+$B70*0.05</f>
        <v>0.92500049973014564</v>
      </c>
      <c r="M70">
        <f>+$B70*0.05</f>
        <v>0.92500049973014564</v>
      </c>
      <c r="N70">
        <f>+$B70*0.1</f>
        <v>1.8500009994602913</v>
      </c>
    </row>
    <row r="71" spans="1:15">
      <c r="A71" s="22" t="s">
        <v>73</v>
      </c>
      <c r="B71" s="2">
        <v>45.020847810979845</v>
      </c>
      <c r="D71">
        <f>+$B71/11</f>
        <v>4.0928043464527128</v>
      </c>
      <c r="E71">
        <f t="shared" ref="E71:N71" si="14">+$B71/11</f>
        <v>4.0928043464527128</v>
      </c>
      <c r="F71">
        <f t="shared" si="14"/>
        <v>4.0928043464527128</v>
      </c>
      <c r="G71">
        <f t="shared" si="14"/>
        <v>4.0928043464527128</v>
      </c>
      <c r="H71">
        <f t="shared" si="14"/>
        <v>4.0928043464527128</v>
      </c>
      <c r="I71">
        <f t="shared" si="14"/>
        <v>4.0928043464527128</v>
      </c>
      <c r="J71">
        <f t="shared" si="14"/>
        <v>4.0928043464527128</v>
      </c>
      <c r="K71">
        <f t="shared" si="14"/>
        <v>4.0928043464527128</v>
      </c>
      <c r="L71">
        <f t="shared" si="14"/>
        <v>4.0928043464527128</v>
      </c>
      <c r="M71">
        <f t="shared" si="14"/>
        <v>4.0928043464527128</v>
      </c>
      <c r="N71">
        <f t="shared" si="14"/>
        <v>4.0928043464527128</v>
      </c>
    </row>
    <row r="72" spans="1:15">
      <c r="A72" s="22" t="s">
        <v>75</v>
      </c>
      <c r="B72" s="2">
        <v>16.501528273051452</v>
      </c>
      <c r="D72">
        <f>+$B72/7.5</f>
        <v>2.2002037697401935</v>
      </c>
      <c r="E72">
        <f>+$B72/7.5</f>
        <v>2.2002037697401935</v>
      </c>
      <c r="G72">
        <f>+$B72/7.5</f>
        <v>2.2002037697401935</v>
      </c>
      <c r="H72">
        <f>+$B72/7.5</f>
        <v>2.2002037697401935</v>
      </c>
      <c r="I72">
        <f>+$B72/7.5</f>
        <v>2.2002037697401935</v>
      </c>
      <c r="K72">
        <f>+$B72/7.5</f>
        <v>2.2002037697401935</v>
      </c>
      <c r="L72">
        <f>+$B72/7.5/2</f>
        <v>1.1001018848700967</v>
      </c>
      <c r="M72">
        <f>+$B72/7.5/2</f>
        <v>1.1001018848700967</v>
      </c>
      <c r="N72">
        <f>+$B72/7.5/2</f>
        <v>1.1001018848700967</v>
      </c>
    </row>
    <row r="73" spans="1:15">
      <c r="A73" s="22" t="s">
        <v>76</v>
      </c>
      <c r="B73" s="2">
        <v>31.012446146481569</v>
      </c>
      <c r="D73">
        <f>+$B73/4</f>
        <v>7.7531115366203922</v>
      </c>
      <c r="E73">
        <f>+$B73/4</f>
        <v>7.7531115366203922</v>
      </c>
      <c r="F73">
        <f>+$B73/4</f>
        <v>7.7531115366203922</v>
      </c>
      <c r="G73">
        <f>+$B73/4</f>
        <v>7.7531115366203922</v>
      </c>
    </row>
    <row r="74" spans="1:15">
      <c r="A74" s="22" t="s">
        <v>77</v>
      </c>
      <c r="B74" s="2">
        <v>45.020847810979845</v>
      </c>
      <c r="C74">
        <f t="shared" ref="C74:N74" si="15">+$B74/12</f>
        <v>3.7517373175816537</v>
      </c>
      <c r="D74">
        <f t="shared" si="15"/>
        <v>3.7517373175816537</v>
      </c>
      <c r="E74">
        <f t="shared" si="15"/>
        <v>3.7517373175816537</v>
      </c>
      <c r="F74">
        <f t="shared" si="15"/>
        <v>3.7517373175816537</v>
      </c>
      <c r="G74">
        <f t="shared" si="15"/>
        <v>3.7517373175816537</v>
      </c>
      <c r="H74">
        <f t="shared" si="15"/>
        <v>3.7517373175816537</v>
      </c>
      <c r="I74">
        <f t="shared" si="15"/>
        <v>3.7517373175816537</v>
      </c>
      <c r="J74">
        <f t="shared" si="15"/>
        <v>3.7517373175816537</v>
      </c>
      <c r="K74">
        <f t="shared" si="15"/>
        <v>3.7517373175816537</v>
      </c>
      <c r="L74">
        <f t="shared" si="15"/>
        <v>3.7517373175816537</v>
      </c>
      <c r="M74">
        <f t="shared" si="15"/>
        <v>3.7517373175816537</v>
      </c>
      <c r="N74">
        <f t="shared" si="15"/>
        <v>3.7517373175816537</v>
      </c>
    </row>
    <row r="75" spans="1:15">
      <c r="A75" s="22" t="s">
        <v>78</v>
      </c>
      <c r="B75" s="2">
        <v>10.00077184316147</v>
      </c>
      <c r="G75">
        <f>+B75</f>
        <v>10.00077184316147</v>
      </c>
    </row>
    <row r="76" spans="1:15">
      <c r="A76" s="22" t="s">
        <v>79</v>
      </c>
      <c r="B76" s="2">
        <v>34.00787401574803</v>
      </c>
      <c r="C76">
        <f t="shared" ref="C76:N77" si="16">+$B76/12</f>
        <v>2.833989501312336</v>
      </c>
      <c r="D76">
        <f t="shared" si="16"/>
        <v>2.833989501312336</v>
      </c>
      <c r="E76">
        <f t="shared" si="16"/>
        <v>2.833989501312336</v>
      </c>
      <c r="F76">
        <f t="shared" si="16"/>
        <v>2.833989501312336</v>
      </c>
      <c r="G76">
        <f t="shared" si="16"/>
        <v>2.833989501312336</v>
      </c>
      <c r="H76">
        <f t="shared" si="16"/>
        <v>2.833989501312336</v>
      </c>
      <c r="I76">
        <f t="shared" si="16"/>
        <v>2.833989501312336</v>
      </c>
      <c r="J76">
        <f t="shared" si="16"/>
        <v>2.833989501312336</v>
      </c>
      <c r="K76">
        <f t="shared" si="16"/>
        <v>2.833989501312336</v>
      </c>
      <c r="L76">
        <f t="shared" si="16"/>
        <v>2.833989501312336</v>
      </c>
      <c r="M76">
        <f t="shared" si="16"/>
        <v>2.833989501312336</v>
      </c>
      <c r="N76">
        <f t="shared" si="16"/>
        <v>2.833989501312336</v>
      </c>
    </row>
    <row r="77" spans="1:15">
      <c r="A77" s="22" t="s">
        <v>80</v>
      </c>
      <c r="B77" s="2">
        <v>11.001018848700967</v>
      </c>
      <c r="C77">
        <f t="shared" si="16"/>
        <v>0.91675157072508062</v>
      </c>
      <c r="D77">
        <f t="shared" si="16"/>
        <v>0.91675157072508062</v>
      </c>
      <c r="E77">
        <f t="shared" si="16"/>
        <v>0.91675157072508062</v>
      </c>
      <c r="F77">
        <f t="shared" si="16"/>
        <v>0.91675157072508062</v>
      </c>
      <c r="G77">
        <f t="shared" si="16"/>
        <v>0.91675157072508062</v>
      </c>
      <c r="H77">
        <f t="shared" si="16"/>
        <v>0.91675157072508062</v>
      </c>
      <c r="I77">
        <f t="shared" si="16"/>
        <v>0.91675157072508062</v>
      </c>
      <c r="J77">
        <f t="shared" si="16"/>
        <v>0.91675157072508062</v>
      </c>
      <c r="K77">
        <f t="shared" si="16"/>
        <v>0.91675157072508062</v>
      </c>
      <c r="L77">
        <f t="shared" si="16"/>
        <v>0.91675157072508062</v>
      </c>
      <c r="M77">
        <f t="shared" si="16"/>
        <v>0.91675157072508062</v>
      </c>
      <c r="N77">
        <f t="shared" si="16"/>
        <v>0.91675157072508062</v>
      </c>
    </row>
    <row r="78" spans="1:15">
      <c r="A78" s="22" t="s">
        <v>81</v>
      </c>
      <c r="B78" s="2">
        <v>63.000204214600373</v>
      </c>
      <c r="C78">
        <f>+B78</f>
        <v>63.000204214600373</v>
      </c>
    </row>
    <row r="79" spans="1:15">
      <c r="A79" s="22" t="s">
        <v>82</v>
      </c>
      <c r="B79" s="2">
        <v>30.006947660954143</v>
      </c>
      <c r="C79">
        <f>+$B79*0.13</f>
        <v>3.9009031959240388</v>
      </c>
      <c r="D79">
        <f>+$B79*0.13</f>
        <v>3.9009031959240388</v>
      </c>
      <c r="E79">
        <f>+$B79*0.07</f>
        <v>2.10048633626679</v>
      </c>
      <c r="F79">
        <f>+$B79*0.07</f>
        <v>2.10048633626679</v>
      </c>
      <c r="G79" s="2"/>
      <c r="H79">
        <f>+$B79*0.07</f>
        <v>2.10048633626679</v>
      </c>
      <c r="I79">
        <f>+$B79*0.07</f>
        <v>2.10048633626679</v>
      </c>
      <c r="J79">
        <f>+$B79*0.07</f>
        <v>2.10048633626679</v>
      </c>
      <c r="K79">
        <f>+$B79*0.07</f>
        <v>2.10048633626679</v>
      </c>
      <c r="L79">
        <f>+$B79*0.13</f>
        <v>3.9009031959240388</v>
      </c>
      <c r="M79">
        <f>+$B79*0.06</f>
        <v>1.8004168596572485</v>
      </c>
      <c r="N79">
        <f>+$B79*0.13</f>
        <v>3.9009031959240388</v>
      </c>
    </row>
    <row r="80" spans="1:15">
      <c r="A80" s="22" t="s">
        <v>118</v>
      </c>
      <c r="B80" s="2">
        <v>109.99991510387041</v>
      </c>
      <c r="C80" s="2">
        <f>+B80</f>
        <v>109.99991510387041</v>
      </c>
    </row>
    <row r="81" spans="1:15">
      <c r="A81" s="22" t="s">
        <v>119</v>
      </c>
      <c r="B81" s="2">
        <v>12</v>
      </c>
      <c r="C81">
        <f>+$B81/12</f>
        <v>1</v>
      </c>
      <c r="D81">
        <f t="shared" ref="D81:N82" si="17">+$B81/12</f>
        <v>1</v>
      </c>
      <c r="E81">
        <f t="shared" si="17"/>
        <v>1</v>
      </c>
      <c r="F81">
        <f t="shared" si="17"/>
        <v>1</v>
      </c>
      <c r="G81">
        <f t="shared" si="17"/>
        <v>1</v>
      </c>
      <c r="H81">
        <f t="shared" si="17"/>
        <v>1</v>
      </c>
      <c r="I81">
        <f t="shared" si="17"/>
        <v>1</v>
      </c>
      <c r="J81">
        <f t="shared" si="17"/>
        <v>1</v>
      </c>
      <c r="K81">
        <f t="shared" si="17"/>
        <v>1</v>
      </c>
      <c r="L81">
        <f t="shared" si="17"/>
        <v>1</v>
      </c>
      <c r="M81">
        <f t="shared" si="17"/>
        <v>1</v>
      </c>
      <c r="N81">
        <f t="shared" si="17"/>
        <v>1</v>
      </c>
    </row>
    <row r="82" spans="1:15" ht="15.75" thickBot="1">
      <c r="A82" s="22" t="s">
        <v>66</v>
      </c>
      <c r="B82" s="2">
        <v>49.000105888937625</v>
      </c>
      <c r="C82">
        <f>+$B82/12</f>
        <v>4.0833421574114688</v>
      </c>
      <c r="D82">
        <f t="shared" si="17"/>
        <v>4.0833421574114688</v>
      </c>
      <c r="E82">
        <f t="shared" si="17"/>
        <v>4.0833421574114688</v>
      </c>
      <c r="F82">
        <f t="shared" si="17"/>
        <v>4.0833421574114688</v>
      </c>
      <c r="G82">
        <f t="shared" si="17"/>
        <v>4.0833421574114688</v>
      </c>
      <c r="H82">
        <f t="shared" si="17"/>
        <v>4.0833421574114688</v>
      </c>
      <c r="I82">
        <f t="shared" si="17"/>
        <v>4.0833421574114688</v>
      </c>
      <c r="J82">
        <f t="shared" si="17"/>
        <v>4.0833421574114688</v>
      </c>
      <c r="K82">
        <f t="shared" si="17"/>
        <v>4.0833421574114688</v>
      </c>
      <c r="L82">
        <f t="shared" si="17"/>
        <v>4.0833421574114688</v>
      </c>
      <c r="M82">
        <f t="shared" si="17"/>
        <v>4.0833421574114688</v>
      </c>
      <c r="N82">
        <f t="shared" si="17"/>
        <v>4.0833421574114688</v>
      </c>
    </row>
    <row r="83" spans="1:15" ht="15.75" thickBot="1">
      <c r="A83" s="37" t="s">
        <v>110</v>
      </c>
      <c r="B83" s="31">
        <v>687.07256615738595</v>
      </c>
      <c r="C83" s="34">
        <f>SUM(C66:C82)</f>
        <v>192.68684431171536</v>
      </c>
      <c r="D83" s="35">
        <f t="shared" ref="D83:N83" si="18">SUM(D66:D82)</f>
        <v>33.23284464605787</v>
      </c>
      <c r="E83" s="35">
        <f t="shared" si="18"/>
        <v>31.932427786400623</v>
      </c>
      <c r="F83" s="35">
        <f t="shared" si="18"/>
        <v>55.732238263793207</v>
      </c>
      <c r="G83" s="35">
        <f t="shared" si="18"/>
        <v>69.982729373415026</v>
      </c>
      <c r="H83" s="35">
        <f t="shared" si="18"/>
        <v>35.479321999570807</v>
      </c>
      <c r="I83" s="35">
        <f t="shared" si="18"/>
        <v>43.979307181353292</v>
      </c>
      <c r="J83" s="35">
        <f t="shared" si="18"/>
        <v>38.504101912422655</v>
      </c>
      <c r="K83" s="35">
        <f t="shared" si="18"/>
        <v>33.204320500380369</v>
      </c>
      <c r="L83" s="35">
        <f t="shared" si="18"/>
        <v>33.404635475167524</v>
      </c>
      <c r="M83" s="35">
        <f t="shared" si="18"/>
        <v>79.304174800719025</v>
      </c>
      <c r="N83" s="36">
        <f t="shared" si="18"/>
        <v>39.629619906390147</v>
      </c>
      <c r="O83" s="40">
        <f>SUM(C83:N83)</f>
        <v>687.07256615738595</v>
      </c>
    </row>
    <row r="84" spans="1:15" ht="15.75" thickBot="1">
      <c r="A84" s="152" t="s">
        <v>122</v>
      </c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</row>
    <row r="85" spans="1:15" ht="15.75" thickBot="1">
      <c r="A85" s="37" t="s">
        <v>111</v>
      </c>
      <c r="B85" s="29"/>
      <c r="C85" s="34">
        <f t="shared" ref="C85:N85" si="19">+C63+C83</f>
        <v>192.68684431171536</v>
      </c>
      <c r="D85" s="35">
        <f t="shared" si="19"/>
        <v>292.15015573003564</v>
      </c>
      <c r="E85" s="35">
        <f t="shared" si="19"/>
        <v>290.84973887037842</v>
      </c>
      <c r="F85" s="35">
        <f t="shared" si="19"/>
        <v>333.63731051963225</v>
      </c>
      <c r="G85" s="35">
        <f t="shared" si="19"/>
        <v>134.71192296614024</v>
      </c>
      <c r="H85" s="35">
        <f t="shared" si="19"/>
        <v>309.80147065363275</v>
      </c>
      <c r="I85" s="35">
        <f t="shared" si="19"/>
        <v>415.29934385657759</v>
      </c>
      <c r="J85" s="35">
        <f t="shared" si="19"/>
        <v>333.64306742966409</v>
      </c>
      <c r="K85" s="35">
        <f t="shared" si="19"/>
        <v>33.204320500380369</v>
      </c>
      <c r="L85" s="35">
        <f t="shared" si="19"/>
        <v>59.204672150391744</v>
      </c>
      <c r="M85" s="35">
        <f t="shared" si="19"/>
        <v>79.304174800719025</v>
      </c>
      <c r="N85" s="36">
        <f t="shared" si="19"/>
        <v>42.129619906390147</v>
      </c>
      <c r="O85" s="40">
        <f>SUM(C85:N85)</f>
        <v>2516.622641695657</v>
      </c>
    </row>
  </sheetData>
  <mergeCells count="1">
    <mergeCell ref="A84:O84"/>
  </mergeCells>
  <conditionalFormatting sqref="C20:N61 C83:O83">
    <cfRule type="notContainsBlanks" dxfId="348" priority="8">
      <formula>LEN(TRIM(C20))&gt;0</formula>
    </cfRule>
    <cfRule type="containsBlanks" dxfId="347" priority="9">
      <formula>LEN(TRIM(C20))=0</formula>
    </cfRule>
  </conditionalFormatting>
  <conditionalFormatting sqref="C66:N82">
    <cfRule type="notContainsBlanks" dxfId="346" priority="1">
      <formula>LEN(TRIM(C66))&gt;0</formula>
    </cfRule>
    <cfRule type="containsBlanks" dxfId="345" priority="2">
      <formula>LEN(TRIM(C66))=0</formula>
    </cfRule>
  </conditionalFormatting>
  <conditionalFormatting sqref="C63:O63">
    <cfRule type="notContainsBlanks" dxfId="344" priority="6">
      <formula>LEN(TRIM(C63))&gt;0</formula>
    </cfRule>
    <cfRule type="containsBlanks" dxfId="343" priority="7">
      <formula>LEN(TRIM(C63))=0</formula>
    </cfRule>
  </conditionalFormatting>
  <conditionalFormatting sqref="C85:O85">
    <cfRule type="notContainsBlanks" dxfId="342" priority="3">
      <formula>LEN(TRIM(C85))&gt;0</formula>
    </cfRule>
    <cfRule type="containsBlanks" dxfId="341" priority="4">
      <formula>LEN(TRIM(C85))=0</formula>
    </cfRule>
  </conditionalFormatting>
  <pageMargins left="0.7" right="0.7" top="0.75" bottom="0.75" header="0.3" footer="0.3"/>
  <ignoredErrors>
    <ignoredError sqref="C79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27"/>
  <sheetViews>
    <sheetView topLeftCell="A12" zoomScale="90" zoomScaleNormal="90" workbookViewId="0">
      <selection activeCell="J123" sqref="J123"/>
    </sheetView>
  </sheetViews>
  <sheetFormatPr baseColWidth="10" defaultRowHeight="15" outlineLevelRow="2"/>
  <cols>
    <col min="1" max="1" width="31.28515625" bestFit="1" customWidth="1"/>
    <col min="2" max="2" width="12.7109375" bestFit="1" customWidth="1"/>
    <col min="3" max="3" width="10.42578125" bestFit="1" customWidth="1"/>
    <col min="4" max="7" width="11.42578125" bestFit="1" customWidth="1"/>
    <col min="8" max="9" width="11.28515625" bestFit="1" customWidth="1"/>
    <col min="10" max="10" width="11.42578125" bestFit="1" customWidth="1"/>
    <col min="11" max="11" width="10.140625" bestFit="1" customWidth="1"/>
    <col min="12" max="13" width="11.28515625" bestFit="1" customWidth="1"/>
    <col min="14" max="14" width="11" bestFit="1" customWidth="1"/>
    <col min="16" max="16" width="15.42578125" bestFit="1" customWidth="1"/>
  </cols>
  <sheetData>
    <row r="1" spans="1:16" outlineLevel="2">
      <c r="A1" s="30" t="s">
        <v>120</v>
      </c>
      <c r="B1" s="41" t="s">
        <v>121</v>
      </c>
      <c r="C1" s="42">
        <f>+INDEX(Tabla2[Precio Jornal],MATCH(C$25,Tabla2[Mes],0))</f>
        <v>19319.199999999997</v>
      </c>
      <c r="D1" s="42">
        <f>+INDEX(Tabla2[Precio Jornal],MATCH(D$25,Tabla2[Mes],0))</f>
        <v>19646</v>
      </c>
      <c r="E1" s="42">
        <f>+INDEX(Tabla2[Precio Jornal],MATCH(E$25,Tabla2[Mes],0))</f>
        <v>19976.599999999999</v>
      </c>
      <c r="F1" s="42">
        <f>+INDEX(Tabla2[Precio Jornal],MATCH(F$25,Tabla2[Mes],0))</f>
        <v>20312.899999999998</v>
      </c>
      <c r="G1" s="42">
        <f>+INDEX(Tabla2[Precio Jornal],MATCH(G$25,Tabla2[Mes],0))</f>
        <v>20654.899999999998</v>
      </c>
      <c r="H1" s="42">
        <f>+INDEX(Tabla2[Precio Jornal],MATCH(H$25,Tabla2[Mes],0))</f>
        <v>21002.6</v>
      </c>
      <c r="I1" s="42">
        <f>+INDEX(Tabla2[Precio Jornal],MATCH(I$25,Tabla2[Mes],0))</f>
        <v>21357.9</v>
      </c>
      <c r="J1" s="42">
        <f>+INDEX(Tabla2[Precio Jornal],MATCH(J$25,Tabla2[Mes],0))</f>
        <v>21717</v>
      </c>
      <c r="K1" s="42">
        <f>+INDEX(Tabla2[Precio Jornal],MATCH(K$25,Tabla2[Mes],0))</f>
        <v>22083.7</v>
      </c>
      <c r="L1" s="42">
        <f>+INDEX(Tabla2[Precio Jornal],MATCH(L$25,Tabla2[Mes],0))</f>
        <v>22454.2</v>
      </c>
      <c r="M1" s="42">
        <f>+INDEX(Tabla2[Precio Jornal],MATCH(M$25,Tabla2[Mes],0))</f>
        <v>22834.2</v>
      </c>
      <c r="N1" s="42">
        <f>+INDEX(Tabla2[Precio Jornal],MATCH(N$25,Tabla2[Mes],0))</f>
        <v>23218</v>
      </c>
    </row>
    <row r="2" spans="1:16" outlineLevel="2">
      <c r="A2" s="30" t="s">
        <v>123</v>
      </c>
      <c r="B2" s="29"/>
      <c r="C2" s="44">
        <v>23.5</v>
      </c>
      <c r="D2" s="44">
        <v>20.5</v>
      </c>
      <c r="E2" s="44">
        <v>24</v>
      </c>
      <c r="F2" s="44">
        <v>24</v>
      </c>
      <c r="G2" s="44">
        <v>23</v>
      </c>
      <c r="H2" s="44">
        <v>24.5</v>
      </c>
      <c r="I2" s="44">
        <v>22.5</v>
      </c>
      <c r="J2" s="44">
        <v>23</v>
      </c>
      <c r="K2" s="44">
        <v>24</v>
      </c>
      <c r="L2" s="44">
        <v>20.5</v>
      </c>
      <c r="M2" s="44">
        <v>23</v>
      </c>
      <c r="N2" s="44">
        <v>22</v>
      </c>
    </row>
    <row r="3" spans="1:16" outlineLevel="2">
      <c r="A3" s="30" t="s">
        <v>183</v>
      </c>
      <c r="B3" s="54">
        <f>23</f>
        <v>23</v>
      </c>
      <c r="C3" s="46">
        <f t="shared" ref="C3:N3" si="0">+$B3*C2</f>
        <v>540.5</v>
      </c>
      <c r="D3" s="46">
        <f t="shared" si="0"/>
        <v>471.5</v>
      </c>
      <c r="E3" s="46">
        <f t="shared" si="0"/>
        <v>552</v>
      </c>
      <c r="F3" s="46">
        <f t="shared" si="0"/>
        <v>552</v>
      </c>
      <c r="G3" s="46">
        <f t="shared" si="0"/>
        <v>529</v>
      </c>
      <c r="H3" s="46">
        <f t="shared" si="0"/>
        <v>563.5</v>
      </c>
      <c r="I3" s="46">
        <f t="shared" si="0"/>
        <v>517.5</v>
      </c>
      <c r="J3" s="46">
        <f t="shared" si="0"/>
        <v>529</v>
      </c>
      <c r="K3" s="46">
        <f t="shared" si="0"/>
        <v>552</v>
      </c>
      <c r="L3" s="46">
        <f t="shared" si="0"/>
        <v>471.5</v>
      </c>
      <c r="M3" s="46">
        <f t="shared" si="0"/>
        <v>529</v>
      </c>
      <c r="N3" s="46">
        <f t="shared" si="0"/>
        <v>506</v>
      </c>
    </row>
    <row r="4" spans="1:16" outlineLevel="2">
      <c r="A4" s="30" t="s">
        <v>132</v>
      </c>
      <c r="B4" s="54">
        <f>+SUMIF(TablaGeneral[Finca],"El Espejo I",TablaGeneral[Resumen Jornales totales de Cosecha])+SUMIF(TablaGeneral[Finca],"El Espejo II",TablaGeneral[Resumen Jornales totales de Cosecha])+SUMIF(TablaGeneral[Finca],"El Espejo III",TablaGeneral[Resumen Jornales totales de Cosecha])</f>
        <v>936.11197556294974</v>
      </c>
      <c r="C4" s="49"/>
      <c r="D4" s="49"/>
      <c r="E4" s="49"/>
      <c r="F4" s="49"/>
      <c r="G4" s="49"/>
      <c r="H4" s="49"/>
      <c r="I4" s="49"/>
      <c r="J4" s="49"/>
      <c r="K4" s="49">
        <f>+B4*0.2</f>
        <v>187.22239511258996</v>
      </c>
      <c r="L4" s="49">
        <f>+B4*0.4</f>
        <v>374.44479022517993</v>
      </c>
      <c r="M4" s="49">
        <f>+B4*0.4</f>
        <v>374.44479022517993</v>
      </c>
      <c r="N4" s="49"/>
    </row>
    <row r="5" spans="1:16" outlineLevel="2">
      <c r="A5" s="30" t="s">
        <v>133</v>
      </c>
      <c r="B5" s="54">
        <f>+SUMIFS(TablaGeneral[Resumen Jornales totales de Secado],TablaGeneral[Finca],"Camino truncado")*0.75</f>
        <v>850.03374188158273</v>
      </c>
      <c r="C5" s="49">
        <f t="shared" ref="C5:N5" si="1">+$B5*C24</f>
        <v>116.9732822712992</v>
      </c>
      <c r="D5" s="49">
        <f t="shared" si="1"/>
        <v>100.70988159754442</v>
      </c>
      <c r="E5" s="49">
        <f t="shared" si="1"/>
        <v>0</v>
      </c>
      <c r="F5" s="49">
        <f t="shared" si="1"/>
        <v>0</v>
      </c>
      <c r="G5" s="49">
        <f t="shared" si="1"/>
        <v>8.1317003368773868</v>
      </c>
      <c r="H5" s="49">
        <f t="shared" si="1"/>
        <v>0</v>
      </c>
      <c r="I5" s="49">
        <f t="shared" si="1"/>
        <v>0</v>
      </c>
      <c r="J5" s="49">
        <f t="shared" si="1"/>
        <v>2.7105667789591288</v>
      </c>
      <c r="K5" s="49">
        <f t="shared" si="1"/>
        <v>67.185170486928428</v>
      </c>
      <c r="L5" s="49">
        <f t="shared" si="1"/>
        <v>220.99738713880245</v>
      </c>
      <c r="M5" s="49">
        <f t="shared" si="1"/>
        <v>205.40676652895547</v>
      </c>
      <c r="N5" s="49">
        <f t="shared" si="1"/>
        <v>127.8155493871357</v>
      </c>
    </row>
    <row r="6" spans="1:16" outlineLevel="2">
      <c r="A6" s="30" t="s">
        <v>125</v>
      </c>
      <c r="B6" s="52">
        <f t="shared" ref="B6:B23" si="2">SUM(C6:N6)</f>
        <v>19936.788260752586</v>
      </c>
      <c r="C6" s="51">
        <f>+(C127+C4+C5)-C3</f>
        <v>268.40932272604778</v>
      </c>
      <c r="D6" s="51">
        <f t="shared" ref="D6:N6" si="3">+D127+D4+D5-D3</f>
        <v>1968.5861798313285</v>
      </c>
      <c r="E6" s="51">
        <f t="shared" si="3"/>
        <v>1914.8032138571034</v>
      </c>
      <c r="F6" s="51">
        <f t="shared" si="3"/>
        <v>2303.1976703266091</v>
      </c>
      <c r="G6" s="51">
        <f t="shared" si="3"/>
        <v>1662.9109532290454</v>
      </c>
      <c r="H6" s="51">
        <f t="shared" si="3"/>
        <v>1862.7863381828533</v>
      </c>
      <c r="I6" s="51">
        <f t="shared" si="3"/>
        <v>2963.5331313296633</v>
      </c>
      <c r="J6" s="51">
        <f t="shared" si="3"/>
        <v>3129.1805320679587</v>
      </c>
      <c r="K6" s="51">
        <f t="shared" si="3"/>
        <v>405.26266623623428</v>
      </c>
      <c r="L6" s="51">
        <f t="shared" si="3"/>
        <v>1395.6328354284424</v>
      </c>
      <c r="M6" s="51">
        <f t="shared" si="3"/>
        <v>1446.5130895022653</v>
      </c>
      <c r="N6" s="51">
        <f t="shared" si="3"/>
        <v>615.97232803503402</v>
      </c>
    </row>
    <row r="7" spans="1:16" outlineLevel="2">
      <c r="A7" s="30" t="s">
        <v>185</v>
      </c>
      <c r="B7" s="53">
        <f t="shared" si="2"/>
        <v>421237185.64707446</v>
      </c>
      <c r="C7" s="53">
        <f>+C6*C1</f>
        <v>5185453.3876090618</v>
      </c>
      <c r="D7" s="53">
        <f t="shared" ref="D7:N7" si="4">+D6*D1</f>
        <v>38674844.08896628</v>
      </c>
      <c r="E7" s="53">
        <f t="shared" si="4"/>
        <v>38251257.881937809</v>
      </c>
      <c r="F7" s="53">
        <f t="shared" si="4"/>
        <v>46784623.95757737</v>
      </c>
      <c r="G7" s="53">
        <f t="shared" si="4"/>
        <v>34347259.447850607</v>
      </c>
      <c r="H7" s="53">
        <f t="shared" si="4"/>
        <v>39123356.346319191</v>
      </c>
      <c r="I7" s="53">
        <f t="shared" si="4"/>
        <v>63294844.26562582</v>
      </c>
      <c r="J7" s="53">
        <f t="shared" si="4"/>
        <v>67956413.614919856</v>
      </c>
      <c r="K7" s="53">
        <f t="shared" si="4"/>
        <v>8949699.1423611268</v>
      </c>
      <c r="L7" s="53">
        <f t="shared" si="4"/>
        <v>31337818.81327733</v>
      </c>
      <c r="M7" s="53">
        <f t="shared" si="4"/>
        <v>33029969.188312627</v>
      </c>
      <c r="N7" s="53">
        <f t="shared" si="4"/>
        <v>14301645.512317421</v>
      </c>
      <c r="P7" s="43" t="s">
        <v>149</v>
      </c>
    </row>
    <row r="8" spans="1:16" outlineLevel="2">
      <c r="A8" s="30" t="s">
        <v>362</v>
      </c>
      <c r="B8" s="53">
        <f t="shared" si="2"/>
        <v>354272.22721995279</v>
      </c>
      <c r="C8" s="53">
        <f>+C7/INDEX(Tabla2[TC],MATCH(C25,Tabla2[Mes],0))</f>
        <v>4601.1121451721929</v>
      </c>
      <c r="D8" s="53">
        <f>+D7/INDEX(Tabla2[TC],MATCH(D25,Tabla2[Mes],0))</f>
        <v>33976.863212564931</v>
      </c>
      <c r="E8" s="53">
        <f>+E7/INDEX(Tabla2[TC],MATCH(E25,Tabla2[Mes],0))</f>
        <v>33272.011523078065</v>
      </c>
      <c r="F8" s="53">
        <f>+F7/INDEX(Tabla2[TC],MATCH(F25,Tabla2[Mes],0))</f>
        <v>40291.654913686099</v>
      </c>
      <c r="G8" s="53">
        <f>+G7/INDEX(Tabla2[TC],MATCH(G25,Tabla2[Mes],0))</f>
        <v>29287.525480245018</v>
      </c>
      <c r="H8" s="53">
        <f>+H7/INDEX(Tabla2[TC],MATCH(H25,Tabla2[Mes],0))</f>
        <v>33029.75257101548</v>
      </c>
      <c r="I8" s="53">
        <f>+I7/INDEX(Tabla2[TC],MATCH(I25,Tabla2[Mes],0))</f>
        <v>52907.370414010511</v>
      </c>
      <c r="J8" s="53">
        <f>+J7/INDEX(Tabla2[TC],MATCH(J25,Tabla2[Mes],0))</f>
        <v>56241.503027312807</v>
      </c>
      <c r="K8" s="53">
        <f>+K7/INDEX(Tabla2[TC],MATCH(K25,Tabla2[Mes],0))</f>
        <v>7333.5377144940894</v>
      </c>
      <c r="L8" s="53">
        <f>+L7/INDEX(Tabla2[TC],MATCH(L25,Tabla2[Mes],0))</f>
        <v>25424.503767341826</v>
      </c>
      <c r="M8" s="53">
        <f>+M7/INDEX(Tabla2[TC],MATCH(M25,Tabla2[Mes],0))</f>
        <v>26532.032138500985</v>
      </c>
      <c r="N8" s="53">
        <f>+N7/INDEX(Tabla2[TC],MATCH(N25,Tabla2[Mes],0))</f>
        <v>11374.360312530778</v>
      </c>
      <c r="P8" s="53">
        <f>+B8/(SUMIFS(TablaGeneral[Has],TablaGeneral[Finca],"El Espejo I")+SUMIFS(TablaGeneral[Has],TablaGeneral[Finca],"El Espejo II")+SUMIFS(TablaGeneral[Has],TablaGeneral[Finca],"El Espejo III"))</f>
        <v>1422.4943875525105</v>
      </c>
    </row>
    <row r="9" spans="1:16" outlineLevel="2">
      <c r="A9" s="30" t="s">
        <v>367</v>
      </c>
      <c r="B9" s="53">
        <f t="shared" si="2"/>
        <v>291496132.46777552</v>
      </c>
      <c r="C9" s="53">
        <f>+C7*0.692</f>
        <v>3588333.7442254703</v>
      </c>
      <c r="D9" s="53">
        <f t="shared" ref="D9:N9" si="5">+D7*0.692</f>
        <v>26762992.109564666</v>
      </c>
      <c r="E9" s="53">
        <f t="shared" si="5"/>
        <v>26469870.454300962</v>
      </c>
      <c r="F9" s="53">
        <f t="shared" si="5"/>
        <v>32374959.778643537</v>
      </c>
      <c r="G9" s="53">
        <f t="shared" si="5"/>
        <v>23768303.537912618</v>
      </c>
      <c r="H9" s="53">
        <f t="shared" si="5"/>
        <v>27073362.591652878</v>
      </c>
      <c r="I9" s="53">
        <f t="shared" si="5"/>
        <v>43800032.231813066</v>
      </c>
      <c r="J9" s="53">
        <f t="shared" si="5"/>
        <v>47025838.221524537</v>
      </c>
      <c r="K9" s="53">
        <f t="shared" si="5"/>
        <v>6193191.806513899</v>
      </c>
      <c r="L9" s="53">
        <f t="shared" si="5"/>
        <v>21685770.618787911</v>
      </c>
      <c r="M9" s="53">
        <f t="shared" si="5"/>
        <v>22856738.678312335</v>
      </c>
      <c r="N9" s="53">
        <f t="shared" si="5"/>
        <v>9896738.6945236549</v>
      </c>
      <c r="P9" s="67" t="s">
        <v>187</v>
      </c>
    </row>
    <row r="10" spans="1:16" outlineLevel="2">
      <c r="A10" s="30" t="s">
        <v>368</v>
      </c>
      <c r="B10" s="53">
        <f t="shared" si="2"/>
        <v>245156.38123620729</v>
      </c>
      <c r="C10" s="53">
        <f>+C9/INDEX(Tabla2[TC],MATCH(C25,Tabla2[Mes],0))</f>
        <v>3183.9696044591574</v>
      </c>
      <c r="D10" s="53">
        <f>+D9/INDEX(Tabla2[TC],MATCH(D25,Tabla2[Mes],0))</f>
        <v>23511.989343094931</v>
      </c>
      <c r="E10" s="53">
        <f>+E9/INDEX(Tabla2[TC],MATCH(E25,Tabla2[Mes],0))</f>
        <v>23024.231973970018</v>
      </c>
      <c r="F10" s="53">
        <f>+F9/INDEX(Tabla2[TC],MATCH(F25,Tabla2[Mes],0))</f>
        <v>27881.825200270778</v>
      </c>
      <c r="G10" s="53">
        <f>+G9/INDEX(Tabla2[TC],MATCH(G25,Tabla2[Mes],0))</f>
        <v>20266.967632329553</v>
      </c>
      <c r="H10" s="53">
        <f>+H9/INDEX(Tabla2[TC],MATCH(H25,Tabla2[Mes],0))</f>
        <v>22856.588779142709</v>
      </c>
      <c r="I10" s="53">
        <f>+I9/INDEX(Tabla2[TC],MATCH(I25,Tabla2[Mes],0))</f>
        <v>36611.90032649527</v>
      </c>
      <c r="J10" s="53">
        <f>+J9/INDEX(Tabla2[TC],MATCH(J25,Tabla2[Mes],0))</f>
        <v>38919.120094900456</v>
      </c>
      <c r="K10" s="53">
        <f>+K9/INDEX(Tabla2[TC],MATCH(K25,Tabla2[Mes],0))</f>
        <v>5074.8080984299095</v>
      </c>
      <c r="L10" s="53">
        <f>+L9/INDEX(Tabla2[TC],MATCH(L25,Tabla2[Mes],0))</f>
        <v>17593.756607000541</v>
      </c>
      <c r="M10" s="53">
        <f>+M9/INDEX(Tabla2[TC],MATCH(M25,Tabla2[Mes],0))</f>
        <v>18360.166239842678</v>
      </c>
      <c r="N10" s="53">
        <f>+N9/INDEX(Tabla2[TC],MATCH(N25,Tabla2[Mes],0))</f>
        <v>7871.0573362712985</v>
      </c>
      <c r="P10" s="53">
        <f>+B8/(SUMIFS(TablaGeneral[Has],TablaGeneral[Finca],"El Espejo I")+SUMIFS(TablaGeneral[Has],TablaGeneral[Finca],"El Espejo II"))</f>
        <v>2361.8148481330181</v>
      </c>
    </row>
    <row r="11" spans="1:16" outlineLevel="2">
      <c r="A11" s="30" t="s">
        <v>369</v>
      </c>
      <c r="B11" s="53">
        <f t="shared" si="2"/>
        <v>122495773.58616927</v>
      </c>
      <c r="C11" s="53">
        <f>+C7*0.2908</f>
        <v>1507929.8451167152</v>
      </c>
      <c r="D11" s="53">
        <f t="shared" ref="D11:N11" si="6">+D7*0.2908</f>
        <v>11246644.661071394</v>
      </c>
      <c r="E11" s="53">
        <f t="shared" si="6"/>
        <v>11123465.792067515</v>
      </c>
      <c r="F11" s="53">
        <f t="shared" si="6"/>
        <v>13604968.6468635</v>
      </c>
      <c r="G11" s="53">
        <f t="shared" si="6"/>
        <v>9988183.0474349558</v>
      </c>
      <c r="H11" s="53">
        <f t="shared" si="6"/>
        <v>11377072.02550962</v>
      </c>
      <c r="I11" s="53">
        <f t="shared" si="6"/>
        <v>18406140.712443989</v>
      </c>
      <c r="J11" s="53">
        <f t="shared" si="6"/>
        <v>19761725.079218693</v>
      </c>
      <c r="K11" s="53">
        <f t="shared" si="6"/>
        <v>2602572.5105986157</v>
      </c>
      <c r="L11" s="53">
        <f t="shared" si="6"/>
        <v>9113037.710901048</v>
      </c>
      <c r="M11" s="53">
        <f t="shared" si="6"/>
        <v>9605115.039961312</v>
      </c>
      <c r="N11" s="53">
        <f t="shared" si="6"/>
        <v>4158918.5149819059</v>
      </c>
      <c r="P11" s="67" t="s">
        <v>189</v>
      </c>
    </row>
    <row r="12" spans="1:16" outlineLevel="2">
      <c r="A12" s="30" t="s">
        <v>370</v>
      </c>
      <c r="B12" s="53">
        <f t="shared" si="2"/>
        <v>103022.36367556226</v>
      </c>
      <c r="C12" s="53">
        <f>+C11/INDEX(Tabla2[TC],MATCH(C25,Tabla2[Mes],0))</f>
        <v>1338.0034118160738</v>
      </c>
      <c r="D12" s="53">
        <f>+D11/INDEX(Tabla2[TC],MATCH(D25,Tabla2[Mes],0))</f>
        <v>9880.4718222138799</v>
      </c>
      <c r="E12" s="53">
        <f>+E11/INDEX(Tabla2[TC],MATCH(E25,Tabla2[Mes],0))</f>
        <v>9675.5009509111005</v>
      </c>
      <c r="F12" s="53">
        <f>+F11/INDEX(Tabla2[TC],MATCH(F25,Tabla2[Mes],0))</f>
        <v>11716.813248899918</v>
      </c>
      <c r="G12" s="53">
        <f>+G11/INDEX(Tabla2[TC],MATCH(G25,Tabla2[Mes],0))</f>
        <v>8516.812409655251</v>
      </c>
      <c r="H12" s="53">
        <f>+H11/INDEX(Tabla2[TC],MATCH(H25,Tabla2[Mes],0))</f>
        <v>9605.0520476513011</v>
      </c>
      <c r="I12" s="53">
        <f>+I11/INDEX(Tabla2[TC],MATCH(I25,Tabla2[Mes],0))</f>
        <v>15385.463316394256</v>
      </c>
      <c r="J12" s="53">
        <f>+J11/INDEX(Tabla2[TC],MATCH(J25,Tabla2[Mes],0))</f>
        <v>16355.029080342563</v>
      </c>
      <c r="K12" s="53">
        <f>+K11/INDEX(Tabla2[TC],MATCH(K25,Tabla2[Mes],0))</f>
        <v>2132.5927673748815</v>
      </c>
      <c r="L12" s="53">
        <f>+L11/INDEX(Tabla2[TC],MATCH(L25,Tabla2[Mes],0))</f>
        <v>7393.4456955430032</v>
      </c>
      <c r="M12" s="53">
        <f>+M11/INDEX(Tabla2[TC],MATCH(M25,Tabla2[Mes],0))</f>
        <v>7715.5149458760861</v>
      </c>
      <c r="N12" s="53">
        <f>+N11/INDEX(Tabla2[TC],MATCH(N25,Tabla2[Mes],0))</f>
        <v>3307.6639788839502</v>
      </c>
      <c r="P12" s="53">
        <f>+B12/63.69</f>
        <v>1617.5594861919024</v>
      </c>
    </row>
    <row r="13" spans="1:16" outlineLevel="2">
      <c r="A13" s="30" t="s">
        <v>152</v>
      </c>
      <c r="B13" s="57">
        <f t="shared" si="2"/>
        <v>12070.880211663163</v>
      </c>
      <c r="C13" s="57">
        <f>+(SUM(C26:C28,C37:C39,C48:C50,C59:C61,C70:C72,C118,C81:C83,C92:C94)*10)</f>
        <v>0</v>
      </c>
      <c r="D13" s="57">
        <f>+(SUM(D26:D28,D37:D39,D48:D50,D59:D61,D70:D72,D118,D81:D83,D92:D94)*19.5)</f>
        <v>1694.4646291350573</v>
      </c>
      <c r="E13" s="57">
        <f t="shared" ref="E13:N13" si="7">+(SUM(E26:E28,E37:E39,E48:E50,E59:E61,E70:E72,E118,E81:E83,E92:E94)*19.5)</f>
        <v>1694.4646291350573</v>
      </c>
      <c r="F13" s="57">
        <f t="shared" si="7"/>
        <v>2838.1613840724658</v>
      </c>
      <c r="G13" s="57">
        <f t="shared" si="7"/>
        <v>1191.4785980178708</v>
      </c>
      <c r="H13" s="57">
        <f t="shared" si="7"/>
        <v>1523.5248144578125</v>
      </c>
      <c r="I13" s="57">
        <f t="shared" si="7"/>
        <v>1099.9086571740479</v>
      </c>
      <c r="J13" s="57">
        <f t="shared" si="7"/>
        <v>676.29249989028369</v>
      </c>
      <c r="K13" s="57">
        <f t="shared" si="7"/>
        <v>0</v>
      </c>
      <c r="L13" s="57">
        <f t="shared" si="7"/>
        <v>676.29249989028369</v>
      </c>
      <c r="M13" s="57">
        <f t="shared" si="7"/>
        <v>676.29249989028369</v>
      </c>
      <c r="N13" s="57">
        <f t="shared" si="7"/>
        <v>0</v>
      </c>
      <c r="P13" s="56"/>
    </row>
    <row r="14" spans="1:16" outlineLevel="2">
      <c r="A14" s="30" t="s">
        <v>154</v>
      </c>
      <c r="B14" s="57">
        <f t="shared" si="2"/>
        <v>8565.1717149510878</v>
      </c>
      <c r="C14" s="57">
        <f>+SUMIFS(TablaGeneral[Resumen Jornales totales de Secado],TablaGeneral[Ref Fincas],"El Espejo")*10*C24*0.75</f>
        <v>1178.7981242453518</v>
      </c>
      <c r="D14" s="57">
        <f>+SUMIFS(TablaGeneral[Resumen Jornales totales de Secado],TablaGeneral[Ref Fincas],"El Espejo")*10*D24*0.75</f>
        <v>1014.9037217303544</v>
      </c>
      <c r="E14" s="57">
        <f>+SUMIFS(TablaGeneral[Resumen Jornales totales de Secado],TablaGeneral[Ref Fincas],"El Espejo")*10*E24*0.75</f>
        <v>0</v>
      </c>
      <c r="F14" s="57">
        <f>+SUMIFS(TablaGeneral[Resumen Jornales totales de Secado],TablaGeneral[Ref Fincas],"El Espejo")*10*F24*0.75</f>
        <v>0</v>
      </c>
      <c r="G14" s="57">
        <f>+SUMIFS(TablaGeneral[Resumen Jornales totales de Secado],TablaGeneral[Ref Fincas],"El Espejo")*10*G24*0.75</f>
        <v>81.947201257498676</v>
      </c>
      <c r="H14" s="57">
        <f>+SUMIFS(TablaGeneral[Resumen Jornales totales de Secado],TablaGeneral[Ref Fincas],"El Espejo")*10*H24*0.75</f>
        <v>0</v>
      </c>
      <c r="I14" s="57">
        <f>+SUMIFS(TablaGeneral[Resumen Jornales totales de Secado],TablaGeneral[Ref Fincas],"El Espejo")*10*I24*0.75</f>
        <v>0</v>
      </c>
      <c r="J14" s="57">
        <f>+SUMIFS(TablaGeneral[Resumen Jornales totales de Secado],TablaGeneral[Ref Fincas],"El Espejo")*10*J24*0.75</f>
        <v>27.315733752499554</v>
      </c>
      <c r="K14" s="57">
        <f>+SUMIFS(TablaGeneral[Resumen Jornales totales de Secado],TablaGeneral[Ref Fincas],"El Espejo")*10*K24*0.75</f>
        <v>677.05848215330025</v>
      </c>
      <c r="L14" s="57">
        <f>+SUMIFS(TablaGeneral[Resumen Jornales totales de Secado],TablaGeneral[Ref Fincas],"El Espejo")*10*L24*0.75</f>
        <v>2227.1009273565005</v>
      </c>
      <c r="M14" s="57">
        <f>+SUMIFS(TablaGeneral[Resumen Jornales totales de Secado],TablaGeneral[Ref Fincas],"El Espejo")*10*M24*0.75</f>
        <v>2069.986465200232</v>
      </c>
      <c r="N14" s="57">
        <f>+SUMIFS(TablaGeneral[Resumen Jornales totales de Secado],TablaGeneral[Ref Fincas],"El Espejo")*10*N24*0.75</f>
        <v>1288.0610592553498</v>
      </c>
      <c r="P14" s="56"/>
    </row>
    <row r="15" spans="1:16" outlineLevel="2">
      <c r="A15" s="30" t="s">
        <v>153</v>
      </c>
      <c r="B15" s="57">
        <f t="shared" si="2"/>
        <v>9361.1197556295047</v>
      </c>
      <c r="C15" s="57"/>
      <c r="D15" s="57"/>
      <c r="E15" s="57"/>
      <c r="F15" s="57"/>
      <c r="G15" s="57"/>
      <c r="H15" s="57"/>
      <c r="I15" s="57"/>
      <c r="J15" s="57"/>
      <c r="K15" s="57">
        <f>+(SUMIFS(TablaGeneral[Resumen Jornales totales de Cosecha],TablaGeneral[Ref Fincas],"El Espejo")*0.2*10)</f>
        <v>1872.2239511259011</v>
      </c>
      <c r="L15" s="57">
        <f>+(SUMIFS(TablaGeneral[Resumen Jornales totales de Cosecha],TablaGeneral[Ref Fincas],"El Espejo")*0.4*10)</f>
        <v>3744.4479022518021</v>
      </c>
      <c r="M15" s="57">
        <f>+(SUMIFS(TablaGeneral[Resumen Jornales totales de Cosecha],TablaGeneral[Ref Fincas],"El Espejo")*0.4*10)</f>
        <v>3744.4479022518021</v>
      </c>
      <c r="N15" s="57"/>
      <c r="P15" s="56"/>
    </row>
    <row r="16" spans="1:16" outlineLevel="2">
      <c r="A16" s="30" t="s">
        <v>305</v>
      </c>
      <c r="B16" s="57">
        <f t="shared" si="2"/>
        <v>29997.171682243752</v>
      </c>
      <c r="C16" s="57">
        <f>SUM(C13:C15)</f>
        <v>1178.7981242453518</v>
      </c>
      <c r="D16" s="57">
        <f t="shared" ref="D16:N16" si="8">SUM(D13:D15)</f>
        <v>2709.3683508654117</v>
      </c>
      <c r="E16" s="57">
        <f t="shared" si="8"/>
        <v>1694.4646291350573</v>
      </c>
      <c r="F16" s="57">
        <f t="shared" si="8"/>
        <v>2838.1613840724658</v>
      </c>
      <c r="G16" s="57">
        <f t="shared" si="8"/>
        <v>1273.4257992753694</v>
      </c>
      <c r="H16" s="57">
        <f t="shared" si="8"/>
        <v>1523.5248144578125</v>
      </c>
      <c r="I16" s="57">
        <f t="shared" si="8"/>
        <v>1099.9086571740479</v>
      </c>
      <c r="J16" s="57">
        <f t="shared" si="8"/>
        <v>703.60823364278326</v>
      </c>
      <c r="K16" s="57">
        <f t="shared" si="8"/>
        <v>2549.2824332792015</v>
      </c>
      <c r="L16" s="57">
        <f t="shared" si="8"/>
        <v>6647.8413294985858</v>
      </c>
      <c r="M16" s="57">
        <f t="shared" si="8"/>
        <v>6490.7268673423177</v>
      </c>
      <c r="N16" s="57">
        <f t="shared" si="8"/>
        <v>1288.0610592553498</v>
      </c>
      <c r="P16" s="56"/>
    </row>
    <row r="17" spans="1:16" outlineLevel="2">
      <c r="A17" s="30" t="s">
        <v>304</v>
      </c>
      <c r="B17" s="82">
        <f t="shared" si="2"/>
        <v>649.93871978194807</v>
      </c>
      <c r="C17" s="82">
        <f>+(C16/100)+(C16/150)+(C16/200)</f>
        <v>25.540626025315955</v>
      </c>
      <c r="D17" s="82">
        <f t="shared" ref="D17:N17" si="9">+(D16/100)+(D16/150)+(D16/200)</f>
        <v>58.702980935417258</v>
      </c>
      <c r="E17" s="82">
        <f t="shared" si="9"/>
        <v>36.713400297926242</v>
      </c>
      <c r="F17" s="82">
        <f t="shared" si="9"/>
        <v>61.493496654903424</v>
      </c>
      <c r="G17" s="82">
        <f t="shared" si="9"/>
        <v>27.590892317633006</v>
      </c>
      <c r="H17" s="82">
        <f t="shared" si="9"/>
        <v>33.009704313252605</v>
      </c>
      <c r="I17" s="82">
        <f t="shared" si="9"/>
        <v>23.831354238771038</v>
      </c>
      <c r="J17" s="82">
        <f t="shared" si="9"/>
        <v>15.244845062260303</v>
      </c>
      <c r="K17" s="82">
        <f t="shared" si="9"/>
        <v>55.234452721049365</v>
      </c>
      <c r="L17" s="82">
        <f t="shared" si="9"/>
        <v>144.03656213913601</v>
      </c>
      <c r="M17" s="82">
        <f t="shared" si="9"/>
        <v>140.63241545908355</v>
      </c>
      <c r="N17" s="82">
        <f t="shared" si="9"/>
        <v>27.907989617199249</v>
      </c>
      <c r="P17" s="56"/>
    </row>
    <row r="18" spans="1:16" outlineLevel="2">
      <c r="A18" s="30" t="s">
        <v>151</v>
      </c>
      <c r="B18" s="83">
        <f>SUM(C18:N18)</f>
        <v>37028277.003582172</v>
      </c>
      <c r="C18" s="83">
        <f>+(INDEX(Tabla2[Combustible],MATCH(C25,Tabla2[Mes],0))*C16)</f>
        <v>1361718.1231751242</v>
      </c>
      <c r="D18" s="83">
        <f>+(INDEX(Tabla2[Combustible],MATCH(D25,Tabla2[Mes],0))*D16)</f>
        <v>3161092.5305580609</v>
      </c>
      <c r="E18" s="83">
        <f>+(INDEX(Tabla2[Combustible],MATCH(E25,Tabla2[Mes],0))*E16)</f>
        <v>1996746.9818381078</v>
      </c>
      <c r="F18" s="83">
        <f>+(INDEX(Tabla2[Combustible],MATCH(F25,Tabla2[Mes],0))*F16)</f>
        <v>3377917.1196474186</v>
      </c>
      <c r="G18" s="83">
        <f>+(INDEX(Tabla2[Combustible],MATCH(G25,Tabla2[Mes],0))*G16)</f>
        <v>1530759.350202536</v>
      </c>
      <c r="H18" s="83">
        <f>+(INDEX(Tabla2[Combustible],MATCH(H25,Tabla2[Mes],0))*H16)</f>
        <v>1849712.2917465682</v>
      </c>
      <c r="I18" s="83">
        <f>+(INDEX(Tabla2[Combustible],MATCH(I25,Tabla2[Mes],0))*I16)</f>
        <v>1348753.6856000007</v>
      </c>
      <c r="J18" s="83">
        <f>+(INDEX(Tabla2[Combustible],MATCH(J25,Tabla2[Mes],0))*J16)</f>
        <v>871421.58039763756</v>
      </c>
      <c r="K18" s="83">
        <f>+(INDEX(Tabla2[Combustible],MATCH(K25,Tabla2[Mes],0))*K16)</f>
        <v>3188869.3407418188</v>
      </c>
      <c r="L18" s="83">
        <f>+(INDEX(Tabla2[Combustible],MATCH(L25,Tabla2[Mes],0))*L16)</f>
        <v>8398868.6746608652</v>
      </c>
      <c r="M18" s="83">
        <f>+(INDEX(Tabla2[Combustible],MATCH(M25,Tabla2[Mes],0))*M16)</f>
        <v>8282374.3014445491</v>
      </c>
      <c r="N18" s="83">
        <f>+(INDEX(Tabla2[Combustible],MATCH(N25,Tabla2[Mes],0))*N16)</f>
        <v>1660043.0235694852</v>
      </c>
      <c r="P18" s="56"/>
    </row>
    <row r="19" spans="1:16" outlineLevel="2">
      <c r="A19" s="30" t="s">
        <v>306</v>
      </c>
      <c r="B19" s="83">
        <f>SUM(C19:N19)</f>
        <v>4422320.2372570913</v>
      </c>
      <c r="C19" s="83">
        <f>+(INDEX(Tabla2[Lubricantes],MATCH(C25,Tabla2[Mes],0))*C17)</f>
        <v>162631.21324750062</v>
      </c>
      <c r="D19" s="83">
        <f>+(INDEX(Tabla2[Lubricantes],MATCH(D25,Tabla2[Mes],0))*D17)</f>
        <v>377532.10791786935</v>
      </c>
      <c r="E19" s="83">
        <f>+(INDEX(Tabla2[Lubricantes],MATCH(E25,Tabla2[Mes],0))*E17)</f>
        <v>238473.27774960818</v>
      </c>
      <c r="F19" s="83">
        <f>+(INDEX(Tabla2[Lubricantes],MATCH(F25,Tabla2[Mes],0))*F17)</f>
        <v>403427.66250098037</v>
      </c>
      <c r="G19" s="83">
        <f>+(INDEX(Tabla2[Lubricantes],MATCH(G25,Tabla2[Mes],0))*G17)</f>
        <v>182819.95816646551</v>
      </c>
      <c r="H19" s="83">
        <f>+(INDEX(Tabla2[Lubricantes],MATCH(H25,Tabla2[Mes],0))*H17)</f>
        <v>220912.79321753734</v>
      </c>
      <c r="I19" s="83">
        <f>+(INDEX(Tabla2[Lubricantes],MATCH(I25,Tabla2[Mes],0))*I17)</f>
        <v>161082.85887369115</v>
      </c>
      <c r="J19" s="83">
        <f>+(INDEX(Tabla2[Lubricantes],MATCH(J25,Tabla2[Mes],0))*J17)</f>
        <v>104074.65866700243</v>
      </c>
      <c r="K19" s="83">
        <f>+(INDEX(Tabla2[Lubricantes],MATCH(K25,Tabla2[Mes],0))*K17)</f>
        <v>380849.51719916525</v>
      </c>
      <c r="L19" s="83">
        <f>+(INDEX(Tabla2[Lubricantes],MATCH(L25,Tabla2[Mes],0))*L17)</f>
        <v>1003084.3969981149</v>
      </c>
      <c r="M19" s="83">
        <f>+(INDEX(Tabla2[Lubricantes],MATCH(M25,Tabla2[Mes],0))*M17)</f>
        <v>989171.36982293043</v>
      </c>
      <c r="N19" s="83">
        <f>+(INDEX(Tabla2[Lubricantes],MATCH(N25,Tabla2[Mes],0))*N17)</f>
        <v>198260.42289622556</v>
      </c>
      <c r="P19" s="56"/>
    </row>
    <row r="20" spans="1:16" outlineLevel="2">
      <c r="A20" s="30" t="s">
        <v>150</v>
      </c>
      <c r="B20" s="55">
        <f t="shared" si="2"/>
        <v>18959668.034950718</v>
      </c>
      <c r="C20" s="55">
        <f>+(C13*INDEX(Tabla2[Combustible],MATCH(C25,Tabla2[Mes],0)))+(C17*INDEX(Tabla2[Lubricantes],MATCH(C25,Tabla2[Mes],0)))</f>
        <v>162631.21324750062</v>
      </c>
      <c r="D20" s="55">
        <f>+(D13*INDEX(Tabla2[Combustible],MATCH(D25,Tabla2[Mes],0)))+(D17*INDEX(Tabla2[Lubricantes],MATCH(D25,Tabla2[Mes],0)))</f>
        <v>2354509.3176585697</v>
      </c>
      <c r="E20" s="55">
        <f>+(E13*INDEX(Tabla2[Combustible],MATCH(E25,Tabla2[Mes],0)))+(E17*INDEX(Tabla2[Lubricantes],MATCH(E25,Tabla2[Mes],0)))</f>
        <v>2235220.2595877158</v>
      </c>
      <c r="F20" s="55">
        <f>+(F13*INDEX(Tabla2[Combustible],MATCH(F25,Tabla2[Mes],0)))+(F17*INDEX(Tabla2[Lubricantes],MATCH(F25,Tabla2[Mes],0)))</f>
        <v>3781344.7821483989</v>
      </c>
      <c r="G20" s="55">
        <f>+(G13*INDEX(Tabla2[Combustible],MATCH(G25,Tabla2[Mes],0)))+(G17*INDEX(Tabla2[Lubricantes],MATCH(G25,Tabla2[Mes],0)))</f>
        <v>1615072.2382128714</v>
      </c>
      <c r="H20" s="55">
        <f>+(H13*INDEX(Tabla2[Combustible],MATCH(H25,Tabla2[Mes],0)))+(H17*INDEX(Tabla2[Lubricantes],MATCH(H25,Tabla2[Mes],0)))</f>
        <v>2070625.0849641054</v>
      </c>
      <c r="I20" s="55">
        <f>+(I13*INDEX(Tabla2[Combustible],MATCH(I25,Tabla2[Mes],0)))+(I17*INDEX(Tabla2[Lubricantes],MATCH(I25,Tabla2[Mes],0)))</f>
        <v>1509836.5444736918</v>
      </c>
      <c r="J20" s="55">
        <f>+(J13*INDEX(Tabla2[Combustible],MATCH(J25,Tabla2[Mes],0)))+(J17*INDEX(Tabla2[Lubricantes],MATCH(J25,Tabla2[Mes],0)))</f>
        <v>941665.59476832964</v>
      </c>
      <c r="K20" s="55">
        <f>+(K13*INDEX(Tabla2[Combustible],MATCH(K25,Tabla2[Mes],0)))+(K17*INDEX(Tabla2[Lubricantes],MATCH(K25,Tabla2[Mes],0)))</f>
        <v>380849.51719916525</v>
      </c>
      <c r="L20" s="55">
        <f>+(L13*INDEX(Tabla2[Combustible],MATCH(L25,Tabla2[Mes],0)))+(L17*INDEX(Tabla2[Lubricantes],MATCH(L25,Tabla2[Mes],0)))</f>
        <v>1857510.9109150786</v>
      </c>
      <c r="M20" s="55">
        <f>+(M13*INDEX(Tabla2[Combustible],MATCH(M25,Tabla2[Mes],0)))+(M17*INDEX(Tabla2[Lubricantes],MATCH(M25,Tabla2[Mes],0)))</f>
        <v>1852142.1488790638</v>
      </c>
      <c r="N20" s="55">
        <f>+(N13*INDEX(Tabla2[Combustible],MATCH(N25,Tabla2[Mes],0)))+(N17*INDEX(Tabla2[Lubricantes],MATCH(N25,Tabla2[Mes],0)))</f>
        <v>198260.42289622556</v>
      </c>
      <c r="P20" s="56"/>
    </row>
    <row r="21" spans="1:16" outlineLevel="2">
      <c r="A21" s="30" t="s">
        <v>363</v>
      </c>
      <c r="B21" s="55">
        <f t="shared" si="2"/>
        <v>16044.805983722747</v>
      </c>
      <c r="C21" s="55">
        <f>+C20/INDEX(Tabla2[TC],MATCH(C25,Tabla2[Mes],0))</f>
        <v>144.30453704303517</v>
      </c>
      <c r="D21" s="55">
        <f>+D20/INDEX(Tabla2[TC],MATCH(D25,Tabla2[Mes],0))</f>
        <v>2068.4980871485409</v>
      </c>
      <c r="E21" s="55">
        <f>+E20/INDEX(Tabla2[TC],MATCH(E25,Tabla2[Mes],0))</f>
        <v>1944.2569565467168</v>
      </c>
      <c r="F21" s="55">
        <f>+F20/INDEX(Tabla2[TC],MATCH(F25,Tabla2[Mes],0))</f>
        <v>3256.5536747744814</v>
      </c>
      <c r="G21" s="55">
        <f>+G20/INDEX(Tabla2[TC],MATCH(G25,Tabla2[Mes],0))</f>
        <v>1377.154104562944</v>
      </c>
      <c r="H21" s="55">
        <f>+H20/INDEX(Tabla2[TC],MATCH(H25,Tabla2[Mes],0))</f>
        <v>1748.117764189135</v>
      </c>
      <c r="I21" s="55">
        <f>+I20/INDEX(Tabla2[TC],MATCH(I25,Tabla2[Mes],0))</f>
        <v>1262.0535250524556</v>
      </c>
      <c r="J21" s="55">
        <f>+J20/INDEX(Tabla2[TC],MATCH(J25,Tabla2[Mes],0))</f>
        <v>779.33318698931146</v>
      </c>
      <c r="K21" s="55">
        <f>+K20/INDEX(Tabla2[TC],MATCH(K25,Tabla2[Mes],0))</f>
        <v>312.07465787392891</v>
      </c>
      <c r="L21" s="55">
        <f>+L20/INDEX(Tabla2[TC],MATCH(L25,Tabla2[Mes],0))</f>
        <v>1507.0063884736592</v>
      </c>
      <c r="M21" s="55">
        <f>+M20/INDEX(Tabla2[TC],MATCH(M25,Tabla2[Mes],0))</f>
        <v>1487.7729597313628</v>
      </c>
      <c r="N21" s="55">
        <f>+N20/INDEX(Tabla2[TC],MATCH(N25,Tabla2[Mes],0))</f>
        <v>157.68014133717577</v>
      </c>
      <c r="P21" s="56"/>
    </row>
    <row r="22" spans="1:16" outlineLevel="2">
      <c r="A22" s="30" t="s">
        <v>371</v>
      </c>
      <c r="B22" s="55">
        <f t="shared" si="2"/>
        <v>11103.005740736138</v>
      </c>
      <c r="C22" s="55">
        <f>+C21*0.692</f>
        <v>99.858739633780331</v>
      </c>
      <c r="D22" s="55">
        <f t="shared" ref="D22:N22" si="10">+D21*0.692</f>
        <v>1431.4006763067903</v>
      </c>
      <c r="E22" s="55">
        <f t="shared" si="10"/>
        <v>1345.4258139303279</v>
      </c>
      <c r="F22" s="55">
        <f t="shared" si="10"/>
        <v>2253.5351429439411</v>
      </c>
      <c r="G22" s="55">
        <f t="shared" si="10"/>
        <v>952.99064035755714</v>
      </c>
      <c r="H22" s="55">
        <f t="shared" si="10"/>
        <v>1209.6974928188813</v>
      </c>
      <c r="I22" s="55">
        <f t="shared" si="10"/>
        <v>873.34103933629922</v>
      </c>
      <c r="J22" s="55">
        <f t="shared" si="10"/>
        <v>539.29856539660352</v>
      </c>
      <c r="K22" s="55">
        <f t="shared" si="10"/>
        <v>215.95566324875878</v>
      </c>
      <c r="L22" s="55">
        <f t="shared" si="10"/>
        <v>1042.8484208237721</v>
      </c>
      <c r="M22" s="55">
        <f t="shared" si="10"/>
        <v>1029.538888134103</v>
      </c>
      <c r="N22" s="55">
        <f t="shared" si="10"/>
        <v>109.11465780532562</v>
      </c>
      <c r="P22" s="143">
        <f>SUM(C22:N22)/(SUMIFS(TablaGeneral[Has],TablaGeneral[Finca],"El Espejo I")+SUMIFS(TablaGeneral[Has],TablaGeneral[Finca],"El Espejo II"))</f>
        <v>74.020038271574236</v>
      </c>
    </row>
    <row r="23" spans="1:16" outlineLevel="2">
      <c r="A23" s="30" t="s">
        <v>372</v>
      </c>
      <c r="B23" s="55">
        <f t="shared" si="2"/>
        <v>4665.8295800665746</v>
      </c>
      <c r="C23" s="55">
        <f>+C21*0.2908</f>
        <v>41.96375937211463</v>
      </c>
      <c r="D23" s="55">
        <f t="shared" ref="D23:N23" si="11">+D21*0.2908</f>
        <v>601.51924374279565</v>
      </c>
      <c r="E23" s="55">
        <f t="shared" si="11"/>
        <v>565.38992296378524</v>
      </c>
      <c r="F23" s="55">
        <f t="shared" si="11"/>
        <v>947.00580862441916</v>
      </c>
      <c r="G23" s="55">
        <f t="shared" si="11"/>
        <v>400.47641360690409</v>
      </c>
      <c r="H23" s="55">
        <f t="shared" si="11"/>
        <v>508.35264582620044</v>
      </c>
      <c r="I23" s="55">
        <f t="shared" si="11"/>
        <v>367.00516508525408</v>
      </c>
      <c r="J23" s="55">
        <f t="shared" si="11"/>
        <v>226.63009077649178</v>
      </c>
      <c r="K23" s="55">
        <f t="shared" si="11"/>
        <v>90.751310509738531</v>
      </c>
      <c r="L23" s="55">
        <f t="shared" si="11"/>
        <v>438.23745776814008</v>
      </c>
      <c r="M23" s="55">
        <f t="shared" si="11"/>
        <v>432.64437668988029</v>
      </c>
      <c r="N23" s="55">
        <f t="shared" si="11"/>
        <v>45.853385100850716</v>
      </c>
      <c r="P23" s="143">
        <f>SUM(C23:N23)/63.69</f>
        <v>73.258432722037597</v>
      </c>
    </row>
    <row r="24" spans="1:16">
      <c r="A24" s="21" t="s">
        <v>184</v>
      </c>
      <c r="B24" s="43" t="s">
        <v>108</v>
      </c>
      <c r="C24" s="50">
        <v>0.13761016358288825</v>
      </c>
      <c r="D24" s="50">
        <v>0.11847751052166375</v>
      </c>
      <c r="E24" s="50">
        <v>0</v>
      </c>
      <c r="F24" s="50">
        <v>0</v>
      </c>
      <c r="G24" s="50">
        <v>9.5663265306122451E-3</v>
      </c>
      <c r="H24" s="50">
        <v>0</v>
      </c>
      <c r="I24" s="50">
        <v>0</v>
      </c>
      <c r="J24" s="50">
        <v>3.1887755102040817E-3</v>
      </c>
      <c r="K24" s="50">
        <v>7.9038239515306113E-2</v>
      </c>
      <c r="L24" s="50">
        <v>0.25998660553123004</v>
      </c>
      <c r="M24" s="50">
        <v>0.24164542700890862</v>
      </c>
      <c r="N24" s="50">
        <v>0.15036526562370456</v>
      </c>
    </row>
    <row r="25" spans="1:16">
      <c r="A25" s="22" t="s">
        <v>176</v>
      </c>
      <c r="B25" s="31">
        <v>1963.1784503825486</v>
      </c>
      <c r="C25" s="30" t="s">
        <v>88</v>
      </c>
      <c r="D25" s="30" t="s">
        <v>89</v>
      </c>
      <c r="E25" s="30" t="s">
        <v>90</v>
      </c>
      <c r="F25" s="30" t="s">
        <v>91</v>
      </c>
      <c r="G25" s="30" t="s">
        <v>92</v>
      </c>
      <c r="H25" s="30" t="s">
        <v>93</v>
      </c>
      <c r="I25" s="30" t="s">
        <v>94</v>
      </c>
      <c r="J25" s="30" t="s">
        <v>95</v>
      </c>
      <c r="K25" s="30" t="s">
        <v>96</v>
      </c>
      <c r="L25" s="30" t="s">
        <v>97</v>
      </c>
      <c r="M25" s="30" t="s">
        <v>98</v>
      </c>
      <c r="N25" s="30" t="s">
        <v>99</v>
      </c>
    </row>
    <row r="26" spans="1:16">
      <c r="A26" s="23" t="s">
        <v>58</v>
      </c>
      <c r="B26" s="2">
        <v>0.56410642156704727</v>
      </c>
      <c r="F26" s="2">
        <f>+B26</f>
        <v>0.56410642156704727</v>
      </c>
    </row>
    <row r="27" spans="1:16">
      <c r="A27" s="23" t="s">
        <v>64</v>
      </c>
      <c r="B27" s="2">
        <v>22.377770318742037</v>
      </c>
      <c r="F27" s="2"/>
      <c r="G27">
        <f>+$B27/6</f>
        <v>3.7296283864570063</v>
      </c>
      <c r="H27">
        <f>+$B27/6</f>
        <v>3.7296283864570063</v>
      </c>
      <c r="I27">
        <f>+$B27/6</f>
        <v>3.7296283864570063</v>
      </c>
      <c r="J27">
        <f>+$B27/6</f>
        <v>3.7296283864570063</v>
      </c>
      <c r="L27">
        <f>+$B27/6</f>
        <v>3.7296283864570063</v>
      </c>
      <c r="M27">
        <f>+$B27/6</f>
        <v>3.7296283864570063</v>
      </c>
    </row>
    <row r="28" spans="1:16">
      <c r="A28" s="23" t="s">
        <v>106</v>
      </c>
      <c r="B28" s="2">
        <v>6.2466615543274182</v>
      </c>
      <c r="F28" s="2">
        <f>+B28</f>
        <v>6.2466615543274182</v>
      </c>
    </row>
    <row r="29" spans="1:16">
      <c r="A29" s="23" t="s">
        <v>51</v>
      </c>
      <c r="B29" s="2">
        <v>393.7166666666667</v>
      </c>
      <c r="D29">
        <f t="shared" ref="D29:F30" si="12">+$B29/3</f>
        <v>131.23888888888891</v>
      </c>
      <c r="E29">
        <f t="shared" si="12"/>
        <v>131.23888888888891</v>
      </c>
      <c r="F29">
        <f t="shared" si="12"/>
        <v>131.23888888888891</v>
      </c>
      <c r="G29" s="25"/>
    </row>
    <row r="30" spans="1:16">
      <c r="A30" s="23" t="s">
        <v>52</v>
      </c>
      <c r="B30" s="2">
        <v>393.7166666666667</v>
      </c>
      <c r="D30">
        <f t="shared" si="12"/>
        <v>131.23888888888891</v>
      </c>
      <c r="E30">
        <f t="shared" si="12"/>
        <v>131.23888888888891</v>
      </c>
      <c r="F30">
        <f t="shared" si="12"/>
        <v>131.23888888888891</v>
      </c>
    </row>
    <row r="31" spans="1:16">
      <c r="A31" s="23" t="s">
        <v>54</v>
      </c>
      <c r="B31" s="2">
        <v>168.92780952380951</v>
      </c>
      <c r="G31">
        <f>+$B31/2</f>
        <v>84.463904761904757</v>
      </c>
      <c r="H31">
        <f>+$B31/2</f>
        <v>84.463904761904757</v>
      </c>
    </row>
    <row r="32" spans="1:16">
      <c r="A32" s="23" t="s">
        <v>53</v>
      </c>
      <c r="B32" s="2">
        <v>363.43076923076922</v>
      </c>
      <c r="G32">
        <f>+$B32/5/2</f>
        <v>36.343076923076922</v>
      </c>
      <c r="H32">
        <f>+$B32/5/2</f>
        <v>36.343076923076922</v>
      </c>
      <c r="I32">
        <f>+$B32/5</f>
        <v>72.686153846153843</v>
      </c>
      <c r="J32">
        <f>+$B32/5</f>
        <v>72.686153846153843</v>
      </c>
      <c r="L32">
        <f>+$B32/5</f>
        <v>72.686153846153843</v>
      </c>
      <c r="M32">
        <f>+$B32/5</f>
        <v>72.686153846153843</v>
      </c>
    </row>
    <row r="33" spans="1:14">
      <c r="A33" s="23" t="s">
        <v>57</v>
      </c>
      <c r="B33" s="2">
        <v>472.46000000000004</v>
      </c>
      <c r="I33">
        <f>+B33/2</f>
        <v>236.23000000000002</v>
      </c>
      <c r="J33">
        <f>+B33/2</f>
        <v>236.23000000000002</v>
      </c>
    </row>
    <row r="34" spans="1:14">
      <c r="A34" s="23" t="s">
        <v>55</v>
      </c>
      <c r="B34" s="2">
        <v>47.245999999999995</v>
      </c>
      <c r="I34" s="2"/>
      <c r="J34" s="2">
        <f>+B34</f>
        <v>47.245999999999995</v>
      </c>
    </row>
    <row r="35" spans="1:14" ht="15.75" thickBot="1">
      <c r="A35" s="23" t="s">
        <v>56</v>
      </c>
      <c r="B35" s="2">
        <v>94.49199999999999</v>
      </c>
      <c r="F35">
        <f>+B35/2</f>
        <v>47.245999999999995</v>
      </c>
      <c r="G35">
        <f>+B35/2</f>
        <v>47.245999999999995</v>
      </c>
    </row>
    <row r="36" spans="1:14" ht="15.75" thickBot="1">
      <c r="A36" s="22" t="s">
        <v>177</v>
      </c>
      <c r="B36" s="31">
        <v>2447.4489838771569</v>
      </c>
      <c r="C36" s="26">
        <f t="shared" ref="C36:N36" si="13">+SUM(C26:C35)</f>
        <v>0</v>
      </c>
      <c r="D36" s="27">
        <f t="shared" si="13"/>
        <v>262.47777777777782</v>
      </c>
      <c r="E36" s="27">
        <f t="shared" si="13"/>
        <v>262.47777777777782</v>
      </c>
      <c r="F36" s="27">
        <f t="shared" si="13"/>
        <v>316.53454575367226</v>
      </c>
      <c r="G36" s="27">
        <f t="shared" si="13"/>
        <v>171.78261007143868</v>
      </c>
      <c r="H36" s="27">
        <f t="shared" si="13"/>
        <v>124.53661007143869</v>
      </c>
      <c r="I36" s="27">
        <f t="shared" si="13"/>
        <v>312.64578223261088</v>
      </c>
      <c r="J36" s="27">
        <f t="shared" si="13"/>
        <v>359.89178223261086</v>
      </c>
      <c r="K36" s="27">
        <f t="shared" si="13"/>
        <v>0</v>
      </c>
      <c r="L36" s="27">
        <f t="shared" si="13"/>
        <v>76.415782232610852</v>
      </c>
      <c r="M36" s="27">
        <f t="shared" si="13"/>
        <v>76.415782232610852</v>
      </c>
      <c r="N36" s="28">
        <f t="shared" si="13"/>
        <v>0</v>
      </c>
    </row>
    <row r="37" spans="1:14">
      <c r="A37" s="23" t="s">
        <v>58</v>
      </c>
      <c r="B37" s="2">
        <v>0.90701596865601464</v>
      </c>
      <c r="G37" s="2">
        <f>+B37</f>
        <v>0.90701596865601464</v>
      </c>
    </row>
    <row r="38" spans="1:14">
      <c r="A38" s="23" t="s">
        <v>64</v>
      </c>
      <c r="B38" s="2">
        <v>35.662977559649548</v>
      </c>
      <c r="G38">
        <f>+$B38/6</f>
        <v>5.9438295932749243</v>
      </c>
      <c r="H38" s="2">
        <f>+$B38/6</f>
        <v>5.9438295932749243</v>
      </c>
      <c r="I38">
        <f>+$B38/6</f>
        <v>5.9438295932749243</v>
      </c>
      <c r="J38">
        <f>+$B38/6</f>
        <v>5.9438295932749243</v>
      </c>
      <c r="L38">
        <f>+$B38/6</f>
        <v>5.9438295932749243</v>
      </c>
      <c r="M38">
        <f>+$B38/6</f>
        <v>5.9438295932749243</v>
      </c>
    </row>
    <row r="39" spans="1:14">
      <c r="A39" s="23" t="s">
        <v>106</v>
      </c>
      <c r="B39" s="2">
        <v>9.9549219727829517</v>
      </c>
      <c r="F39">
        <f>+B39</f>
        <v>9.9549219727829517</v>
      </c>
    </row>
    <row r="40" spans="1:14">
      <c r="A40" s="23" t="s">
        <v>51</v>
      </c>
      <c r="B40" s="2">
        <v>461.89333333333326</v>
      </c>
      <c r="D40">
        <f t="shared" ref="D40:F41" si="14">+$B40/3</f>
        <v>153.96444444444441</v>
      </c>
      <c r="E40">
        <f t="shared" si="14"/>
        <v>153.96444444444441</v>
      </c>
      <c r="F40">
        <f t="shared" si="14"/>
        <v>153.96444444444441</v>
      </c>
    </row>
    <row r="41" spans="1:14">
      <c r="A41" s="23" t="s">
        <v>52</v>
      </c>
      <c r="B41" s="2">
        <v>307.92888888888888</v>
      </c>
      <c r="D41">
        <f t="shared" si="14"/>
        <v>102.64296296296295</v>
      </c>
      <c r="E41">
        <f t="shared" si="14"/>
        <v>102.64296296296295</v>
      </c>
      <c r="F41">
        <f t="shared" si="14"/>
        <v>102.64296296296295</v>
      </c>
    </row>
    <row r="42" spans="1:14">
      <c r="A42" s="23" t="s">
        <v>54</v>
      </c>
      <c r="B42" s="2">
        <v>182.45600000000002</v>
      </c>
      <c r="G42">
        <f>+$B42/2</f>
        <v>91.228000000000009</v>
      </c>
      <c r="H42">
        <f>+$B42/2</f>
        <v>91.228000000000009</v>
      </c>
    </row>
    <row r="43" spans="1:14">
      <c r="A43" s="23" t="s">
        <v>53</v>
      </c>
      <c r="B43" s="2">
        <v>701.75384615384598</v>
      </c>
      <c r="H43">
        <f>+$B43/5</f>
        <v>140.3507692307692</v>
      </c>
      <c r="I43">
        <f>+$B43/5</f>
        <v>140.3507692307692</v>
      </c>
      <c r="J43">
        <f>+$B43/5</f>
        <v>140.3507692307692</v>
      </c>
      <c r="L43">
        <f>+$B43/5</f>
        <v>140.3507692307692</v>
      </c>
      <c r="M43">
        <f>+$B43/5</f>
        <v>140.3507692307692</v>
      </c>
    </row>
    <row r="44" spans="1:14">
      <c r="A44" s="23" t="s">
        <v>57</v>
      </c>
      <c r="B44" s="2">
        <v>552.46400000000006</v>
      </c>
      <c r="I44">
        <f>+$B44/2</f>
        <v>276.23200000000003</v>
      </c>
      <c r="J44">
        <f>+$B44/2</f>
        <v>276.23200000000003</v>
      </c>
    </row>
    <row r="45" spans="1:14">
      <c r="A45" s="23" t="s">
        <v>55</v>
      </c>
      <c r="B45" s="2">
        <v>11.972</v>
      </c>
      <c r="J45" s="2">
        <f>+B45</f>
        <v>11.972</v>
      </c>
    </row>
    <row r="46" spans="1:14" ht="15.75" thickBot="1">
      <c r="A46" s="23" t="s">
        <v>56</v>
      </c>
      <c r="B46" s="2">
        <v>182.45600000000002</v>
      </c>
      <c r="F46">
        <f t="shared" ref="F46:G46" si="15">+$B46/2</f>
        <v>91.228000000000009</v>
      </c>
      <c r="G46">
        <f t="shared" si="15"/>
        <v>91.228000000000009</v>
      </c>
    </row>
    <row r="47" spans="1:14" ht="15.75" thickBot="1">
      <c r="A47" s="22" t="s">
        <v>178</v>
      </c>
      <c r="B47" s="2">
        <v>4253.1351085485539</v>
      </c>
      <c r="C47" s="26">
        <f>+SUM(C37:C46)</f>
        <v>0</v>
      </c>
      <c r="D47" s="27">
        <f t="shared" ref="D47:N47" si="16">+SUM(D37:D46)</f>
        <v>256.60740740740738</v>
      </c>
      <c r="E47" s="27">
        <f t="shared" si="16"/>
        <v>256.60740740740738</v>
      </c>
      <c r="F47" s="27">
        <f t="shared" si="16"/>
        <v>357.79032938019031</v>
      </c>
      <c r="G47" s="27">
        <f t="shared" si="16"/>
        <v>189.30684556193097</v>
      </c>
      <c r="H47" s="27">
        <f t="shared" si="16"/>
        <v>237.52259882404414</v>
      </c>
      <c r="I47" s="27">
        <f t="shared" si="16"/>
        <v>422.52659882404419</v>
      </c>
      <c r="J47" s="27">
        <f t="shared" si="16"/>
        <v>434.49859882404417</v>
      </c>
      <c r="K47" s="27">
        <f t="shared" si="16"/>
        <v>0</v>
      </c>
      <c r="L47" s="27">
        <f t="shared" si="16"/>
        <v>146.29459882404413</v>
      </c>
      <c r="M47" s="27">
        <f t="shared" si="16"/>
        <v>146.29459882404413</v>
      </c>
      <c r="N47" s="28">
        <f t="shared" si="16"/>
        <v>0</v>
      </c>
    </row>
    <row r="48" spans="1:14">
      <c r="A48" s="23" t="s">
        <v>58</v>
      </c>
      <c r="B48" s="2">
        <v>1.3520357906576068</v>
      </c>
      <c r="G48">
        <f>+B48</f>
        <v>1.3520357906576068</v>
      </c>
    </row>
    <row r="49" spans="1:14">
      <c r="A49" s="23" t="s">
        <v>64</v>
      </c>
      <c r="B49" s="2">
        <v>53.63446546487981</v>
      </c>
      <c r="G49">
        <f>+$B49/6</f>
        <v>8.9390775774799689</v>
      </c>
      <c r="H49">
        <f>+$B49/6</f>
        <v>8.9390775774799689</v>
      </c>
      <c r="I49">
        <f>+$B49/6</f>
        <v>8.9390775774799689</v>
      </c>
      <c r="J49">
        <f>+$B49/6</f>
        <v>8.9390775774799689</v>
      </c>
      <c r="L49">
        <f>+$B49/6</f>
        <v>8.9390775774799689</v>
      </c>
      <c r="M49">
        <f>+$B49/6</f>
        <v>8.9390775774799689</v>
      </c>
    </row>
    <row r="50" spans="1:14">
      <c r="A50" s="23" t="s">
        <v>106</v>
      </c>
      <c r="B50" s="2">
        <v>14.971838062247139</v>
      </c>
      <c r="F50">
        <f>+B50</f>
        <v>14.971838062247139</v>
      </c>
    </row>
    <row r="51" spans="1:14">
      <c r="A51" s="23" t="s">
        <v>51</v>
      </c>
      <c r="B51" s="2">
        <v>943.65</v>
      </c>
      <c r="D51">
        <f t="shared" ref="D51:F52" si="17">+$B51/3</f>
        <v>314.55</v>
      </c>
      <c r="E51">
        <f t="shared" si="17"/>
        <v>314.55</v>
      </c>
      <c r="F51">
        <f t="shared" si="17"/>
        <v>314.55</v>
      </c>
      <c r="J51" s="2"/>
    </row>
    <row r="52" spans="1:14">
      <c r="A52" s="23" t="s">
        <v>52</v>
      </c>
      <c r="B52" s="2">
        <v>943.65</v>
      </c>
      <c r="D52">
        <f t="shared" si="17"/>
        <v>314.55</v>
      </c>
      <c r="E52">
        <f t="shared" si="17"/>
        <v>314.55</v>
      </c>
      <c r="F52">
        <f t="shared" si="17"/>
        <v>314.55</v>
      </c>
    </row>
    <row r="53" spans="1:14">
      <c r="A53" s="23" t="s">
        <v>54</v>
      </c>
      <c r="B53" s="2">
        <v>322.892</v>
      </c>
      <c r="G53">
        <f>+$B53/2</f>
        <v>161.446</v>
      </c>
      <c r="H53">
        <f>+$B53/2/2</f>
        <v>80.722999999999999</v>
      </c>
      <c r="I53">
        <f>+$B53/2/2</f>
        <v>80.722999999999999</v>
      </c>
    </row>
    <row r="54" spans="1:14">
      <c r="A54" s="23" t="s">
        <v>53</v>
      </c>
      <c r="B54" s="2">
        <v>500.89076923076925</v>
      </c>
      <c r="H54">
        <f>+$B54/5</f>
        <v>100.17815384615385</v>
      </c>
      <c r="I54">
        <f>+$B54/5</f>
        <v>100.17815384615385</v>
      </c>
      <c r="J54">
        <f>+$B54/5</f>
        <v>100.17815384615385</v>
      </c>
      <c r="L54">
        <f>+$B54/5</f>
        <v>100.17815384615385</v>
      </c>
      <c r="M54">
        <f>+$B54/5</f>
        <v>100.17815384615385</v>
      </c>
    </row>
    <row r="55" spans="1:14">
      <c r="A55" s="23" t="s">
        <v>57</v>
      </c>
      <c r="B55" s="2">
        <v>1132.3799999999999</v>
      </c>
      <c r="I55">
        <f>+$B55/2</f>
        <v>566.18999999999994</v>
      </c>
      <c r="J55">
        <f>+$B55/2</f>
        <v>566.18999999999994</v>
      </c>
    </row>
    <row r="56" spans="1:14">
      <c r="A56" s="23" t="s">
        <v>55</v>
      </c>
      <c r="B56" s="2">
        <v>113.238</v>
      </c>
      <c r="J56" s="2">
        <f>+B56</f>
        <v>113.238</v>
      </c>
    </row>
    <row r="57" spans="1:14" ht="15.75" thickBot="1">
      <c r="A57" s="23" t="s">
        <v>56</v>
      </c>
      <c r="B57" s="2">
        <v>226.476</v>
      </c>
      <c r="G57">
        <f t="shared" ref="G57:H57" si="18">+$B57/2</f>
        <v>113.238</v>
      </c>
      <c r="H57">
        <f t="shared" si="18"/>
        <v>113.238</v>
      </c>
    </row>
    <row r="58" spans="1:14" ht="15.75" thickBot="1">
      <c r="A58" s="22" t="s">
        <v>179</v>
      </c>
      <c r="B58" s="2">
        <v>1169.0906667313498</v>
      </c>
      <c r="C58" s="26">
        <f t="shared" ref="C58:N58" si="19">+SUM(C48:C57)</f>
        <v>0</v>
      </c>
      <c r="D58" s="27">
        <f t="shared" si="19"/>
        <v>629.1</v>
      </c>
      <c r="E58" s="27">
        <f t="shared" si="19"/>
        <v>629.1</v>
      </c>
      <c r="F58" s="27">
        <f t="shared" si="19"/>
        <v>644.07183806224714</v>
      </c>
      <c r="G58" s="27">
        <f t="shared" si="19"/>
        <v>284.97511336813761</v>
      </c>
      <c r="H58" s="27">
        <f t="shared" si="19"/>
        <v>303.07823142363384</v>
      </c>
      <c r="I58" s="27">
        <f t="shared" si="19"/>
        <v>756.03023142363372</v>
      </c>
      <c r="J58" s="27">
        <f t="shared" si="19"/>
        <v>788.54523142363382</v>
      </c>
      <c r="K58" s="27">
        <f t="shared" si="19"/>
        <v>0</v>
      </c>
      <c r="L58" s="27">
        <f t="shared" si="19"/>
        <v>109.11723142363381</v>
      </c>
      <c r="M58" s="27">
        <f t="shared" si="19"/>
        <v>109.11723142363381</v>
      </c>
      <c r="N58" s="28">
        <f t="shared" si="19"/>
        <v>0</v>
      </c>
    </row>
    <row r="59" spans="1:14">
      <c r="A59" s="23" t="s">
        <v>58</v>
      </c>
      <c r="B59" s="2">
        <v>0.56267364904475858</v>
      </c>
      <c r="G59">
        <f>+B59</f>
        <v>0.56267364904475858</v>
      </c>
    </row>
    <row r="60" spans="1:14">
      <c r="A60" s="23" t="s">
        <v>64</v>
      </c>
      <c r="B60" s="2">
        <v>22.32093307456795</v>
      </c>
      <c r="G60">
        <f>+$B60/6</f>
        <v>3.7201555124279917</v>
      </c>
      <c r="H60">
        <f>+$B60/6</f>
        <v>3.7201555124279917</v>
      </c>
      <c r="I60">
        <f>+$B60/6</f>
        <v>3.7201555124279917</v>
      </c>
      <c r="J60">
        <f>+$B60/6</f>
        <v>3.7201555124279917</v>
      </c>
      <c r="L60">
        <f>+$B60/6</f>
        <v>3.7201555124279917</v>
      </c>
      <c r="M60">
        <f>+$B60/6</f>
        <v>3.7201555124279917</v>
      </c>
    </row>
    <row r="61" spans="1:14">
      <c r="A61" s="23" t="s">
        <v>106</v>
      </c>
      <c r="B61" s="2">
        <v>6.2307956739032706</v>
      </c>
      <c r="F61">
        <f>+B61</f>
        <v>6.2307956739032706</v>
      </c>
    </row>
    <row r="62" spans="1:14">
      <c r="A62" s="23" t="s">
        <v>51</v>
      </c>
      <c r="B62" s="2">
        <v>88.412522471978647</v>
      </c>
      <c r="D62">
        <f t="shared" ref="D62:F63" si="20">+$B62/3</f>
        <v>29.470840823992884</v>
      </c>
      <c r="E62">
        <f t="shared" si="20"/>
        <v>29.470840823992884</v>
      </c>
      <c r="F62">
        <f t="shared" si="20"/>
        <v>29.470840823992884</v>
      </c>
    </row>
    <row r="63" spans="1:14">
      <c r="A63" s="23" t="s">
        <v>52</v>
      </c>
      <c r="B63" s="2">
        <v>58.94168164798576</v>
      </c>
      <c r="D63">
        <f t="shared" si="20"/>
        <v>19.647227215995255</v>
      </c>
      <c r="E63">
        <f t="shared" si="20"/>
        <v>19.647227215995255</v>
      </c>
      <c r="F63">
        <f t="shared" si="20"/>
        <v>19.647227215995255</v>
      </c>
    </row>
    <row r="64" spans="1:14">
      <c r="A64" s="23" t="s">
        <v>54</v>
      </c>
      <c r="B64" s="2">
        <v>175.18959107806691</v>
      </c>
      <c r="G64">
        <f>+$B64/2</f>
        <v>87.594795539033456</v>
      </c>
      <c r="H64">
        <f>+$B64/2/2</f>
        <v>43.797397769516728</v>
      </c>
      <c r="I64">
        <f>+$B64/2/2</f>
        <v>43.797397769516728</v>
      </c>
    </row>
    <row r="65" spans="1:14">
      <c r="A65" s="23" t="s">
        <v>53</v>
      </c>
      <c r="B65" s="2">
        <v>581.80246913580243</v>
      </c>
      <c r="H65">
        <f>+$B65/5</f>
        <v>116.36049382716048</v>
      </c>
      <c r="I65">
        <f>+$B65/5</f>
        <v>116.36049382716048</v>
      </c>
      <c r="J65">
        <f>+$B65/5</f>
        <v>116.36049382716048</v>
      </c>
      <c r="L65">
        <f>+$B65/5</f>
        <v>116.36049382716048</v>
      </c>
      <c r="M65">
        <f>+$B65/5</f>
        <v>116.36049382716048</v>
      </c>
    </row>
    <row r="66" spans="1:14">
      <c r="A66" s="23" t="s">
        <v>57</v>
      </c>
      <c r="B66" s="2">
        <v>0</v>
      </c>
      <c r="I66">
        <f>+$B66/2</f>
        <v>0</v>
      </c>
      <c r="J66">
        <f>+$B66/2</f>
        <v>0</v>
      </c>
    </row>
    <row r="67" spans="1:14">
      <c r="A67" s="23" t="s">
        <v>55</v>
      </c>
      <c r="B67" s="2">
        <v>0</v>
      </c>
    </row>
    <row r="68" spans="1:14" ht="15.75" thickBot="1">
      <c r="A68" s="23" t="s">
        <v>56</v>
      </c>
      <c r="B68" s="2">
        <v>235.63</v>
      </c>
      <c r="G68">
        <f t="shared" ref="G68:H68" si="21">+$B68/2</f>
        <v>117.815</v>
      </c>
      <c r="H68">
        <f t="shared" si="21"/>
        <v>117.815</v>
      </c>
    </row>
    <row r="69" spans="1:14" ht="15.75" thickBot="1">
      <c r="A69" s="22" t="s">
        <v>180</v>
      </c>
      <c r="B69" s="2">
        <v>1272.9051386537044</v>
      </c>
      <c r="C69" s="26">
        <f t="shared" ref="C69:N69" si="22">+SUM(C59:C68)</f>
        <v>0</v>
      </c>
      <c r="D69" s="27">
        <f t="shared" si="22"/>
        <v>49.118068039988138</v>
      </c>
      <c r="E69" s="27">
        <f t="shared" si="22"/>
        <v>49.118068039988138</v>
      </c>
      <c r="F69" s="27">
        <f t="shared" si="22"/>
        <v>55.348863713891404</v>
      </c>
      <c r="G69" s="27">
        <f t="shared" si="22"/>
        <v>209.6926247005062</v>
      </c>
      <c r="H69" s="27">
        <f t="shared" si="22"/>
        <v>281.69304710910524</v>
      </c>
      <c r="I69" s="27">
        <f t="shared" si="22"/>
        <v>163.87804710910521</v>
      </c>
      <c r="J69" s="27">
        <f t="shared" si="22"/>
        <v>120.08064933958848</v>
      </c>
      <c r="K69" s="27">
        <f t="shared" si="22"/>
        <v>0</v>
      </c>
      <c r="L69" s="27">
        <f t="shared" si="22"/>
        <v>120.08064933958848</v>
      </c>
      <c r="M69" s="27">
        <f t="shared" si="22"/>
        <v>120.08064933958848</v>
      </c>
      <c r="N69" s="28">
        <f t="shared" si="22"/>
        <v>0</v>
      </c>
    </row>
    <row r="70" spans="1:14">
      <c r="A70" s="23" t="s">
        <v>58</v>
      </c>
      <c r="B70" s="2">
        <v>0.51210788917365269</v>
      </c>
      <c r="G70">
        <f>+B70</f>
        <v>0.51210788917365269</v>
      </c>
    </row>
    <row r="71" spans="1:14">
      <c r="A71" s="23" t="s">
        <v>64</v>
      </c>
      <c r="B71" s="2">
        <v>20.135579516622403</v>
      </c>
      <c r="G71">
        <f>+$B71/6</f>
        <v>3.3559299194370671</v>
      </c>
      <c r="H71">
        <f>+$B71/6</f>
        <v>3.3559299194370671</v>
      </c>
      <c r="I71">
        <f>+$B71/6</f>
        <v>3.3559299194370671</v>
      </c>
      <c r="J71">
        <f>+$B71/6</f>
        <v>3.3559299194370671</v>
      </c>
      <c r="L71">
        <f>+$B71/6</f>
        <v>3.3559299194370671</v>
      </c>
      <c r="M71">
        <f>+$B71/6</f>
        <v>3.3559299194370671</v>
      </c>
    </row>
    <row r="72" spans="1:14">
      <c r="A72" s="23" t="s">
        <v>106</v>
      </c>
      <c r="B72" s="2">
        <v>5.6206221880793663</v>
      </c>
      <c r="F72">
        <f>+B72</f>
        <v>5.6206221880793663</v>
      </c>
    </row>
    <row r="73" spans="1:14">
      <c r="A73" s="23" t="s">
        <v>51</v>
      </c>
      <c r="B73" s="2">
        <v>228.83166666666665</v>
      </c>
      <c r="D73">
        <f t="shared" ref="D73:F74" si="23">+$B73/3</f>
        <v>76.277222222222221</v>
      </c>
      <c r="E73">
        <f t="shared" si="23"/>
        <v>76.277222222222221</v>
      </c>
      <c r="F73">
        <f t="shared" si="23"/>
        <v>76.277222222222221</v>
      </c>
    </row>
    <row r="74" spans="1:14">
      <c r="A74" s="23" t="s">
        <v>52</v>
      </c>
      <c r="B74" s="2">
        <v>152.55444444444444</v>
      </c>
      <c r="D74">
        <f t="shared" si="23"/>
        <v>50.851481481481478</v>
      </c>
      <c r="E74">
        <f t="shared" si="23"/>
        <v>50.851481481481478</v>
      </c>
      <c r="F74">
        <f t="shared" si="23"/>
        <v>50.851481481481478</v>
      </c>
    </row>
    <row r="75" spans="1:14">
      <c r="A75" s="23" t="s">
        <v>54</v>
      </c>
      <c r="B75" s="2">
        <v>103.01599999999999</v>
      </c>
      <c r="G75">
        <f>+$B75/2</f>
        <v>51.507999999999996</v>
      </c>
      <c r="H75">
        <f>+$B75/2/2</f>
        <v>25.753999999999998</v>
      </c>
      <c r="I75">
        <f>+$B75/2/2</f>
        <v>25.753999999999998</v>
      </c>
    </row>
    <row r="76" spans="1:14">
      <c r="A76" s="23" t="s">
        <v>53</v>
      </c>
      <c r="B76" s="2">
        <v>396.21538461538461</v>
      </c>
      <c r="H76">
        <f>+$B76/5</f>
        <v>79.243076923076927</v>
      </c>
      <c r="I76">
        <f>+$B76/5</f>
        <v>79.243076923076927</v>
      </c>
      <c r="J76">
        <f>+$B76/5</f>
        <v>79.243076923076927</v>
      </c>
      <c r="L76">
        <f>+$B76/5</f>
        <v>79.243076923076927</v>
      </c>
      <c r="M76">
        <f>+$B76/5</f>
        <v>79.243076923076927</v>
      </c>
    </row>
    <row r="77" spans="1:14">
      <c r="A77" s="23" t="s">
        <v>57</v>
      </c>
      <c r="B77" s="2">
        <v>263.00333333333333</v>
      </c>
      <c r="I77">
        <f>+$B77/2</f>
        <v>131.50166666666667</v>
      </c>
      <c r="J77">
        <f>+$B77/2</f>
        <v>131.50166666666667</v>
      </c>
    </row>
    <row r="78" spans="1:14">
      <c r="A78" s="23" t="s">
        <v>55</v>
      </c>
      <c r="B78" s="2">
        <v>0</v>
      </c>
    </row>
    <row r="79" spans="1:14" ht="15.75" thickBot="1">
      <c r="A79" s="23" t="s">
        <v>56</v>
      </c>
      <c r="B79" s="2">
        <v>103.01599999999999</v>
      </c>
      <c r="G79">
        <f t="shared" ref="G79:H79" si="24">+$B79/2</f>
        <v>51.507999999999996</v>
      </c>
      <c r="H79">
        <f t="shared" si="24"/>
        <v>51.507999999999996</v>
      </c>
    </row>
    <row r="80" spans="1:14" ht="15.75" thickBot="1">
      <c r="A80" s="22" t="s">
        <v>181</v>
      </c>
      <c r="B80" s="2">
        <v>4047.2325939346442</v>
      </c>
      <c r="C80" s="26">
        <f t="shared" ref="C80:N80" si="25">+SUM(C70:C79)</f>
        <v>0</v>
      </c>
      <c r="D80" s="27">
        <f t="shared" si="25"/>
        <v>127.12870370370371</v>
      </c>
      <c r="E80" s="27">
        <f t="shared" si="25"/>
        <v>127.12870370370371</v>
      </c>
      <c r="F80" s="27">
        <f t="shared" si="25"/>
        <v>132.74932589178306</v>
      </c>
      <c r="G80" s="27">
        <f t="shared" si="25"/>
        <v>106.88403780861071</v>
      </c>
      <c r="H80" s="27">
        <f t="shared" si="25"/>
        <v>159.86100684251397</v>
      </c>
      <c r="I80" s="27">
        <f t="shared" si="25"/>
        <v>239.85467350918066</v>
      </c>
      <c r="J80" s="27">
        <f t="shared" si="25"/>
        <v>214.10067350918067</v>
      </c>
      <c r="K80" s="27">
        <f t="shared" si="25"/>
        <v>0</v>
      </c>
      <c r="L80" s="27">
        <f t="shared" si="25"/>
        <v>82.599006842514001</v>
      </c>
      <c r="M80" s="27">
        <f t="shared" si="25"/>
        <v>82.599006842514001</v>
      </c>
      <c r="N80" s="28">
        <f t="shared" si="25"/>
        <v>0</v>
      </c>
    </row>
    <row r="81" spans="1:14">
      <c r="A81" s="23" t="s">
        <v>58</v>
      </c>
      <c r="B81" s="2">
        <v>1.1511849625747879</v>
      </c>
      <c r="G81">
        <f>+B81</f>
        <v>1.1511849625747879</v>
      </c>
    </row>
    <row r="82" spans="1:14">
      <c r="A82" s="23" t="s">
        <v>64</v>
      </c>
      <c r="B82" s="2">
        <v>45.666831119075319</v>
      </c>
      <c r="G82">
        <f>+$B82/6</f>
        <v>7.6111385198458867</v>
      </c>
      <c r="H82">
        <f>+$B82/6</f>
        <v>7.6111385198458867</v>
      </c>
      <c r="I82">
        <f>+$B82/6</f>
        <v>7.6111385198458867</v>
      </c>
      <c r="J82">
        <f>+$B82/6</f>
        <v>7.6111385198458867</v>
      </c>
      <c r="L82">
        <f>+$B82/6</f>
        <v>7.6111385198458867</v>
      </c>
      <c r="M82">
        <f>+$B82/6</f>
        <v>7.6111385198458867</v>
      </c>
    </row>
    <row r="83" spans="1:14">
      <c r="A83" s="23" t="s">
        <v>106</v>
      </c>
      <c r="B83" s="2">
        <v>12.747706058122008</v>
      </c>
      <c r="F83">
        <f>+B83</f>
        <v>12.747706058122008</v>
      </c>
    </row>
    <row r="84" spans="1:14">
      <c r="A84" s="23" t="s">
        <v>51</v>
      </c>
      <c r="B84" s="2">
        <v>803.4666666666667</v>
      </c>
      <c r="D84">
        <f t="shared" ref="D84:F85" si="26">+$B84/3</f>
        <v>267.82222222222225</v>
      </c>
      <c r="E84">
        <f t="shared" si="26"/>
        <v>267.82222222222225</v>
      </c>
      <c r="F84">
        <f t="shared" si="26"/>
        <v>267.82222222222225</v>
      </c>
    </row>
    <row r="85" spans="1:14">
      <c r="A85" s="23" t="s">
        <v>52</v>
      </c>
      <c r="B85" s="2">
        <v>803.4666666666667</v>
      </c>
      <c r="D85">
        <f t="shared" si="26"/>
        <v>267.82222222222225</v>
      </c>
      <c r="E85">
        <f t="shared" si="26"/>
        <v>267.82222222222225</v>
      </c>
      <c r="F85">
        <f t="shared" si="26"/>
        <v>267.82222222222225</v>
      </c>
    </row>
    <row r="86" spans="1:14">
      <c r="A86" s="23" t="s">
        <v>54</v>
      </c>
      <c r="B86" s="2">
        <v>385.66399999999999</v>
      </c>
      <c r="G86">
        <f>+$B86/2</f>
        <v>192.83199999999999</v>
      </c>
      <c r="H86">
        <f>+$B86/2/2</f>
        <v>96.415999999999997</v>
      </c>
      <c r="I86">
        <f>+$B86/2/2</f>
        <v>96.415999999999997</v>
      </c>
    </row>
    <row r="87" spans="1:14">
      <c r="A87" s="23" t="s">
        <v>53</v>
      </c>
      <c r="B87" s="2">
        <v>741.66153846153861</v>
      </c>
      <c r="H87">
        <f>+$B87/5</f>
        <v>148.33230769230772</v>
      </c>
      <c r="I87">
        <f>+$B87/5</f>
        <v>148.33230769230772</v>
      </c>
      <c r="J87">
        <f>+$B87/5</f>
        <v>148.33230769230772</v>
      </c>
      <c r="L87">
        <f>+$B87/5</f>
        <v>148.33230769230772</v>
      </c>
      <c r="M87">
        <f>+$B87/5</f>
        <v>148.33230769230772</v>
      </c>
    </row>
    <row r="88" spans="1:14">
      <c r="A88" s="23" t="s">
        <v>57</v>
      </c>
      <c r="B88" s="2">
        <v>964.16</v>
      </c>
      <c r="I88">
        <f>+$B88/2</f>
        <v>482.08</v>
      </c>
      <c r="J88">
        <f>+$B88/2</f>
        <v>482.08</v>
      </c>
    </row>
    <row r="89" spans="1:14">
      <c r="A89" s="23" t="s">
        <v>55</v>
      </c>
      <c r="B89" s="2">
        <v>96.415999999999997</v>
      </c>
      <c r="J89" s="2">
        <f>+B89</f>
        <v>96.415999999999997</v>
      </c>
    </row>
    <row r="90" spans="1:14" ht="15.75" thickBot="1">
      <c r="A90" s="23" t="s">
        <v>56</v>
      </c>
      <c r="B90" s="2">
        <v>192.83199999999999</v>
      </c>
      <c r="G90">
        <f t="shared" ref="G90:H90" si="27">+$B90/2</f>
        <v>96.415999999999997</v>
      </c>
      <c r="H90">
        <f t="shared" si="27"/>
        <v>96.415999999999997</v>
      </c>
    </row>
    <row r="91" spans="1:14" ht="15.75" thickBot="1">
      <c r="A91" s="22" t="s">
        <v>182</v>
      </c>
      <c r="B91" s="2">
        <v>419.06396224881064</v>
      </c>
      <c r="C91" s="26">
        <f t="shared" ref="C91:N91" si="28">+SUM(C81:C90)</f>
        <v>0</v>
      </c>
      <c r="D91" s="27">
        <f t="shared" si="28"/>
        <v>535.6444444444445</v>
      </c>
      <c r="E91" s="27">
        <f t="shared" si="28"/>
        <v>535.6444444444445</v>
      </c>
      <c r="F91" s="27">
        <f t="shared" si="28"/>
        <v>548.39215050256644</v>
      </c>
      <c r="G91" s="27">
        <f t="shared" si="28"/>
        <v>298.01032348242063</v>
      </c>
      <c r="H91" s="27">
        <f t="shared" si="28"/>
        <v>348.77544621215361</v>
      </c>
      <c r="I91" s="27">
        <f t="shared" si="28"/>
        <v>734.4394462121536</v>
      </c>
      <c r="J91" s="27">
        <f t="shared" si="28"/>
        <v>734.4394462121536</v>
      </c>
      <c r="K91" s="27">
        <f t="shared" si="28"/>
        <v>0</v>
      </c>
      <c r="L91" s="27">
        <f t="shared" si="28"/>
        <v>155.94344621215362</v>
      </c>
      <c r="M91" s="27">
        <f t="shared" si="28"/>
        <v>155.94344621215362</v>
      </c>
      <c r="N91" s="28">
        <f t="shared" si="28"/>
        <v>0</v>
      </c>
    </row>
    <row r="92" spans="1:14">
      <c r="A92" s="23" t="s">
        <v>58</v>
      </c>
      <c r="B92" s="2">
        <v>0.21087614214050585</v>
      </c>
      <c r="G92">
        <f>+B92</f>
        <v>0.21087614214050585</v>
      </c>
    </row>
    <row r="93" spans="1:14">
      <c r="A93" s="23" t="s">
        <v>64</v>
      </c>
      <c r="B93" s="2">
        <v>8.2914429127040705</v>
      </c>
      <c r="G93">
        <f>+$B93/6</f>
        <v>1.3819071521173452</v>
      </c>
      <c r="H93">
        <f>+$B93/6</f>
        <v>1.3819071521173452</v>
      </c>
      <c r="I93">
        <f>+$B93/6</f>
        <v>1.3819071521173452</v>
      </c>
      <c r="J93">
        <f>+$B93/6</f>
        <v>1.3819071521173452</v>
      </c>
      <c r="L93">
        <f>+$B93/6</f>
        <v>1.3819071521173452</v>
      </c>
      <c r="M93">
        <f>+$B93/6</f>
        <v>1.3819071521173452</v>
      </c>
    </row>
    <row r="94" spans="1:14">
      <c r="A94" s="23" t="s">
        <v>106</v>
      </c>
      <c r="B94" s="2">
        <v>2.3144637067865834</v>
      </c>
      <c r="F94">
        <f>+B94</f>
        <v>2.3144637067865834</v>
      </c>
    </row>
    <row r="95" spans="1:14">
      <c r="A95" s="23" t="s">
        <v>51</v>
      </c>
      <c r="B95" s="2">
        <v>70.7</v>
      </c>
      <c r="D95">
        <f t="shared" ref="D95:F96" si="29">+$B95/3</f>
        <v>23.566666666666666</v>
      </c>
      <c r="E95">
        <f t="shared" si="29"/>
        <v>23.566666666666666</v>
      </c>
      <c r="F95">
        <f t="shared" si="29"/>
        <v>23.566666666666666</v>
      </c>
    </row>
    <row r="96" spans="1:14">
      <c r="A96" s="23" t="s">
        <v>52</v>
      </c>
      <c r="B96" s="2">
        <v>47.133333333333333</v>
      </c>
      <c r="D96">
        <f t="shared" si="29"/>
        <v>15.71111111111111</v>
      </c>
      <c r="E96">
        <f t="shared" si="29"/>
        <v>15.71111111111111</v>
      </c>
      <c r="F96">
        <f t="shared" si="29"/>
        <v>15.71111111111111</v>
      </c>
    </row>
    <row r="97" spans="1:16">
      <c r="A97" s="23" t="s">
        <v>54</v>
      </c>
      <c r="B97" s="2">
        <v>42.42</v>
      </c>
      <c r="G97">
        <f>+$B97/2</f>
        <v>21.21</v>
      </c>
      <c r="H97">
        <f>+$B97/2/2</f>
        <v>10.605</v>
      </c>
      <c r="I97">
        <f>+$B97/2/2</f>
        <v>10.605</v>
      </c>
    </row>
    <row r="98" spans="1:16">
      <c r="A98" s="23" t="s">
        <v>53</v>
      </c>
      <c r="B98" s="2">
        <v>163.15384615384613</v>
      </c>
      <c r="H98">
        <f>+$B98/5</f>
        <v>32.630769230769225</v>
      </c>
      <c r="I98">
        <f>+$B98/5</f>
        <v>32.630769230769225</v>
      </c>
      <c r="J98">
        <f>+$B98/5</f>
        <v>32.630769230769225</v>
      </c>
      <c r="L98">
        <f>+$B98/5</f>
        <v>32.630769230769225</v>
      </c>
      <c r="M98">
        <f>+$B98/5</f>
        <v>32.630769230769225</v>
      </c>
    </row>
    <row r="99" spans="1:16">
      <c r="A99" s="23" t="s">
        <v>57</v>
      </c>
      <c r="B99" s="2">
        <v>42.42</v>
      </c>
      <c r="I99">
        <f>+$B99/2</f>
        <v>21.21</v>
      </c>
      <c r="J99">
        <f>+$B99/2</f>
        <v>21.21</v>
      </c>
    </row>
    <row r="100" spans="1:16">
      <c r="A100" s="23" t="s">
        <v>55</v>
      </c>
      <c r="B100" s="2">
        <v>0</v>
      </c>
    </row>
    <row r="101" spans="1:16" ht="15.75" thickBot="1">
      <c r="A101" s="23" t="s">
        <v>56</v>
      </c>
      <c r="B101" s="2">
        <v>42.42</v>
      </c>
      <c r="G101">
        <f t="shared" ref="G101:H101" si="30">+$B101/2</f>
        <v>21.21</v>
      </c>
      <c r="H101">
        <f t="shared" si="30"/>
        <v>21.21</v>
      </c>
    </row>
    <row r="102" spans="1:16" ht="15.75" thickBot="1">
      <c r="A102" s="32" t="s">
        <v>104</v>
      </c>
      <c r="B102" s="31">
        <v>15572.054904376771</v>
      </c>
      <c r="C102" s="26">
        <f t="shared" ref="C102:N102" si="31">+SUM(C92:C101)</f>
        <v>0</v>
      </c>
      <c r="D102" s="27">
        <f t="shared" si="31"/>
        <v>39.277777777777779</v>
      </c>
      <c r="E102" s="27">
        <f t="shared" si="31"/>
        <v>39.277777777777779</v>
      </c>
      <c r="F102" s="27">
        <f t="shared" si="31"/>
        <v>41.592241484564362</v>
      </c>
      <c r="G102" s="27">
        <f t="shared" si="31"/>
        <v>44.012783294257858</v>
      </c>
      <c r="H102" s="27">
        <f t="shared" si="31"/>
        <v>65.82767638288658</v>
      </c>
      <c r="I102" s="27">
        <f t="shared" si="31"/>
        <v>65.82767638288658</v>
      </c>
      <c r="J102" s="27">
        <f t="shared" si="31"/>
        <v>55.222676382886569</v>
      </c>
      <c r="K102" s="27">
        <f t="shared" si="31"/>
        <v>0</v>
      </c>
      <c r="L102" s="27">
        <f t="shared" si="31"/>
        <v>34.012676382886568</v>
      </c>
      <c r="M102" s="27">
        <f t="shared" si="31"/>
        <v>34.012676382886568</v>
      </c>
      <c r="N102" s="28">
        <f t="shared" si="31"/>
        <v>0</v>
      </c>
    </row>
    <row r="103" spans="1:16" ht="15.75" thickBot="1"/>
    <row r="104" spans="1:16" ht="15.75" thickBot="1">
      <c r="A104" s="38" t="s">
        <v>109</v>
      </c>
      <c r="B104" s="38"/>
      <c r="C104" s="34">
        <f>+C36+C47+C58+C69+C80+C91+C102</f>
        <v>0</v>
      </c>
      <c r="D104" s="35">
        <f t="shared" ref="D104:N104" si="32">+D36+D47+D58+D69+D80+D91+D102</f>
        <v>1899.3541791510993</v>
      </c>
      <c r="E104" s="35">
        <f t="shared" si="32"/>
        <v>1899.3541791510993</v>
      </c>
      <c r="F104" s="35">
        <f t="shared" si="32"/>
        <v>2096.4792947889155</v>
      </c>
      <c r="G104" s="35">
        <f t="shared" si="32"/>
        <v>1304.6643382873026</v>
      </c>
      <c r="H104" s="35">
        <f t="shared" si="32"/>
        <v>1521.2946168657759</v>
      </c>
      <c r="I104" s="35">
        <f t="shared" si="32"/>
        <v>2695.2024556936149</v>
      </c>
      <c r="J104" s="35">
        <f t="shared" si="32"/>
        <v>2706.7790579240982</v>
      </c>
      <c r="K104" s="35">
        <f t="shared" si="32"/>
        <v>0</v>
      </c>
      <c r="L104" s="35">
        <f t="shared" si="32"/>
        <v>724.46339125743145</v>
      </c>
      <c r="M104" s="35">
        <f t="shared" si="32"/>
        <v>724.46339125743145</v>
      </c>
      <c r="N104" s="36">
        <f t="shared" si="32"/>
        <v>0</v>
      </c>
      <c r="O104" s="40">
        <f>SUM(C104:N104)</f>
        <v>15572.054904376768</v>
      </c>
    </row>
    <row r="106" spans="1:16">
      <c r="A106" s="29" t="s">
        <v>103</v>
      </c>
      <c r="B106" s="29" t="s">
        <v>108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4"/>
    </row>
    <row r="107" spans="1:16">
      <c r="A107" s="22" t="s">
        <v>65</v>
      </c>
      <c r="B107" s="2">
        <v>2236.4216862460021</v>
      </c>
      <c r="C107">
        <f>+$B107*0.03</f>
        <v>67.092650587380064</v>
      </c>
      <c r="D107">
        <f>+$B107*0.03</f>
        <v>67.092650587380064</v>
      </c>
      <c r="E107">
        <f>+$B107*0.03</f>
        <v>67.092650587380064</v>
      </c>
      <c r="F107">
        <f>+$B107*0.04</f>
        <v>89.45686744984009</v>
      </c>
      <c r="G107">
        <f>+$B107*0.12</f>
        <v>268.37060234952025</v>
      </c>
      <c r="H107">
        <f>+$B107*0.06</f>
        <v>134.18530117476013</v>
      </c>
      <c r="I107">
        <f>+$B107*0.12</f>
        <v>268.37060234952025</v>
      </c>
      <c r="J107">
        <f>+$B107*0.12</f>
        <v>268.37060234952025</v>
      </c>
      <c r="K107">
        <f>+$B107*0.12</f>
        <v>268.37060234952025</v>
      </c>
      <c r="L107">
        <f>+$B107*0.12</f>
        <v>268.37060234952025</v>
      </c>
      <c r="M107">
        <f>+$B107*0.12</f>
        <v>268.37060234952025</v>
      </c>
      <c r="N107">
        <f>+$B107*0.09</f>
        <v>201.27795176214019</v>
      </c>
      <c r="O107" s="2"/>
      <c r="P107" s="2"/>
    </row>
    <row r="108" spans="1:16">
      <c r="A108" s="22" t="s">
        <v>66</v>
      </c>
      <c r="B108" s="2">
        <v>478.06673485710621</v>
      </c>
      <c r="C108">
        <f>+B108/2</f>
        <v>239.03336742855311</v>
      </c>
      <c r="E108">
        <f>+$B108/2/2/2</f>
        <v>59.758341857138277</v>
      </c>
      <c r="G108">
        <f>+$B108/2/2/2</f>
        <v>59.758341857138277</v>
      </c>
      <c r="H108">
        <f>+B108/2/2/2</f>
        <v>59.758341857138277</v>
      </c>
      <c r="I108">
        <f>+B108/2/2/2</f>
        <v>59.758341857138277</v>
      </c>
      <c r="O108" s="2"/>
      <c r="P108" s="2"/>
    </row>
    <row r="109" spans="1:16">
      <c r="A109" s="22" t="s">
        <v>67</v>
      </c>
      <c r="B109" s="2">
        <v>342.48833009191702</v>
      </c>
      <c r="G109">
        <f>+B109/2/2</f>
        <v>85.622082522979255</v>
      </c>
      <c r="J109">
        <f>+B109/2/2</f>
        <v>85.622082522979255</v>
      </c>
      <c r="N109">
        <f>+B109/2</f>
        <v>171.24416504595851</v>
      </c>
      <c r="O109" s="2"/>
      <c r="P109" s="2"/>
    </row>
    <row r="110" spans="1:16">
      <c r="A110" s="22" t="s">
        <v>68</v>
      </c>
      <c r="B110" s="2">
        <v>27.456665945768275</v>
      </c>
      <c r="C110">
        <f>+$B110/6</f>
        <v>4.5761109909613795</v>
      </c>
      <c r="E110">
        <f>+$B110/6</f>
        <v>4.5761109909613795</v>
      </c>
      <c r="G110">
        <f>+$B110/6</f>
        <v>4.5761109909613795</v>
      </c>
      <c r="I110">
        <f>+$B110/6</f>
        <v>4.5761109909613795</v>
      </c>
      <c r="K110">
        <f>+$B110/6</f>
        <v>4.5761109909613795</v>
      </c>
      <c r="M110">
        <f>+$B110/6</f>
        <v>4.5761109909613795</v>
      </c>
      <c r="O110" s="2"/>
      <c r="P110" s="2"/>
    </row>
    <row r="111" spans="1:16">
      <c r="A111" s="22" t="s">
        <v>69</v>
      </c>
      <c r="B111" s="2">
        <v>592.49245021143679</v>
      </c>
      <c r="F111">
        <f>+$B111/2/2</f>
        <v>148.1231125528592</v>
      </c>
      <c r="G111">
        <f>+$B111/2/2/2</f>
        <v>74.061556276429599</v>
      </c>
      <c r="H111">
        <f>+$B111/2/2/2</f>
        <v>74.061556276429599</v>
      </c>
      <c r="K111">
        <f>+$B111/2/2</f>
        <v>148.1231125528592</v>
      </c>
      <c r="M111">
        <f>+$B111/2/2</f>
        <v>148.1231125528592</v>
      </c>
      <c r="O111" s="2"/>
      <c r="P111" s="2"/>
    </row>
    <row r="112" spans="1:16">
      <c r="A112" s="22" t="s">
        <v>70</v>
      </c>
      <c r="B112" s="2">
        <v>1021.3975711736388</v>
      </c>
      <c r="F112">
        <f>+$B112/3/2/2</f>
        <v>85.116464264469897</v>
      </c>
      <c r="G112">
        <f>+$B112/3/2/2</f>
        <v>85.116464264469897</v>
      </c>
      <c r="I112">
        <f>+$B112/3/2</f>
        <v>170.23292852893979</v>
      </c>
      <c r="J112">
        <f>+$B112/3</f>
        <v>340.46585705787959</v>
      </c>
      <c r="N112">
        <f>+$B112/3</f>
        <v>340.46585705787959</v>
      </c>
      <c r="O112" s="2"/>
      <c r="P112" s="2"/>
    </row>
    <row r="113" spans="1:16">
      <c r="A113" s="22" t="s">
        <v>72</v>
      </c>
      <c r="B113" s="2">
        <v>144.50869562856661</v>
      </c>
      <c r="G113">
        <f>+$B113/8</f>
        <v>18.063586953570827</v>
      </c>
      <c r="H113">
        <f t="shared" ref="H113:N113" si="33">+$B113/8</f>
        <v>18.063586953570827</v>
      </c>
      <c r="I113">
        <f t="shared" si="33"/>
        <v>18.063586953570827</v>
      </c>
      <c r="J113">
        <f t="shared" si="33"/>
        <v>18.063586953570827</v>
      </c>
      <c r="K113">
        <f t="shared" si="33"/>
        <v>18.063586953570827</v>
      </c>
      <c r="L113">
        <f t="shared" si="33"/>
        <v>18.063586953570827</v>
      </c>
      <c r="M113">
        <f t="shared" si="33"/>
        <v>18.063586953570827</v>
      </c>
      <c r="N113">
        <f t="shared" si="33"/>
        <v>18.063586953570827</v>
      </c>
      <c r="O113" s="2"/>
      <c r="P113" s="2"/>
    </row>
    <row r="114" spans="1:16">
      <c r="A114" s="22" t="s">
        <v>73</v>
      </c>
      <c r="B114" s="2">
        <v>46.242806488236134</v>
      </c>
      <c r="E114">
        <f>+$B114*0.2/2</f>
        <v>4.6242806488236132</v>
      </c>
      <c r="F114">
        <f>+$B114*0.1</f>
        <v>4.6242806488236132</v>
      </c>
      <c r="G114">
        <f>+$B114*0.2/2</f>
        <v>4.6242806488236132</v>
      </c>
      <c r="H114">
        <f>+$B114*0.2</f>
        <v>9.2485612976472265</v>
      </c>
      <c r="I114">
        <f>+$B114*0.2</f>
        <v>9.2485612976472265</v>
      </c>
      <c r="J114">
        <f>+$B114*0.05</f>
        <v>2.3121403244118066</v>
      </c>
      <c r="K114">
        <f>+$B114*0.05</f>
        <v>2.3121403244118066</v>
      </c>
      <c r="L114">
        <f>+$B114*0.05</f>
        <v>2.3121403244118066</v>
      </c>
      <c r="M114">
        <f>+$B114*0.05</f>
        <v>2.3121403244118066</v>
      </c>
      <c r="N114">
        <f>+$B114*0.1</f>
        <v>4.6242806488236132</v>
      </c>
      <c r="O114" s="2"/>
      <c r="P114" s="2"/>
    </row>
    <row r="115" spans="1:16">
      <c r="A115" s="22" t="s">
        <v>74</v>
      </c>
      <c r="B115" s="2">
        <v>1255.2679519150336</v>
      </c>
      <c r="C115">
        <f t="shared" ref="C115:N115" si="34">+$B115/11</f>
        <v>114.11526835591214</v>
      </c>
      <c r="D115">
        <f>+$B115/11</f>
        <v>114.11526835591214</v>
      </c>
      <c r="E115">
        <f t="shared" si="34"/>
        <v>114.11526835591214</v>
      </c>
      <c r="F115">
        <f t="shared" si="34"/>
        <v>114.11526835591214</v>
      </c>
      <c r="H115">
        <f t="shared" si="34"/>
        <v>114.11526835591214</v>
      </c>
      <c r="I115">
        <f t="shared" si="34"/>
        <v>114.11526835591214</v>
      </c>
      <c r="J115">
        <f t="shared" si="34"/>
        <v>114.11526835591214</v>
      </c>
      <c r="K115">
        <f t="shared" si="34"/>
        <v>114.11526835591214</v>
      </c>
      <c r="L115">
        <f t="shared" si="34"/>
        <v>114.11526835591214</v>
      </c>
      <c r="M115">
        <f t="shared" si="34"/>
        <v>114.11526835591214</v>
      </c>
      <c r="N115">
        <f t="shared" si="34"/>
        <v>114.11526835591214</v>
      </c>
      <c r="O115" s="2"/>
      <c r="P115" s="2"/>
    </row>
    <row r="116" spans="1:16">
      <c r="A116" s="22" t="s">
        <v>75</v>
      </c>
      <c r="B116" s="2">
        <v>134.39288728593672</v>
      </c>
      <c r="C116">
        <f>+$B116/12</f>
        <v>11.19940727382806</v>
      </c>
      <c r="D116">
        <f t="shared" ref="D116:N116" si="35">+$B116/12</f>
        <v>11.19940727382806</v>
      </c>
      <c r="E116">
        <f t="shared" si="35"/>
        <v>11.19940727382806</v>
      </c>
      <c r="F116">
        <f t="shared" si="35"/>
        <v>11.19940727382806</v>
      </c>
      <c r="G116">
        <f t="shared" si="35"/>
        <v>11.19940727382806</v>
      </c>
      <c r="H116">
        <f t="shared" si="35"/>
        <v>11.19940727382806</v>
      </c>
      <c r="I116">
        <f t="shared" si="35"/>
        <v>11.19940727382806</v>
      </c>
      <c r="J116">
        <f t="shared" si="35"/>
        <v>11.19940727382806</v>
      </c>
      <c r="K116">
        <f t="shared" si="35"/>
        <v>11.19940727382806</v>
      </c>
      <c r="L116">
        <f t="shared" si="35"/>
        <v>11.19940727382806</v>
      </c>
      <c r="M116">
        <f t="shared" si="35"/>
        <v>11.19940727382806</v>
      </c>
      <c r="N116">
        <f t="shared" si="35"/>
        <v>11.19940727382806</v>
      </c>
      <c r="O116" s="2"/>
      <c r="P116" s="2"/>
    </row>
    <row r="117" spans="1:16">
      <c r="A117" s="22" t="s">
        <v>76</v>
      </c>
      <c r="B117" s="2">
        <v>413.29363963279707</v>
      </c>
      <c r="D117">
        <f>+$B117/7.5</f>
        <v>55.105818617706277</v>
      </c>
      <c r="E117">
        <f>+$B117/7.5</f>
        <v>55.105818617706277</v>
      </c>
      <c r="F117">
        <f>+$B117/7.5</f>
        <v>55.105818617706277</v>
      </c>
      <c r="G117">
        <f>+$B117/7.5/2</f>
        <v>27.552909308853138</v>
      </c>
      <c r="H117">
        <f>+$B117/7.5/2</f>
        <v>27.552909308853138</v>
      </c>
      <c r="I117">
        <f>+$B117/7.5/2</f>
        <v>27.552909308853138</v>
      </c>
      <c r="J117">
        <f>+$B117/7.5/2</f>
        <v>27.552909308853138</v>
      </c>
      <c r="K117">
        <f>+$B117/7.5</f>
        <v>55.105818617706277</v>
      </c>
      <c r="L117">
        <f>+$B117/7.5/2</f>
        <v>27.552909308853138</v>
      </c>
      <c r="M117">
        <f>+$B117/7.5/2</f>
        <v>27.552909308853138</v>
      </c>
      <c r="N117">
        <f>+$B117/7.5/2</f>
        <v>27.552909308853138</v>
      </c>
      <c r="O117" s="2"/>
      <c r="P117" s="2"/>
    </row>
    <row r="118" spans="1:16">
      <c r="A118" s="22" t="s">
        <v>77</v>
      </c>
      <c r="B118" s="2">
        <v>347.58248802770407</v>
      </c>
      <c r="D118">
        <f>+$B118/4</f>
        <v>86.895622006926018</v>
      </c>
      <c r="E118">
        <f>+$B118/4</f>
        <v>86.895622006926018</v>
      </c>
      <c r="F118">
        <f>+$B118/4</f>
        <v>86.895622006926018</v>
      </c>
      <c r="G118">
        <f>+$B118/4/2/2</f>
        <v>21.723905501731505</v>
      </c>
      <c r="H118">
        <f>+$B118/4/2</f>
        <v>43.447811003463009</v>
      </c>
      <c r="I118">
        <f>+$B118/4/2/2</f>
        <v>21.723905501731505</v>
      </c>
      <c r="O118" s="2"/>
      <c r="P118" s="2"/>
    </row>
    <row r="119" spans="1:16">
      <c r="A119" s="22" t="s">
        <v>78</v>
      </c>
      <c r="B119" s="2">
        <v>244.21980803886854</v>
      </c>
      <c r="C119">
        <f t="shared" ref="C119:N122" si="36">+$B119/12</f>
        <v>20.351650669905712</v>
      </c>
      <c r="D119">
        <f t="shared" si="36"/>
        <v>20.351650669905712</v>
      </c>
      <c r="E119">
        <f t="shared" si="36"/>
        <v>20.351650669905712</v>
      </c>
      <c r="F119">
        <f t="shared" si="36"/>
        <v>20.351650669905712</v>
      </c>
      <c r="G119">
        <f t="shared" si="36"/>
        <v>20.351650669905712</v>
      </c>
      <c r="H119">
        <f t="shared" si="36"/>
        <v>20.351650669905712</v>
      </c>
      <c r="I119">
        <f t="shared" si="36"/>
        <v>20.351650669905712</v>
      </c>
      <c r="J119">
        <f t="shared" si="36"/>
        <v>20.351650669905712</v>
      </c>
      <c r="K119">
        <f t="shared" si="36"/>
        <v>20.351650669905712</v>
      </c>
      <c r="L119">
        <f t="shared" si="36"/>
        <v>20.351650669905712</v>
      </c>
      <c r="M119">
        <f t="shared" si="36"/>
        <v>20.351650669905712</v>
      </c>
      <c r="N119">
        <f t="shared" si="36"/>
        <v>20.351650669905712</v>
      </c>
      <c r="O119" s="2"/>
      <c r="P119" s="2"/>
    </row>
    <row r="120" spans="1:16">
      <c r="A120" s="22" t="s">
        <v>79</v>
      </c>
      <c r="B120" s="2">
        <v>664.73984919505824</v>
      </c>
      <c r="E120" s="2">
        <f>+$B120/2/2/2</f>
        <v>83.09248114938228</v>
      </c>
      <c r="F120" s="2">
        <f>+$B120/2/2/2</f>
        <v>83.09248114938228</v>
      </c>
      <c r="G120" s="2">
        <f>+$B120/2/2</f>
        <v>166.18496229876456</v>
      </c>
      <c r="H120" s="2">
        <f>+$B120/2</f>
        <v>332.36992459752912</v>
      </c>
      <c r="O120" s="2"/>
      <c r="P120" s="2"/>
    </row>
    <row r="121" spans="1:16">
      <c r="A121" s="22" t="s">
        <v>80</v>
      </c>
      <c r="B121" s="2">
        <v>46.24677235966422</v>
      </c>
      <c r="C121">
        <f t="shared" si="36"/>
        <v>3.8538976966386849</v>
      </c>
      <c r="D121">
        <f t="shared" si="36"/>
        <v>3.8538976966386849</v>
      </c>
      <c r="E121">
        <f t="shared" si="36"/>
        <v>3.8538976966386849</v>
      </c>
      <c r="F121">
        <f t="shared" si="36"/>
        <v>3.8538976966386849</v>
      </c>
      <c r="G121">
        <f t="shared" si="36"/>
        <v>3.8538976966386849</v>
      </c>
      <c r="H121">
        <f t="shared" si="36"/>
        <v>3.8538976966386849</v>
      </c>
      <c r="I121">
        <f t="shared" si="36"/>
        <v>3.8538976966386849</v>
      </c>
      <c r="J121">
        <f t="shared" si="36"/>
        <v>3.8538976966386849</v>
      </c>
      <c r="K121">
        <f t="shared" si="36"/>
        <v>3.8538976966386849</v>
      </c>
      <c r="L121">
        <f t="shared" si="36"/>
        <v>3.8538976966386849</v>
      </c>
      <c r="M121">
        <f t="shared" si="36"/>
        <v>3.8538976966386849</v>
      </c>
      <c r="N121">
        <f t="shared" si="36"/>
        <v>3.8538976966386849</v>
      </c>
      <c r="O121" s="2"/>
      <c r="P121" s="2"/>
    </row>
    <row r="122" spans="1:16">
      <c r="A122" s="22" t="s">
        <v>81</v>
      </c>
      <c r="B122" s="2">
        <v>336.6618718950109</v>
      </c>
      <c r="C122">
        <f t="shared" si="36"/>
        <v>28.05515599125091</v>
      </c>
      <c r="D122">
        <f t="shared" si="36"/>
        <v>28.05515599125091</v>
      </c>
      <c r="E122">
        <f t="shared" si="36"/>
        <v>28.05515599125091</v>
      </c>
      <c r="F122">
        <f t="shared" si="36"/>
        <v>28.05515599125091</v>
      </c>
      <c r="G122">
        <f t="shared" si="36"/>
        <v>28.05515599125091</v>
      </c>
      <c r="H122">
        <f t="shared" si="36"/>
        <v>28.05515599125091</v>
      </c>
      <c r="I122">
        <f t="shared" si="36"/>
        <v>28.05515599125091</v>
      </c>
      <c r="J122">
        <f t="shared" si="36"/>
        <v>28.05515599125091</v>
      </c>
      <c r="K122">
        <f t="shared" si="36"/>
        <v>28.05515599125091</v>
      </c>
      <c r="L122">
        <f t="shared" si="36"/>
        <v>28.05515599125091</v>
      </c>
      <c r="M122">
        <f t="shared" si="36"/>
        <v>28.05515599125091</v>
      </c>
      <c r="N122">
        <f t="shared" si="36"/>
        <v>28.05515599125091</v>
      </c>
      <c r="O122" s="2"/>
      <c r="P122" s="2"/>
    </row>
    <row r="123" spans="1:16">
      <c r="A123" s="22" t="s">
        <v>82</v>
      </c>
      <c r="B123" s="2">
        <v>150.30588357718179</v>
      </c>
      <c r="C123" s="2">
        <f>+B123</f>
        <v>150.30588357718179</v>
      </c>
      <c r="O123" s="2"/>
      <c r="P123" s="2"/>
    </row>
    <row r="124" spans="1:16" ht="15.75" thickBot="1">
      <c r="A124" s="22" t="s">
        <v>119</v>
      </c>
      <c r="B124" s="2">
        <v>410.40498371643719</v>
      </c>
      <c r="C124">
        <f>+$B124*0.13</f>
        <v>53.352647883136839</v>
      </c>
      <c r="D124">
        <f>+$B124*0.13</f>
        <v>53.352647883136839</v>
      </c>
      <c r="E124">
        <f>+$B124*0.07</f>
        <v>28.728348860150607</v>
      </c>
      <c r="F124">
        <f>+$B124*0.07</f>
        <v>28.728348860150607</v>
      </c>
      <c r="H124">
        <f>+$B124*0.07</f>
        <v>28.728348860150607</v>
      </c>
      <c r="I124">
        <f>+$B124*0.07</f>
        <v>28.728348860150607</v>
      </c>
      <c r="J124">
        <f>+$B124*0.07</f>
        <v>28.728348860150607</v>
      </c>
      <c r="K124">
        <f>+$B124*0.07</f>
        <v>28.728348860150607</v>
      </c>
      <c r="L124">
        <f>+$B124*0.13</f>
        <v>53.352647883136839</v>
      </c>
      <c r="M124">
        <f>+$B124*0.06</f>
        <v>24.624299022986229</v>
      </c>
      <c r="N124">
        <f>+$B124*0.13</f>
        <v>53.352647883136839</v>
      </c>
      <c r="O124" s="2"/>
      <c r="P124" s="2"/>
    </row>
    <row r="125" spans="1:16" ht="15.75" thickBot="1">
      <c r="A125" s="37" t="s">
        <v>110</v>
      </c>
      <c r="B125" s="31">
        <v>8892.1910762863645</v>
      </c>
      <c r="C125" s="34">
        <f>SUM(C107:C124)</f>
        <v>691.93604045474854</v>
      </c>
      <c r="D125" s="35">
        <f t="shared" ref="D125:N125" si="37">SUM(D107:D124)</f>
        <v>440.02211908268475</v>
      </c>
      <c r="E125" s="35">
        <f t="shared" si="37"/>
        <v>567.449034706004</v>
      </c>
      <c r="F125" s="35">
        <f t="shared" si="37"/>
        <v>758.71837553769342</v>
      </c>
      <c r="G125" s="35">
        <f t="shared" si="37"/>
        <v>879.11491460486559</v>
      </c>
      <c r="H125" s="35">
        <f t="shared" si="37"/>
        <v>904.99172131707746</v>
      </c>
      <c r="I125" s="35">
        <f t="shared" si="37"/>
        <v>785.83067563604845</v>
      </c>
      <c r="J125" s="35">
        <f t="shared" si="37"/>
        <v>948.69090736490102</v>
      </c>
      <c r="K125" s="35">
        <f t="shared" si="37"/>
        <v>702.85510063671586</v>
      </c>
      <c r="L125" s="35">
        <f t="shared" si="37"/>
        <v>547.2272668070284</v>
      </c>
      <c r="M125" s="35">
        <f t="shared" si="37"/>
        <v>671.19814149069828</v>
      </c>
      <c r="N125" s="36">
        <f t="shared" si="37"/>
        <v>994.15677864789825</v>
      </c>
      <c r="O125" s="40">
        <f>SUM(C125:N125)</f>
        <v>8892.1910762863663</v>
      </c>
    </row>
    <row r="126" spans="1:16" ht="15.75" thickBot="1">
      <c r="A126" s="152" t="s">
        <v>122</v>
      </c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</row>
    <row r="127" spans="1:16" ht="15.75" thickBot="1">
      <c r="A127" s="37" t="s">
        <v>111</v>
      </c>
      <c r="B127" s="29"/>
      <c r="C127" s="34">
        <f t="shared" ref="C127:N127" si="38">+C104+C125</f>
        <v>691.93604045474854</v>
      </c>
      <c r="D127" s="35">
        <f t="shared" si="38"/>
        <v>2339.3762982337839</v>
      </c>
      <c r="E127" s="35">
        <f t="shared" si="38"/>
        <v>2466.8032138571034</v>
      </c>
      <c r="F127" s="35">
        <f t="shared" si="38"/>
        <v>2855.1976703266091</v>
      </c>
      <c r="G127" s="35">
        <f t="shared" si="38"/>
        <v>2183.7792528921682</v>
      </c>
      <c r="H127" s="35">
        <f t="shared" si="38"/>
        <v>2426.2863381828533</v>
      </c>
      <c r="I127" s="35">
        <f t="shared" si="38"/>
        <v>3481.0331313296633</v>
      </c>
      <c r="J127" s="35">
        <f t="shared" si="38"/>
        <v>3655.4699652889994</v>
      </c>
      <c r="K127" s="35">
        <f t="shared" si="38"/>
        <v>702.85510063671586</v>
      </c>
      <c r="L127" s="35">
        <f t="shared" si="38"/>
        <v>1271.69065806446</v>
      </c>
      <c r="M127" s="35">
        <f t="shared" si="38"/>
        <v>1395.6615327481297</v>
      </c>
      <c r="N127" s="36">
        <f t="shared" si="38"/>
        <v>994.15677864789825</v>
      </c>
      <c r="O127" s="40">
        <f>SUM(C127:N127)</f>
        <v>24464.245980663134</v>
      </c>
    </row>
  </sheetData>
  <mergeCells count="1">
    <mergeCell ref="A126:O126"/>
  </mergeCells>
  <conditionalFormatting sqref="C26:N102">
    <cfRule type="notContainsBlanks" dxfId="323" priority="5">
      <formula>LEN(TRIM(C26))&gt;0</formula>
    </cfRule>
    <cfRule type="containsBlanks" dxfId="322" priority="6">
      <formula>LEN(TRIM(C26))=0</formula>
    </cfRule>
  </conditionalFormatting>
  <conditionalFormatting sqref="C107:N124 C125:O125">
    <cfRule type="notContainsBlanks" dxfId="321" priority="13">
      <formula>LEN(TRIM(C107))&gt;0</formula>
    </cfRule>
    <cfRule type="containsBlanks" dxfId="320" priority="18">
      <formula>LEN(TRIM(C107))=0</formula>
    </cfRule>
  </conditionalFormatting>
  <conditionalFormatting sqref="C104:O104">
    <cfRule type="notContainsBlanks" dxfId="319" priority="14">
      <formula>LEN(TRIM(C104))&gt;0</formula>
    </cfRule>
    <cfRule type="containsBlanks" dxfId="318" priority="15">
      <formula>LEN(TRIM(C104))=0</formula>
    </cfRule>
  </conditionalFormatting>
  <conditionalFormatting sqref="C127:O127">
    <cfRule type="notContainsBlanks" dxfId="317" priority="11">
      <formula>LEN(TRIM(C127))&gt;0</formula>
    </cfRule>
    <cfRule type="containsBlanks" dxfId="316" priority="12">
      <formula>LEN(TRIM(C127))=0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37"/>
  <sheetViews>
    <sheetView workbookViewId="0">
      <selection activeCell="B10" sqref="B10:B17"/>
    </sheetView>
  </sheetViews>
  <sheetFormatPr baseColWidth="10" defaultRowHeight="15"/>
  <cols>
    <col min="2" max="2" width="48.28515625" bestFit="1" customWidth="1"/>
  </cols>
  <sheetData>
    <row r="1" spans="1:9">
      <c r="A1" s="157" t="s">
        <v>426</v>
      </c>
      <c r="B1" s="157"/>
      <c r="C1" s="153" t="s">
        <v>4</v>
      </c>
      <c r="D1" s="153"/>
      <c r="E1" s="43"/>
    </row>
    <row r="2" spans="1:9">
      <c r="A2" s="157"/>
      <c r="B2" s="157"/>
      <c r="C2" s="125" t="s">
        <v>423</v>
      </c>
      <c r="D2" s="125" t="s">
        <v>84</v>
      </c>
      <c r="E2" s="125" t="s">
        <v>247</v>
      </c>
      <c r="F2" s="75" t="s">
        <v>427</v>
      </c>
      <c r="G2" s="75" t="s">
        <v>428</v>
      </c>
      <c r="H2" s="43" t="s">
        <v>429</v>
      </c>
      <c r="I2" s="43" t="s">
        <v>430</v>
      </c>
    </row>
    <row r="3" spans="1:9">
      <c r="A3" s="154" t="s">
        <v>424</v>
      </c>
      <c r="B3" s="121" t="s">
        <v>58</v>
      </c>
      <c r="C3" s="16">
        <f>+SUMIFS(TablaGeneral[Tractorista Subsolado],TablaGeneral[Finca],C1)</f>
        <v>16</v>
      </c>
      <c r="D3" s="16">
        <f>+C3*10</f>
        <v>160</v>
      </c>
      <c r="E3" s="16">
        <f>+(D3/100)+(D3/150)+(D3/200)</f>
        <v>3.4666666666666668</v>
      </c>
      <c r="F3" s="16">
        <f>+AVERAGE(Tabla2[Combustible])*D3*1.08</f>
        <v>210967.35002308525</v>
      </c>
      <c r="G3" s="16">
        <f>+AVERAGE(Tabla2[Lubricantes])*E3*1.08</f>
        <v>25196.019283244907</v>
      </c>
      <c r="H3" s="158">
        <f>+SUM(F3:G9)</f>
        <v>3020937.4554454382</v>
      </c>
      <c r="I3" s="158">
        <v>3448.47</v>
      </c>
    </row>
    <row r="4" spans="1:9">
      <c r="A4" s="154"/>
      <c r="B4" s="121" t="s">
        <v>61</v>
      </c>
      <c r="C4" s="16">
        <f>+SUMIFS(TablaGeneral[Tractorista Triturado de sarmiento],TablaGeneral[Finca],C1)</f>
        <v>7.0000000481351803</v>
      </c>
      <c r="D4" s="16">
        <f t="shared" ref="D4:D17" si="0">+C4*10</f>
        <v>70.000000481351805</v>
      </c>
      <c r="E4" s="16">
        <f t="shared" ref="E4:E17" si="1">+(D4/100)+(D4/150)+(D4/200)</f>
        <v>1.5166666770959558</v>
      </c>
      <c r="F4" s="16">
        <f>+AVERAGE(Tabla2[Combustible])*D4*1.08</f>
        <v>92298.216269784258</v>
      </c>
      <c r="G4" s="16">
        <f>+AVERAGE(Tabla2[Lubricantes])*E4*1.08</f>
        <v>11023.258512220582</v>
      </c>
      <c r="H4" s="158"/>
      <c r="I4" s="158"/>
    </row>
    <row r="5" spans="1:9">
      <c r="A5" s="154"/>
      <c r="B5" s="121" t="s">
        <v>62</v>
      </c>
      <c r="C5" s="16">
        <f>+SUMIFS(TablaGeneral[Tractorista Cincelado],TablaGeneral[Finca],C1)</f>
        <v>3.0001329698823214</v>
      </c>
      <c r="D5" s="16">
        <f t="shared" si="0"/>
        <v>30.001329698823213</v>
      </c>
      <c r="E5" s="16">
        <f t="shared" si="1"/>
        <v>0.65002881014116964</v>
      </c>
      <c r="F5" s="16">
        <f>+AVERAGE(Tabla2[Combustible])*D5*1.08</f>
        <v>39558.131398310121</v>
      </c>
      <c r="G5" s="16">
        <f>+AVERAGE(Tabla2[Lubricantes])*E5*1.08</f>
        <v>4724.4630100908616</v>
      </c>
      <c r="H5" s="158"/>
      <c r="I5" s="158"/>
    </row>
    <row r="6" spans="1:9">
      <c r="A6" s="154"/>
      <c r="B6" s="121" t="s">
        <v>63</v>
      </c>
      <c r="C6" s="16">
        <f>+SUMIFS(TablaGeneral[Tractorista Rastra],TablaGeneral[Finca],C1)</f>
        <v>62.999999997347359</v>
      </c>
      <c r="D6" s="16">
        <f t="shared" si="0"/>
        <v>629.99999997347356</v>
      </c>
      <c r="E6" s="16">
        <f t="shared" si="1"/>
        <v>13.649999999425262</v>
      </c>
      <c r="F6" s="16">
        <f>+AVERAGE(Tabla2[Combustible])*D6*1.08</f>
        <v>830683.94068092189</v>
      </c>
      <c r="G6" s="16">
        <f>+AVERAGE(Tabla2[Lubricantes])*E6*1.08</f>
        <v>99209.325923599594</v>
      </c>
      <c r="H6" s="158"/>
      <c r="I6" s="158"/>
    </row>
    <row r="7" spans="1:9">
      <c r="A7" s="154"/>
      <c r="B7" s="121" t="s">
        <v>106</v>
      </c>
      <c r="C7" s="16">
        <f>+SUMIFS(TablaGeneral[Tractor Herbicida],TablaGeneral[Finca],C1)</f>
        <v>7.500831117021276</v>
      </c>
      <c r="D7" s="16">
        <f t="shared" si="0"/>
        <v>75.008311170212764</v>
      </c>
      <c r="E7" s="16">
        <f t="shared" si="1"/>
        <v>1.62518007535461</v>
      </c>
      <c r="F7" s="16">
        <f>+AVERAGE(Tabla2[Combustible])*D7*1.08</f>
        <v>98901.903983042328</v>
      </c>
      <c r="G7" s="16">
        <f>+AVERAGE(Tabla2[Lubricantes])*E7*1.08</f>
        <v>11811.942841551971</v>
      </c>
      <c r="H7" s="158"/>
      <c r="I7" s="158"/>
    </row>
    <row r="8" spans="1:9">
      <c r="A8" s="154"/>
      <c r="B8" s="121" t="s">
        <v>64</v>
      </c>
      <c r="C8" s="16">
        <f>+SUMIFS(TablaGeneral[Tractor Atomizadora],TablaGeneral[Finca],C1)</f>
        <v>60.166666666666671</v>
      </c>
      <c r="D8" s="16">
        <f t="shared" si="0"/>
        <v>601.66666666666674</v>
      </c>
      <c r="E8" s="16">
        <f t="shared" si="1"/>
        <v>13.036111111111111</v>
      </c>
      <c r="F8" s="16">
        <f>+AVERAGE(Tabla2[Combustible])*D8*1.08</f>
        <v>793325.1391493103</v>
      </c>
      <c r="G8" s="16">
        <f>+AVERAGE(Tabla2[Lubricantes])*E8*1.08</f>
        <v>94747.530846368871</v>
      </c>
      <c r="H8" s="158"/>
      <c r="I8" s="158"/>
    </row>
    <row r="9" spans="1:9">
      <c r="A9" s="122" t="s">
        <v>425</v>
      </c>
      <c r="B9" s="122" t="s">
        <v>77</v>
      </c>
      <c r="C9" s="16">
        <f>+SUMIFS(TablaGeneral[Tractorista Generales],TablaGeneral[Finca],C1)</f>
        <v>48.000008509696791</v>
      </c>
      <c r="D9" s="16">
        <f t="shared" si="0"/>
        <v>480.00008509696789</v>
      </c>
      <c r="E9" s="16">
        <f t="shared" si="1"/>
        <v>10.400001843767637</v>
      </c>
      <c r="F9" s="16">
        <f>+AVERAGE(Tabla2[Combustible])*D9*1.08</f>
        <v>632902.16227351711</v>
      </c>
      <c r="G9" s="16">
        <f>+AVERAGE(Tabla2[Lubricantes])*E9*1.08</f>
        <v>75588.071250389999</v>
      </c>
      <c r="H9" s="158"/>
      <c r="I9" s="158"/>
    </row>
    <row r="10" spans="1:9">
      <c r="A10" s="155" t="s">
        <v>131</v>
      </c>
      <c r="B10" s="123" t="s">
        <v>127</v>
      </c>
      <c r="C10" s="16">
        <f>+SUMIFS(TablaGeneral[Tracto elevador],TablaGeneral[Finca],C1)</f>
        <v>48.005319148936174</v>
      </c>
      <c r="D10" s="16">
        <f t="shared" si="0"/>
        <v>480.05319148936172</v>
      </c>
      <c r="E10" s="16">
        <f t="shared" si="1"/>
        <v>10.401152482269504</v>
      </c>
      <c r="F10" s="16">
        <f>+AVERAGE(Tabla2[Combustible])*D10*1.08</f>
        <v>632972.18549147085</v>
      </c>
      <c r="G10" s="16">
        <f>+AVERAGE(Tabla2[Lubricantes])*E10*1.08</f>
        <v>75596.434185932609</v>
      </c>
      <c r="H10" s="158">
        <f>+SUM(F10:G12)</f>
        <v>1417137.239354807</v>
      </c>
      <c r="I10" s="158">
        <v>1123.5999999999999</v>
      </c>
    </row>
    <row r="11" spans="1:9">
      <c r="A11" s="155"/>
      <c r="B11" s="123" t="s">
        <v>128</v>
      </c>
      <c r="C11" s="16">
        <f>+SUMIFS(TablaGeneral[Tractor con uñas],TablaGeneral[Finca],C1)</f>
        <v>48.005319148936174</v>
      </c>
      <c r="D11" s="16">
        <f t="shared" si="0"/>
        <v>480.05319148936172</v>
      </c>
      <c r="E11" s="16">
        <f t="shared" si="1"/>
        <v>10.401152482269504</v>
      </c>
      <c r="F11" s="16">
        <f>+AVERAGE(Tabla2[Combustible])*D11*1.08</f>
        <v>632972.18549147085</v>
      </c>
      <c r="G11" s="16">
        <f>+AVERAGE(Tabla2[Lubricantes])*E11*1.08</f>
        <v>75596.434185932609</v>
      </c>
      <c r="H11" s="159"/>
      <c r="I11" s="159"/>
    </row>
    <row r="12" spans="1:9">
      <c r="A12" s="155"/>
      <c r="B12" s="123" t="s">
        <v>130</v>
      </c>
      <c r="C12" s="16">
        <f>+SUMIFS(TablaGeneral[Tractor con acoplado],TablaGeneral[Finca],C1)</f>
        <v>0</v>
      </c>
      <c r="D12" s="16">
        <f t="shared" si="0"/>
        <v>0</v>
      </c>
      <c r="E12" s="16">
        <f t="shared" si="1"/>
        <v>0</v>
      </c>
      <c r="F12" s="16">
        <f>+AVERAGE(Tabla2[Combustible])*D12*1.08</f>
        <v>0</v>
      </c>
      <c r="G12" s="16">
        <f>+AVERAGE(Tabla2[Lubricantes])*E12*1.08</f>
        <v>0</v>
      </c>
      <c r="H12" s="159"/>
      <c r="I12" s="159"/>
    </row>
    <row r="13" spans="1:9">
      <c r="A13" s="156" t="s">
        <v>147</v>
      </c>
      <c r="B13" s="124" t="s">
        <v>143</v>
      </c>
      <c r="C13" s="16">
        <f>+SUMIFS(TablaGeneral[Tractor Volcado de bins],TablaGeneral[Finca],C1)</f>
        <v>7.0004654049022657</v>
      </c>
      <c r="D13" s="16">
        <f t="shared" si="0"/>
        <v>70.004654049022662</v>
      </c>
      <c r="E13" s="16">
        <f t="shared" si="1"/>
        <v>1.5167675043954911</v>
      </c>
      <c r="F13" s="16">
        <f>+AVERAGE(Tabla2[Combustible])*D13*1.08</f>
        <v>92304.35221253222</v>
      </c>
      <c r="G13" s="16">
        <f>+AVERAGE(Tabla2[Lubricantes])*E13*1.08</f>
        <v>11023.991333350399</v>
      </c>
      <c r="H13" s="158">
        <f>+SUM(F13:G17)</f>
        <v>299206.32788023993</v>
      </c>
      <c r="I13" s="158">
        <v>195.43</v>
      </c>
    </row>
    <row r="14" spans="1:9">
      <c r="A14" s="156"/>
      <c r="B14" s="124" t="s">
        <v>144</v>
      </c>
      <c r="C14" s="16">
        <f>+SUMIFS(TablaGeneral[Tractor Cincelado de piedras],TablaGeneral[Finca],C1)</f>
        <v>0.78000760561432625</v>
      </c>
      <c r="D14" s="16">
        <f t="shared" si="0"/>
        <v>7.8000760561432623</v>
      </c>
      <c r="E14" s="16">
        <f t="shared" si="1"/>
        <v>0.16900164788310401</v>
      </c>
      <c r="F14" s="16">
        <f>+AVERAGE(Tabla2[Combustible])*D14*1.08</f>
        <v>10284.758597144137</v>
      </c>
      <c r="G14" s="16">
        <f>+AVERAGE(Tabla2[Lubricantes])*E14*1.08</f>
        <v>1228.3179170085159</v>
      </c>
      <c r="H14" s="159"/>
      <c r="I14" s="158"/>
    </row>
    <row r="15" spans="1:9">
      <c r="A15" s="156"/>
      <c r="B15" s="124" t="s">
        <v>145</v>
      </c>
      <c r="C15" s="16">
        <f>+SUMIFS(TablaGeneral[Tractor Carga de pasa],TablaGeneral[Finca],C1)</f>
        <v>0</v>
      </c>
      <c r="D15" s="16">
        <f t="shared" si="0"/>
        <v>0</v>
      </c>
      <c r="E15" s="16">
        <f t="shared" si="1"/>
        <v>0</v>
      </c>
      <c r="F15" s="16">
        <f>+AVERAGE(Tabla2[Combustible])*D15*1.08</f>
        <v>0</v>
      </c>
      <c r="G15" s="16">
        <f>+AVERAGE(Tabla2[Lubricantes])*E15*1.08</f>
        <v>0</v>
      </c>
      <c r="H15" s="159"/>
      <c r="I15" s="158"/>
    </row>
    <row r="16" spans="1:9">
      <c r="A16" s="156"/>
      <c r="B16" s="124" t="s">
        <v>146</v>
      </c>
      <c r="C16" s="16">
        <f>+SUMIFS(TablaGeneral[Tractor Descarga y carga de bines con tracto elevador],TablaGeneral[Finca],C1)</f>
        <v>6.0006648936170217</v>
      </c>
      <c r="D16" s="16">
        <f t="shared" si="0"/>
        <v>60.006648936170215</v>
      </c>
      <c r="E16" s="16">
        <f t="shared" si="1"/>
        <v>1.300144060283688</v>
      </c>
      <c r="F16" s="16">
        <f>+AVERAGE(Tabla2[Combustible])*D16*1.08</f>
        <v>79121.523186433857</v>
      </c>
      <c r="G16" s="16">
        <f>+AVERAGE(Tabla2[Lubricantes])*E16*1.08</f>
        <v>9449.5542732415761</v>
      </c>
      <c r="H16" s="159"/>
      <c r="I16" s="158"/>
    </row>
    <row r="17" spans="1:11">
      <c r="A17" s="156"/>
      <c r="B17" s="124" t="s">
        <v>142</v>
      </c>
      <c r="C17" s="16">
        <f>+SUMIFS(TablaGeneral[Descarga y carga de bines con Autoelevador],TablaGeneral[Finca],C1)</f>
        <v>6.4900043146843096</v>
      </c>
      <c r="D17" s="16">
        <f t="shared" si="0"/>
        <v>64.900043146843103</v>
      </c>
      <c r="E17" s="16">
        <f t="shared" si="1"/>
        <v>1.4061676015149338</v>
      </c>
      <c r="F17" s="16">
        <f>+AVERAGE(Tabla2[Combustible])*D17*1.08</f>
        <v>85573.68824420865</v>
      </c>
      <c r="G17" s="16">
        <f>+AVERAGE(Tabla2[Lubricantes])*E17*1.08</f>
        <v>10220.142116320532</v>
      </c>
      <c r="H17" s="159"/>
      <c r="I17" s="158"/>
    </row>
    <row r="18" spans="1:11">
      <c r="A18" s="29"/>
      <c r="B18" s="29"/>
      <c r="C18" s="128">
        <f t="shared" ref="C18:I18" si="2">SUM(C3:C17)</f>
        <v>320.94941982543986</v>
      </c>
      <c r="D18" s="128">
        <f t="shared" si="2"/>
        <v>3209.4941982543983</v>
      </c>
      <c r="E18" s="128">
        <f t="shared" si="2"/>
        <v>69.539040962178632</v>
      </c>
      <c r="F18" s="128">
        <f t="shared" si="2"/>
        <v>4231865.5370012317</v>
      </c>
      <c r="G18" s="128">
        <f t="shared" si="2"/>
        <v>505415.48567925312</v>
      </c>
      <c r="H18" s="16">
        <f t="shared" si="2"/>
        <v>4737281.0226804847</v>
      </c>
      <c r="I18" s="16">
        <f t="shared" si="2"/>
        <v>4767.5</v>
      </c>
    </row>
    <row r="19" spans="1:11">
      <c r="C19" s="47">
        <f>+C18/SUMIF(TablaGeneral[Finca],C1,TablaGeneral[Has])</f>
        <v>11.98466840274234</v>
      </c>
      <c r="D19" s="47">
        <f>+D18/SUMIF(TablaGeneral[Finca],C1,TablaGeneral[Has])</f>
        <v>119.84668402742338</v>
      </c>
      <c r="E19" s="47">
        <f>+E18/SUMIF(TablaGeneral[Finca],C1,TablaGeneral[Has])</f>
        <v>2.5966781539275066</v>
      </c>
      <c r="F19" s="47">
        <f>+F18/SUMIF(TablaGeneral[Finca],C1,TablaGeneral[Has])</f>
        <v>158023.35836449708</v>
      </c>
      <c r="G19" s="47">
        <f>+G18/SUMIF(TablaGeneral[Finca],C1,TablaGeneral[Has])</f>
        <v>18872.871011174499</v>
      </c>
      <c r="H19" s="47">
        <f>+H18/SUMIF(TablaGeneral[Finca],C1,TablaGeneral[Has])</f>
        <v>176896.22937567157</v>
      </c>
      <c r="I19" s="47">
        <f>+I18/SUMIF(TablaGeneral[Finca],C1,TablaGeneral[Has])</f>
        <v>178.02464525765495</v>
      </c>
      <c r="K19">
        <v>90</v>
      </c>
    </row>
    <row r="20" spans="1:11">
      <c r="B20" s="124" t="s">
        <v>431</v>
      </c>
      <c r="C20" s="47">
        <f>+SUM(C3:C9)/SUMIF(TablaGeneral[Finca],C1,TablaGeneral[Has])</f>
        <v>7.6425556127240322</v>
      </c>
      <c r="E20" s="160" t="s">
        <v>425</v>
      </c>
      <c r="F20" s="160"/>
      <c r="G20" s="160"/>
      <c r="H20" s="47">
        <f>+H3/SUMIF(TablaGeneral[Finca],C1,TablaGeneral[Has])</f>
        <v>112805.73022574451</v>
      </c>
      <c r="I20" s="47">
        <f>+I3/SUMIF(TablaGeneral[Finca],C1,TablaGeneral[Has])</f>
        <v>128.77035100821507</v>
      </c>
    </row>
    <row r="21" spans="1:11">
      <c r="B21" s="124" t="s">
        <v>131</v>
      </c>
      <c r="C21" s="47">
        <f>+SUM(C10:C12)/SUMIF(TablaGeneral[Finca],C1,TablaGeneral[Has])</f>
        <v>3.5851619976800726</v>
      </c>
      <c r="E21" s="160" t="s">
        <v>131</v>
      </c>
      <c r="F21" s="160"/>
      <c r="G21" s="160"/>
      <c r="H21" s="47">
        <f>+H10/SUMIF(TablaGeneral[Finca],C1,TablaGeneral[Has])</f>
        <v>52917.746055071206</v>
      </c>
      <c r="I21" s="47">
        <f>+I10/SUMIF(TablaGeneral[Finca],C1,TablaGeneral[Has])</f>
        <v>41.956684092606416</v>
      </c>
    </row>
    <row r="22" spans="1:11">
      <c r="B22" s="124" t="s">
        <v>147</v>
      </c>
      <c r="C22" s="47">
        <f>+SUM(C13:C17)/SUMIF(TablaGeneral[Finca],C1,TablaGeneral[Has])</f>
        <v>0.75695079233823448</v>
      </c>
      <c r="E22" s="160" t="s">
        <v>147</v>
      </c>
      <c r="F22" s="160"/>
      <c r="G22" s="160"/>
      <c r="H22" s="47">
        <f>+H13/SUMIF(TablaGeneral[Finca],C1,TablaGeneral[Has])</f>
        <v>11172.75309485586</v>
      </c>
      <c r="I22" s="47">
        <f>+I13/SUMIF(TablaGeneral[Finca],C1,TablaGeneral[Has])</f>
        <v>7.2976101568334579</v>
      </c>
    </row>
    <row r="24" spans="1:11">
      <c r="A24" s="157" t="s">
        <v>426</v>
      </c>
      <c r="B24" s="157"/>
      <c r="C24" s="153" t="s">
        <v>8</v>
      </c>
      <c r="D24" s="153"/>
      <c r="E24" s="43"/>
    </row>
    <row r="25" spans="1:11">
      <c r="A25" s="157"/>
      <c r="B25" s="157"/>
      <c r="C25" s="125" t="s">
        <v>423</v>
      </c>
      <c r="D25" s="125" t="s">
        <v>84</v>
      </c>
      <c r="E25" s="125" t="s">
        <v>247</v>
      </c>
      <c r="F25" s="75" t="s">
        <v>427</v>
      </c>
      <c r="G25" s="75" t="s">
        <v>428</v>
      </c>
      <c r="H25" s="43" t="s">
        <v>429</v>
      </c>
      <c r="I25" s="43" t="s">
        <v>430</v>
      </c>
    </row>
    <row r="26" spans="1:11">
      <c r="A26" s="154" t="s">
        <v>424</v>
      </c>
      <c r="B26" s="121" t="s">
        <v>58</v>
      </c>
      <c r="C26" s="16">
        <f>+SUMIFS(TablaGeneral[Tractorista Subsolado],TablaGeneral[Finca],C24)</f>
        <v>32.700000024827638</v>
      </c>
      <c r="D26" s="16">
        <f>+C26*10</f>
        <v>327.00000024827636</v>
      </c>
      <c r="E26" s="16">
        <f>+(D26/100)+(D26/150)+(D26/200)</f>
        <v>7.085000005379321</v>
      </c>
      <c r="F26" s="16">
        <f>+AVERAGE(Tabla2[Combustible])*D26*1.08</f>
        <v>431164.52193704428</v>
      </c>
      <c r="G26" s="16">
        <f>+AVERAGE(Tabla2[Lubricantes])*E26*1.08</f>
        <v>51494.364449229135</v>
      </c>
      <c r="H26" s="158">
        <f>+SUM(F26:G32)</f>
        <v>4823788.4519938082</v>
      </c>
      <c r="I26" s="158">
        <v>3448.47</v>
      </c>
    </row>
    <row r="27" spans="1:11">
      <c r="A27" s="154"/>
      <c r="B27" s="121" t="s">
        <v>61</v>
      </c>
      <c r="C27" s="16">
        <f>+SUMIFS(TablaGeneral[Tractorista Triturado de sarmiento],TablaGeneral[Finca],C24)</f>
        <v>21.999997381098925</v>
      </c>
      <c r="D27" s="16">
        <f t="shared" ref="D27:D40" si="3">+C27*10</f>
        <v>219.99997381098925</v>
      </c>
      <c r="E27" s="16">
        <f t="shared" ref="E27:E40" si="4">+(D27/100)+(D27/150)+(D27/200)</f>
        <v>4.7666660992381003</v>
      </c>
      <c r="F27" s="16">
        <f>+AVERAGE(Tabla2[Combustible])*D27*1.08</f>
        <v>290080.07175032847</v>
      </c>
      <c r="G27" s="16">
        <f>+AVERAGE(Tabla2[Lubricantes])*E27*1.08</f>
        <v>34644.522390344122</v>
      </c>
      <c r="H27" s="158"/>
      <c r="I27" s="158"/>
    </row>
    <row r="28" spans="1:11">
      <c r="A28" s="154"/>
      <c r="B28" s="121" t="s">
        <v>62</v>
      </c>
      <c r="C28" s="16">
        <f>+SUMIFS(TablaGeneral[Tractorista Cincelado],TablaGeneral[Finca],C24)</f>
        <v>17.050010540614515</v>
      </c>
      <c r="D28" s="16">
        <f t="shared" si="3"/>
        <v>170.50010540614517</v>
      </c>
      <c r="E28" s="16">
        <f t="shared" si="4"/>
        <v>3.6941689504664783</v>
      </c>
      <c r="F28" s="16">
        <f>+AVERAGE(Tabla2[Combustible])*D28*1.08</f>
        <v>224812.22135119475</v>
      </c>
      <c r="G28" s="16">
        <f>+AVERAGE(Tabla2[Lubricantes])*E28*1.08</f>
        <v>26849.524647553269</v>
      </c>
      <c r="H28" s="158"/>
      <c r="I28" s="158"/>
    </row>
    <row r="29" spans="1:11">
      <c r="A29" s="154"/>
      <c r="B29" s="121" t="s">
        <v>63</v>
      </c>
      <c r="C29" s="16">
        <f>+SUMIFS(TablaGeneral[Tractorista Rastra],TablaGeneral[Finca],C24)</f>
        <v>44.98009625111316</v>
      </c>
      <c r="D29" s="16">
        <f t="shared" si="3"/>
        <v>449.80096251113162</v>
      </c>
      <c r="E29" s="16">
        <f t="shared" si="4"/>
        <v>9.7456875210745189</v>
      </c>
      <c r="F29" s="16">
        <f>+AVERAGE(Tabla2[Combustible])*D29*1.08</f>
        <v>593083.23186754098</v>
      </c>
      <c r="G29" s="16">
        <f>+AVERAGE(Tabla2[Lubricantes])*E29*1.08</f>
        <v>70832.460781578717</v>
      </c>
      <c r="H29" s="158"/>
      <c r="I29" s="158"/>
    </row>
    <row r="30" spans="1:11">
      <c r="A30" s="154"/>
      <c r="B30" s="121" t="s">
        <v>106</v>
      </c>
      <c r="C30" s="16">
        <f>+SUMIFS(TablaGeneral[Tractor Herbicida],TablaGeneral[Finca],C24)</f>
        <v>66.999922292448574</v>
      </c>
      <c r="D30" s="16">
        <f t="shared" si="3"/>
        <v>669.99922292448571</v>
      </c>
      <c r="E30" s="16">
        <f t="shared" si="4"/>
        <v>14.516649830030524</v>
      </c>
      <c r="F30" s="16">
        <f>+AVERAGE(Tabla2[Combustible])*D30*1.08</f>
        <v>883424.75361190678</v>
      </c>
      <c r="G30" s="16">
        <f>+AVERAGE(Tabla2[Lubricantes])*E30*1.08</f>
        <v>105508.20837852779</v>
      </c>
      <c r="H30" s="158"/>
      <c r="I30" s="158"/>
    </row>
    <row r="31" spans="1:11">
      <c r="A31" s="154"/>
      <c r="B31" s="121" t="s">
        <v>64</v>
      </c>
      <c r="C31" s="16">
        <f>+SUMIFS(TablaGeneral[Tractor Atomizadora],TablaGeneral[Finca],C24)</f>
        <v>83.080246663601613</v>
      </c>
      <c r="D31" s="16">
        <f t="shared" si="3"/>
        <v>830.80246663601611</v>
      </c>
      <c r="E31" s="16">
        <f t="shared" si="4"/>
        <v>18.000720110447016</v>
      </c>
      <c r="F31" s="16">
        <f>+AVERAGE(Tabla2[Combustible])*D31*1.08</f>
        <v>1095451.2173677688</v>
      </c>
      <c r="G31" s="16">
        <f>+AVERAGE(Tabla2[Lubricantes])*E31*1.08</f>
        <v>130830.71856205311</v>
      </c>
      <c r="H31" s="158"/>
      <c r="I31" s="158"/>
    </row>
    <row r="32" spans="1:11">
      <c r="A32" s="122" t="s">
        <v>425</v>
      </c>
      <c r="B32" s="122" t="s">
        <v>77</v>
      </c>
      <c r="C32" s="16">
        <f>+SUMIFS(TablaGeneral[Tractorista Generales],TablaGeneral[Finca],C24)</f>
        <v>59.999999999999993</v>
      </c>
      <c r="D32" s="16">
        <f t="shared" si="3"/>
        <v>599.99999999999989</v>
      </c>
      <c r="E32" s="16">
        <f t="shared" si="4"/>
        <v>12.999999999999998</v>
      </c>
      <c r="F32" s="16">
        <f>+AVERAGE(Tabla2[Combustible])*D32*1.08</f>
        <v>791127.56258656946</v>
      </c>
      <c r="G32" s="16">
        <f>+AVERAGE(Tabla2[Lubricantes])*E32*1.08</f>
        <v>94485.072312168399</v>
      </c>
      <c r="H32" s="158"/>
      <c r="I32" s="158"/>
    </row>
    <row r="33" spans="1:11">
      <c r="A33" s="155" t="s">
        <v>131</v>
      </c>
      <c r="B33" s="123" t="s">
        <v>127</v>
      </c>
      <c r="C33" s="16">
        <f>+SUMIFS(TablaGeneral[Tracto elevador],TablaGeneral[Finca],C24)</f>
        <v>50.000000000000007</v>
      </c>
      <c r="D33" s="16">
        <f t="shared" si="3"/>
        <v>500.00000000000006</v>
      </c>
      <c r="E33" s="16">
        <f t="shared" si="4"/>
        <v>10.833333333333336</v>
      </c>
      <c r="F33" s="16">
        <f>+AVERAGE(Tabla2[Combustible])*D33*1.08</f>
        <v>659272.96882214141</v>
      </c>
      <c r="G33" s="16">
        <f>+AVERAGE(Tabla2[Lubricantes])*E33*1.08</f>
        <v>78737.560260140352</v>
      </c>
      <c r="H33" s="158">
        <f>+SUM(F33:G35)</f>
        <v>5166070.0490209889</v>
      </c>
      <c r="I33" s="158">
        <v>1123.5999999999999</v>
      </c>
    </row>
    <row r="34" spans="1:11">
      <c r="A34" s="155"/>
      <c r="B34" s="123" t="s">
        <v>128</v>
      </c>
      <c r="C34" s="16">
        <f>+SUMIFS(TablaGeneral[Tractor con uñas],TablaGeneral[Finca],C24)</f>
        <v>199.99992925838023</v>
      </c>
      <c r="D34" s="16">
        <f t="shared" si="3"/>
        <v>1999.9992925838023</v>
      </c>
      <c r="E34" s="16">
        <f t="shared" si="4"/>
        <v>43.333318005982377</v>
      </c>
      <c r="F34" s="16">
        <f>+AVERAGE(Tabla2[Combustible])*D34*1.08</f>
        <v>2637090.942527812</v>
      </c>
      <c r="G34" s="16">
        <f>+AVERAGE(Tabla2[Lubricantes])*E34*1.08</f>
        <v>314950.12964011036</v>
      </c>
      <c r="H34" s="159"/>
      <c r="I34" s="159"/>
    </row>
    <row r="35" spans="1:11">
      <c r="A35" s="155"/>
      <c r="B35" s="123" t="s">
        <v>130</v>
      </c>
      <c r="C35" s="16">
        <f>+SUMIFS(TablaGeneral[Tractor con acoplado],TablaGeneral[Finca],C24)</f>
        <v>99.999823146576134</v>
      </c>
      <c r="D35" s="16">
        <f t="shared" si="3"/>
        <v>999.99823146576136</v>
      </c>
      <c r="E35" s="16">
        <f t="shared" si="4"/>
        <v>21.66662834842483</v>
      </c>
      <c r="F35" s="16">
        <f>+AVERAGE(Tabla2[Combustible])*D35*1.08</f>
        <v>1318543.6057506469</v>
      </c>
      <c r="G35" s="16">
        <f>+AVERAGE(Tabla2[Lubricantes])*E35*1.08</f>
        <v>157474.84202013831</v>
      </c>
      <c r="H35" s="159"/>
      <c r="I35" s="159"/>
    </row>
    <row r="36" spans="1:11">
      <c r="A36" s="156" t="s">
        <v>147</v>
      </c>
      <c r="B36" s="124" t="s">
        <v>143</v>
      </c>
      <c r="C36" s="16">
        <f>+SUMIFS(TablaGeneral[Tractor Volcado de bins],TablaGeneral[Finca],C24)</f>
        <v>70.834913582922454</v>
      </c>
      <c r="D36" s="16">
        <f t="shared" si="3"/>
        <v>708.34913582922456</v>
      </c>
      <c r="E36" s="16">
        <f t="shared" si="4"/>
        <v>15.347564609633199</v>
      </c>
      <c r="F36" s="16">
        <f>+AVERAGE(Tabla2[Combustible])*D36*1.08</f>
        <v>933990.87548146234</v>
      </c>
      <c r="G36" s="16">
        <f>+AVERAGE(Tabla2[Lubricantes])*E36*1.08</f>
        <v>111547.36553514381</v>
      </c>
      <c r="H36" s="158">
        <f>+SUM(F36:G40)</f>
        <v>3083267.0148502328</v>
      </c>
      <c r="I36" s="158">
        <v>195.43</v>
      </c>
    </row>
    <row r="37" spans="1:11">
      <c r="A37" s="156"/>
      <c r="B37" s="124" t="s">
        <v>144</v>
      </c>
      <c r="C37" s="16">
        <f>+SUMIFS(TablaGeneral[Tractor Cincelado de piedras],TablaGeneral[Finca],C24)</f>
        <v>7.228040862209828</v>
      </c>
      <c r="D37" s="16">
        <f t="shared" si="3"/>
        <v>72.280408622098278</v>
      </c>
      <c r="E37" s="16">
        <f t="shared" si="4"/>
        <v>1.5660755201454626</v>
      </c>
      <c r="F37" s="16">
        <f>+AVERAGE(Tabla2[Combustible])*D37*1.08</f>
        <v>95305.039159936481</v>
      </c>
      <c r="G37" s="16">
        <f>+AVERAGE(Tabla2[Lubricantes])*E37*1.08</f>
        <v>11382.36605902006</v>
      </c>
      <c r="H37" s="159"/>
      <c r="I37" s="158"/>
    </row>
    <row r="38" spans="1:11">
      <c r="A38" s="156"/>
      <c r="B38" s="124" t="s">
        <v>145</v>
      </c>
      <c r="C38" s="16">
        <f>+SUMIFS(TablaGeneral[Tractor Carga de pasa],TablaGeneral[Finca],C24)</f>
        <v>0</v>
      </c>
      <c r="D38" s="16">
        <f t="shared" si="3"/>
        <v>0</v>
      </c>
      <c r="E38" s="16">
        <f t="shared" si="4"/>
        <v>0</v>
      </c>
      <c r="F38" s="16">
        <f>+AVERAGE(Tabla2[Combustible])*D38*1.08</f>
        <v>0</v>
      </c>
      <c r="G38" s="16">
        <f>+AVERAGE(Tabla2[Lubricantes])*E38*1.08</f>
        <v>0</v>
      </c>
      <c r="H38" s="159"/>
      <c r="I38" s="158"/>
    </row>
    <row r="39" spans="1:11">
      <c r="A39" s="156"/>
      <c r="B39" s="124" t="s">
        <v>146</v>
      </c>
      <c r="C39" s="16">
        <f>+SUMIFS(TablaGeneral[Tractor Descarga y carga de bines con tracto elevador],TablaGeneral[Finca],C24)</f>
        <v>67.220813052718185</v>
      </c>
      <c r="D39" s="16">
        <f t="shared" si="3"/>
        <v>672.20813052718188</v>
      </c>
      <c r="E39" s="16">
        <f t="shared" si="4"/>
        <v>14.564509494755606</v>
      </c>
      <c r="F39" s="16">
        <f>+AVERAGE(Tabla2[Combustible])*D39*1.08</f>
        <v>886337.29975807341</v>
      </c>
      <c r="G39" s="16">
        <f>+AVERAGE(Tabla2[Lubricantes])*E39*1.08</f>
        <v>105856.05636948052</v>
      </c>
      <c r="H39" s="159"/>
      <c r="I39" s="158"/>
    </row>
    <row r="40" spans="1:11">
      <c r="A40" s="156"/>
      <c r="B40" s="124" t="s">
        <v>142</v>
      </c>
      <c r="C40" s="16">
        <f>+SUMIFS(TablaGeneral[Descarga y carga de bines con Autoelevador],TablaGeneral[Finca],C24)</f>
        <v>63.606681442240117</v>
      </c>
      <c r="D40" s="16">
        <f t="shared" si="3"/>
        <v>636.06681442240119</v>
      </c>
      <c r="E40" s="16">
        <f t="shared" si="4"/>
        <v>13.781447645818693</v>
      </c>
      <c r="F40" s="16">
        <f>+AVERAGE(Tabla2[Combustible])*D40*1.08</f>
        <v>838683.31422699708</v>
      </c>
      <c r="G40" s="16">
        <f>+AVERAGE(Tabla2[Lubricantes])*E40*1.08</f>
        <v>100164.69826011863</v>
      </c>
      <c r="H40" s="159"/>
      <c r="I40" s="158"/>
    </row>
    <row r="41" spans="1:11">
      <c r="A41" s="29"/>
      <c r="B41" s="29"/>
      <c r="C41" s="128">
        <f t="shared" ref="C41:I41" si="5">SUM(C26:C40)</f>
        <v>885.7004744987513</v>
      </c>
      <c r="D41" s="128">
        <f t="shared" si="5"/>
        <v>8857.0047449875146</v>
      </c>
      <c r="E41" s="128">
        <f t="shared" si="5"/>
        <v>191.90176947472946</v>
      </c>
      <c r="F41" s="128">
        <f t="shared" si="5"/>
        <v>11678367.626199424</v>
      </c>
      <c r="G41" s="128">
        <f t="shared" si="5"/>
        <v>1394757.8896656067</v>
      </c>
      <c r="H41" s="16">
        <f t="shared" si="5"/>
        <v>13073125.51586503</v>
      </c>
      <c r="I41" s="16">
        <f t="shared" si="5"/>
        <v>4767.5</v>
      </c>
    </row>
    <row r="42" spans="1:11">
      <c r="C42" s="47">
        <f>+C41/SUMIF(TablaGeneral[Finca],C24,TablaGeneral[Has])</f>
        <v>13.410804261698315</v>
      </c>
      <c r="D42" s="47">
        <f>+D41/SUMIF(TablaGeneral[Finca],C24,TablaGeneral[Has])</f>
        <v>134.1080426169832</v>
      </c>
      <c r="E42" s="47">
        <f>+E41/SUMIF(TablaGeneral[Finca],C24,TablaGeneral[Has])</f>
        <v>2.9056742567013019</v>
      </c>
      <c r="F42" s="47">
        <f>+F41/SUMIF(TablaGeneral[Finca],C24,TablaGeneral[Has])</f>
        <v>176827.61479804953</v>
      </c>
      <c r="G42" s="47">
        <f>+G41/SUMIF(TablaGeneral[Finca],C24,TablaGeneral[Has])</f>
        <v>21118.680173848363</v>
      </c>
      <c r="H42" s="47">
        <f>+H41/SUMIF(TablaGeneral[Finca],C24,TablaGeneral[Has])</f>
        <v>197946.29497189788</v>
      </c>
      <c r="I42" s="47">
        <f>+I41/SUMIF(TablaGeneral[Finca],C24,TablaGeneral[Has])</f>
        <v>72.186942604756226</v>
      </c>
      <c r="K42" s="47">
        <v>57</v>
      </c>
    </row>
    <row r="43" spans="1:11">
      <c r="B43" s="124" t="s">
        <v>431</v>
      </c>
      <c r="C43" s="47">
        <f>+SUM(C26:C32)/SUMIF(TablaGeneral[Finca],C24,TablaGeneral[Has])</f>
        <v>4.9483868758869782</v>
      </c>
      <c r="E43" s="160" t="s">
        <v>425</v>
      </c>
      <c r="F43" s="160"/>
      <c r="G43" s="160"/>
      <c r="H43" s="47">
        <f>+H26/SUMIF(TablaGeneral[Finca],C24,TablaGeneral[Has])</f>
        <v>73039.232327543359</v>
      </c>
      <c r="I43" s="47">
        <f>+I26/SUMIF(TablaGeneral[Finca],C24,TablaGeneral[Has])</f>
        <v>52.214893752327995</v>
      </c>
    </row>
    <row r="44" spans="1:11">
      <c r="B44" s="124" t="s">
        <v>131</v>
      </c>
      <c r="C44" s="47">
        <f>+SUM(C33:C35)/SUMIF(TablaGeneral[Finca],C24,TablaGeneral[Has])</f>
        <v>5.2995096043073895</v>
      </c>
      <c r="E44" s="160" t="s">
        <v>131</v>
      </c>
      <c r="F44" s="160"/>
      <c r="G44" s="160"/>
      <c r="H44" s="47">
        <f>+H33/SUMIF(TablaGeneral[Finca],C24,TablaGeneral[Has])</f>
        <v>78221.877739030591</v>
      </c>
      <c r="I44" s="47">
        <f>+I33/SUMIF(TablaGeneral[Finca],C24,TablaGeneral[Has])</f>
        <v>17.012952010635363</v>
      </c>
    </row>
    <row r="45" spans="1:11">
      <c r="B45" s="124" t="s">
        <v>147</v>
      </c>
      <c r="C45" s="47">
        <f>+SUM(C36:C40)/SUMIF(TablaGeneral[Finca],C24,TablaGeneral[Has])</f>
        <v>3.1629077815039501</v>
      </c>
      <c r="E45" s="160" t="s">
        <v>147</v>
      </c>
      <c r="F45" s="160"/>
      <c r="G45" s="160"/>
      <c r="H45" s="47">
        <f>+H36/SUMIF(TablaGeneral[Finca],C24,TablaGeneral[Has])</f>
        <v>46685.184905323928</v>
      </c>
      <c r="I45" s="47">
        <f>+I36/SUMIF(TablaGeneral[Finca],C24,TablaGeneral[Has])</f>
        <v>2.9590968417928707</v>
      </c>
    </row>
    <row r="47" spans="1:11">
      <c r="A47" s="157" t="s">
        <v>426</v>
      </c>
      <c r="B47" s="157"/>
      <c r="C47" s="153" t="s">
        <v>12</v>
      </c>
      <c r="D47" s="153"/>
      <c r="E47" s="43"/>
    </row>
    <row r="48" spans="1:11">
      <c r="A48" s="157"/>
      <c r="B48" s="157"/>
      <c r="C48" s="125" t="s">
        <v>423</v>
      </c>
      <c r="D48" s="125" t="s">
        <v>84</v>
      </c>
      <c r="E48" s="125" t="s">
        <v>247</v>
      </c>
      <c r="F48" s="75" t="s">
        <v>427</v>
      </c>
      <c r="G48" s="75" t="s">
        <v>428</v>
      </c>
      <c r="H48" s="43" t="s">
        <v>429</v>
      </c>
      <c r="I48" s="43" t="s">
        <v>430</v>
      </c>
    </row>
    <row r="49" spans="1:9">
      <c r="A49" s="154" t="s">
        <v>424</v>
      </c>
      <c r="B49" s="121" t="s">
        <v>58</v>
      </c>
      <c r="C49" s="16">
        <f>+SUMIFS(TablaGeneral[Tractorista Subsolado],TablaGeneral[Finca],C47)</f>
        <v>18.998533724340177</v>
      </c>
      <c r="D49" s="16">
        <f>+C49*10</f>
        <v>189.98533724340177</v>
      </c>
      <c r="E49" s="16">
        <f>+(D49/100)+(D49/150)+(D49/200)</f>
        <v>4.116348973607038</v>
      </c>
      <c r="F49" s="16">
        <f>+AVERAGE(Tabla2[Combustible])*D49*1.08</f>
        <v>250504.39463426647</v>
      </c>
      <c r="G49" s="16">
        <f>+AVERAGE(Tabla2[Lubricantes])*E49*1.08</f>
        <v>29917.963879490861</v>
      </c>
      <c r="H49" s="158">
        <f>+SUM(F49:G55)</f>
        <v>2568587.4774084422</v>
      </c>
      <c r="I49" s="158">
        <v>3448.47</v>
      </c>
    </row>
    <row r="50" spans="1:9">
      <c r="A50" s="154"/>
      <c r="B50" s="121" t="s">
        <v>61</v>
      </c>
      <c r="C50" s="16">
        <f>+SUMIFS(TablaGeneral[Tractorista Triturado de sarmiento],TablaGeneral[Finca],C47)</f>
        <v>5.0000000000000009</v>
      </c>
      <c r="D50" s="16">
        <f t="shared" ref="D50:D63" si="6">+C50*10</f>
        <v>50.000000000000007</v>
      </c>
      <c r="E50" s="16">
        <f t="shared" ref="E50:E63" si="7">+(D50/100)+(D50/150)+(D50/200)</f>
        <v>1.0833333333333335</v>
      </c>
      <c r="F50" s="16">
        <f>+AVERAGE(Tabla2[Combustible])*D50*1.08</f>
        <v>65927.296882214141</v>
      </c>
      <c r="G50" s="16">
        <f>+AVERAGE(Tabla2[Lubricantes])*E50*1.08</f>
        <v>7873.7560260140353</v>
      </c>
      <c r="H50" s="158"/>
      <c r="I50" s="158"/>
    </row>
    <row r="51" spans="1:9">
      <c r="A51" s="154"/>
      <c r="B51" s="121" t="s">
        <v>62</v>
      </c>
      <c r="C51" s="16">
        <f>+SUMIFS(TablaGeneral[Tractorista Cincelado],TablaGeneral[Finca],C47)</f>
        <v>4.0015441630636195</v>
      </c>
      <c r="D51" s="16">
        <f t="shared" si="6"/>
        <v>40.015441630636197</v>
      </c>
      <c r="E51" s="16">
        <f t="shared" si="7"/>
        <v>0.86700123533045093</v>
      </c>
      <c r="F51" s="16">
        <f>+AVERAGE(Tabla2[Combustible])*D51*1.08</f>
        <v>52762.198005117272</v>
      </c>
      <c r="G51" s="16">
        <f>+AVERAGE(Tabla2[Lubricantes])*E51*1.08</f>
        <v>6301.436493456692</v>
      </c>
      <c r="H51" s="158"/>
      <c r="I51" s="158"/>
    </row>
    <row r="52" spans="1:9">
      <c r="A52" s="154"/>
      <c r="B52" s="121" t="s">
        <v>63</v>
      </c>
      <c r="C52" s="16">
        <f>+SUMIFS(TablaGeneral[Tractorista Rastra],TablaGeneral[Finca],C47)</f>
        <v>5.0000000000000009</v>
      </c>
      <c r="D52" s="16">
        <f t="shared" si="6"/>
        <v>50.000000000000007</v>
      </c>
      <c r="E52" s="16">
        <f t="shared" si="7"/>
        <v>1.0833333333333335</v>
      </c>
      <c r="F52" s="16">
        <f>+AVERAGE(Tabla2[Combustible])*D52*1.08</f>
        <v>65927.296882214141</v>
      </c>
      <c r="G52" s="16">
        <f>+AVERAGE(Tabla2[Lubricantes])*E52*1.08</f>
        <v>7873.7560260140353</v>
      </c>
      <c r="H52" s="158"/>
      <c r="I52" s="158"/>
    </row>
    <row r="53" spans="1:9">
      <c r="A53" s="154"/>
      <c r="B53" s="121" t="s">
        <v>106</v>
      </c>
      <c r="C53" s="16">
        <f>+SUMIFS(TablaGeneral[Tractor Herbicida],TablaGeneral[Finca],C47)</f>
        <v>24.000000000000004</v>
      </c>
      <c r="D53" s="16">
        <f t="shared" si="6"/>
        <v>240.00000000000003</v>
      </c>
      <c r="E53" s="16">
        <f t="shared" si="7"/>
        <v>5.2</v>
      </c>
      <c r="F53" s="16">
        <f>+AVERAGE(Tabla2[Combustible])*D53*1.08</f>
        <v>316451.02503462788</v>
      </c>
      <c r="G53" s="16">
        <f>+AVERAGE(Tabla2[Lubricantes])*E53*1.08</f>
        <v>37794.028924867365</v>
      </c>
      <c r="H53" s="158"/>
      <c r="I53" s="158"/>
    </row>
    <row r="54" spans="1:9">
      <c r="A54" s="154"/>
      <c r="B54" s="121" t="s">
        <v>64</v>
      </c>
      <c r="C54" s="16">
        <f>+SUMIFS(TablaGeneral[Tractor Atomizadora],TablaGeneral[Finca],C47)</f>
        <v>72.000133364451699</v>
      </c>
      <c r="D54" s="16">
        <f t="shared" si="6"/>
        <v>720.00133364451699</v>
      </c>
      <c r="E54" s="16">
        <f t="shared" si="7"/>
        <v>15.600028895631201</v>
      </c>
      <c r="F54" s="16">
        <f>+AVERAGE(Tabla2[Combustible])*D54*1.08</f>
        <v>949354.83357544371</v>
      </c>
      <c r="G54" s="16">
        <f>+AVERAGE(Tabla2[Lubricantes])*E54*1.08</f>
        <v>113382.29679043315</v>
      </c>
      <c r="H54" s="158"/>
      <c r="I54" s="158"/>
    </row>
    <row r="55" spans="1:9">
      <c r="A55" s="122" t="s">
        <v>425</v>
      </c>
      <c r="B55" s="122" t="s">
        <v>77</v>
      </c>
      <c r="C55" s="16">
        <f>+SUMIFS(TablaGeneral[Tractorista Generales],TablaGeneral[Finca],C47)</f>
        <v>45.020847810979852</v>
      </c>
      <c r="D55" s="16">
        <f t="shared" si="6"/>
        <v>450.20847810979853</v>
      </c>
      <c r="E55" s="16">
        <f t="shared" si="7"/>
        <v>9.7545170257123015</v>
      </c>
      <c r="F55" s="16">
        <f>+AVERAGE(Tabla2[Combustible])*D55*1.08</f>
        <v>593620.55990468978</v>
      </c>
      <c r="G55" s="16">
        <f>+AVERAGE(Tabla2[Lubricantes])*E55*1.08</f>
        <v>70896.63434959267</v>
      </c>
      <c r="H55" s="158"/>
      <c r="I55" s="158"/>
    </row>
    <row r="56" spans="1:9">
      <c r="A56" s="155" t="s">
        <v>131</v>
      </c>
      <c r="B56" s="123" t="s">
        <v>127</v>
      </c>
      <c r="C56" s="16">
        <f>+SUMIFS(TablaGeneral[Tracto elevador],TablaGeneral[Finca],C47)</f>
        <v>65.045180722891573</v>
      </c>
      <c r="D56" s="16">
        <f t="shared" si="6"/>
        <v>650.45180722891575</v>
      </c>
      <c r="E56" s="16">
        <f t="shared" si="7"/>
        <v>14.093122489959843</v>
      </c>
      <c r="F56" s="16">
        <f>+AVERAGE(Tabla2[Combustible])*D56*1.08</f>
        <v>857650.58805506898</v>
      </c>
      <c r="G56" s="16">
        <f>+AVERAGE(Tabla2[Lubricantes])*E56*1.08</f>
        <v>102429.97673600788</v>
      </c>
      <c r="H56" s="158">
        <f>+SUM(F56:G58)</f>
        <v>3173599.6447260585</v>
      </c>
      <c r="I56" s="158">
        <v>1123.5999999999999</v>
      </c>
    </row>
    <row r="57" spans="1:9">
      <c r="A57" s="155"/>
      <c r="B57" s="123" t="s">
        <v>128</v>
      </c>
      <c r="C57" s="16">
        <f>+SUMIFS(TablaGeneral[Tractor con uñas],TablaGeneral[Finca],C47)</f>
        <v>149.96527777777774</v>
      </c>
      <c r="D57" s="16">
        <f t="shared" si="6"/>
        <v>1499.6527777777774</v>
      </c>
      <c r="E57" s="16">
        <f t="shared" si="7"/>
        <v>32.492476851851841</v>
      </c>
      <c r="F57" s="16">
        <f>+AVERAGE(Tabla2[Combustible])*D57*1.08</f>
        <v>1977361.0780158527</v>
      </c>
      <c r="G57" s="16">
        <f>+AVERAGE(Tabla2[Lubricantes])*E57*1.08</f>
        <v>236158.00191912916</v>
      </c>
      <c r="H57" s="159"/>
      <c r="I57" s="159"/>
    </row>
    <row r="58" spans="1:9">
      <c r="A58" s="155"/>
      <c r="B58" s="123" t="s">
        <v>130</v>
      </c>
      <c r="C58" s="16">
        <f>+SUMIFS(TablaGeneral[Tractor con acoplado],TablaGeneral[Finca],C47)</f>
        <v>0</v>
      </c>
      <c r="D58" s="16">
        <f t="shared" si="6"/>
        <v>0</v>
      </c>
      <c r="E58" s="16">
        <f t="shared" si="7"/>
        <v>0</v>
      </c>
      <c r="F58" s="16">
        <f>+AVERAGE(Tabla2[Combustible])*D58*1.08</f>
        <v>0</v>
      </c>
      <c r="G58" s="16">
        <f>+AVERAGE(Tabla2[Lubricantes])*E58*1.08</f>
        <v>0</v>
      </c>
      <c r="H58" s="159"/>
      <c r="I58" s="159"/>
    </row>
    <row r="59" spans="1:9">
      <c r="A59" s="156" t="s">
        <v>147</v>
      </c>
      <c r="B59" s="124" t="s">
        <v>143</v>
      </c>
      <c r="C59" s="16">
        <f>+SUMIFS(TablaGeneral[Tractor Volcado de bins],TablaGeneral[Finca],C47)</f>
        <v>26.007627458851868</v>
      </c>
      <c r="D59" s="16">
        <f t="shared" si="6"/>
        <v>260.07627458851869</v>
      </c>
      <c r="E59" s="16">
        <f t="shared" si="7"/>
        <v>5.6349859494179046</v>
      </c>
      <c r="F59" s="16">
        <f>+AVERAGE(Tabla2[Combustible])*D59*1.08</f>
        <v>342922.51533635031</v>
      </c>
      <c r="G59" s="16">
        <f>+AVERAGE(Tabla2[Lubricantes])*E59*1.08</f>
        <v>40955.542685292588</v>
      </c>
      <c r="H59" s="158">
        <f>+SUM(F59:G63)</f>
        <v>634809.6124044623</v>
      </c>
      <c r="I59" s="158">
        <v>195.43</v>
      </c>
    </row>
    <row r="60" spans="1:9">
      <c r="A60" s="156"/>
      <c r="B60" s="124" t="s">
        <v>144</v>
      </c>
      <c r="C60" s="16">
        <f>+SUMIFS(TablaGeneral[Tractor Cincelado de piedras],TablaGeneral[Finca],C47)</f>
        <v>0</v>
      </c>
      <c r="D60" s="16">
        <f t="shared" si="6"/>
        <v>0</v>
      </c>
      <c r="E60" s="16">
        <f t="shared" si="7"/>
        <v>0</v>
      </c>
      <c r="F60" s="16">
        <f>+AVERAGE(Tabla2[Combustible])*D60*1.08</f>
        <v>0</v>
      </c>
      <c r="G60" s="16">
        <f>+AVERAGE(Tabla2[Lubricantes])*E60*1.08</f>
        <v>0</v>
      </c>
      <c r="H60" s="159"/>
      <c r="I60" s="158"/>
    </row>
    <row r="61" spans="1:9">
      <c r="A61" s="156"/>
      <c r="B61" s="124" t="s">
        <v>145</v>
      </c>
      <c r="C61" s="16">
        <f>+SUMIFS(TablaGeneral[Tractor Carga de pasa],TablaGeneral[Finca],C47)</f>
        <v>0</v>
      </c>
      <c r="D61" s="16">
        <f t="shared" si="6"/>
        <v>0</v>
      </c>
      <c r="E61" s="16">
        <f t="shared" si="7"/>
        <v>0</v>
      </c>
      <c r="F61" s="16">
        <f>+AVERAGE(Tabla2[Combustible])*D61*1.08</f>
        <v>0</v>
      </c>
      <c r="G61" s="16">
        <f>+AVERAGE(Tabla2[Lubricantes])*E61*1.08</f>
        <v>0</v>
      </c>
      <c r="H61" s="159"/>
      <c r="I61" s="158"/>
    </row>
    <row r="62" spans="1:9">
      <c r="A62" s="156"/>
      <c r="B62" s="124" t="s">
        <v>146</v>
      </c>
      <c r="C62" s="16">
        <f>+SUMIFS(TablaGeneral[Tractor Descarga y carga de bines con tracto elevador],TablaGeneral[Finca],C47)</f>
        <v>9.0004167824395669</v>
      </c>
      <c r="D62" s="16">
        <f t="shared" si="6"/>
        <v>90.004167824395665</v>
      </c>
      <c r="E62" s="16">
        <f t="shared" si="7"/>
        <v>1.9500903028619061</v>
      </c>
      <c r="F62" s="16">
        <f>+AVERAGE(Tabla2[Combustible])*D62*1.08</f>
        <v>118674.62985591117</v>
      </c>
      <c r="G62" s="16">
        <f>+AVERAGE(Tabla2[Lubricantes])*E62*1.08</f>
        <v>14173.417175474277</v>
      </c>
      <c r="H62" s="159"/>
      <c r="I62" s="158"/>
    </row>
    <row r="63" spans="1:9">
      <c r="A63" s="156"/>
      <c r="B63" s="124" t="s">
        <v>142</v>
      </c>
      <c r="C63" s="16">
        <f>+SUMIFS(TablaGeneral[Descarga y carga de bines con Autoelevador],TablaGeneral[Finca],C47)</f>
        <v>8.0001234872808098</v>
      </c>
      <c r="D63" s="16">
        <f t="shared" si="6"/>
        <v>80.001234872808098</v>
      </c>
      <c r="E63" s="16">
        <f t="shared" si="7"/>
        <v>1.733360088910842</v>
      </c>
      <c r="F63" s="16">
        <f>+AVERAGE(Tabla2[Combustible])*D63*1.08</f>
        <v>105485.30324806726</v>
      </c>
      <c r="G63" s="16">
        <f>+AVERAGE(Tabla2[Lubricantes])*E63*1.08</f>
        <v>12598.204103366736</v>
      </c>
      <c r="H63" s="159"/>
      <c r="I63" s="158"/>
    </row>
    <row r="64" spans="1:9">
      <c r="A64" s="29"/>
      <c r="B64" s="29"/>
      <c r="C64" s="128">
        <f t="shared" ref="C64:I64" si="8">SUM(C49:C63)</f>
        <v>432.03968529207685</v>
      </c>
      <c r="D64" s="128">
        <f t="shared" si="8"/>
        <v>4320.3968529207696</v>
      </c>
      <c r="E64" s="128">
        <f t="shared" si="8"/>
        <v>93.608598479950004</v>
      </c>
      <c r="F64" s="128">
        <f t="shared" si="8"/>
        <v>5696641.7194298245</v>
      </c>
      <c r="G64" s="128">
        <f t="shared" si="8"/>
        <v>680355.01510913926</v>
      </c>
      <c r="H64" s="16">
        <f t="shared" si="8"/>
        <v>6376996.7345389631</v>
      </c>
      <c r="I64" s="16">
        <f t="shared" si="8"/>
        <v>4767.5</v>
      </c>
    </row>
    <row r="65" spans="1:11">
      <c r="C65" s="47">
        <f>+C64/SUMIF(TablaGeneral[Finca],C47,TablaGeneral[Has])</f>
        <v>10.720587724369151</v>
      </c>
      <c r="D65" s="47">
        <f>+D64/SUMIF(TablaGeneral[Finca],C47,TablaGeneral[Has])</f>
        <v>107.20587724369155</v>
      </c>
      <c r="E65" s="47">
        <f>+E64/SUMIF(TablaGeneral[Finca],C47,TablaGeneral[Has])</f>
        <v>2.3227940069466499</v>
      </c>
      <c r="F65" s="47">
        <f>+F64/SUMIF(TablaGeneral[Finca],C47,TablaGeneral[Has])</f>
        <v>141355.87393126113</v>
      </c>
      <c r="G65" s="47">
        <f>+G64/SUMIF(TablaGeneral[Finca],C47,TablaGeneral[Has])</f>
        <v>16882.258439432735</v>
      </c>
      <c r="H65" s="47">
        <f>+H64/SUMIF(TablaGeneral[Finca],C47,TablaGeneral[Has])</f>
        <v>158238.13237069384</v>
      </c>
      <c r="I65" s="47">
        <f>+I64/SUMIF(TablaGeneral[Finca],C47,TablaGeneral[Has])</f>
        <v>118.3002481389578</v>
      </c>
      <c r="K65">
        <v>49</v>
      </c>
    </row>
    <row r="66" spans="1:11">
      <c r="B66" s="124" t="s">
        <v>431</v>
      </c>
      <c r="C66" s="47">
        <f>+SUM(C49:C55)/SUMIF(TablaGeneral[Finca],C47,TablaGeneral[Has])</f>
        <v>4.3181404233954179</v>
      </c>
      <c r="E66" s="160" t="s">
        <v>425</v>
      </c>
      <c r="F66" s="160"/>
      <c r="G66" s="160"/>
      <c r="H66" s="47">
        <f>+H49/SUMIF(TablaGeneral[Finca],C47,TablaGeneral[Has])</f>
        <v>63736.661970432804</v>
      </c>
      <c r="I66" s="47">
        <f>+I49/SUMIF(TablaGeneral[Finca],C47,TablaGeneral[Has])</f>
        <v>85.569975186104202</v>
      </c>
    </row>
    <row r="67" spans="1:11">
      <c r="B67" s="124" t="s">
        <v>131</v>
      </c>
      <c r="C67" s="47">
        <f>+SUM(C56:C58)/SUMIF(TablaGeneral[Finca],C47,TablaGeneral[Has])</f>
        <v>5.3352471091977485</v>
      </c>
      <c r="E67" s="160" t="s">
        <v>131</v>
      </c>
      <c r="F67" s="160"/>
      <c r="G67" s="160"/>
      <c r="H67" s="47">
        <f>+H56/SUMIF(TablaGeneral[Finca],C47,TablaGeneral[Has])</f>
        <v>78749.370836874892</v>
      </c>
      <c r="I67" s="47">
        <f>+I56/SUMIF(TablaGeneral[Finca],C47,TablaGeneral[Has])</f>
        <v>27.880893300248133</v>
      </c>
    </row>
    <row r="68" spans="1:11">
      <c r="B68" s="124" t="s">
        <v>147</v>
      </c>
      <c r="C68" s="47">
        <f>+SUM(C59:C63)/SUMIF(TablaGeneral[Finca],C47,TablaGeneral[Has])</f>
        <v>1.0672001917759861</v>
      </c>
      <c r="E68" s="160" t="s">
        <v>147</v>
      </c>
      <c r="F68" s="160"/>
      <c r="G68" s="160"/>
      <c r="H68" s="47">
        <f>+H59/SUMIF(TablaGeneral[Finca],C47,TablaGeneral[Has])</f>
        <v>15752.09956338616</v>
      </c>
      <c r="I68" s="47">
        <f>+I59/SUMIF(TablaGeneral[Finca],C47,TablaGeneral[Has])</f>
        <v>4.8493796526054584</v>
      </c>
    </row>
    <row r="70" spans="1:11">
      <c r="A70" s="157" t="s">
        <v>426</v>
      </c>
      <c r="B70" s="157"/>
      <c r="C70" s="153" t="s">
        <v>13</v>
      </c>
      <c r="D70" s="153"/>
      <c r="E70" s="43"/>
    </row>
    <row r="71" spans="1:11">
      <c r="A71" s="157"/>
      <c r="B71" s="157"/>
      <c r="C71" s="125" t="s">
        <v>423</v>
      </c>
      <c r="D71" s="125" t="s">
        <v>84</v>
      </c>
      <c r="E71" s="125" t="s">
        <v>247</v>
      </c>
      <c r="F71" s="75" t="s">
        <v>427</v>
      </c>
      <c r="G71" s="75" t="s">
        <v>428</v>
      </c>
      <c r="H71" s="43" t="s">
        <v>429</v>
      </c>
      <c r="I71" s="43" t="s">
        <v>430</v>
      </c>
    </row>
    <row r="72" spans="1:11">
      <c r="A72" s="154" t="s">
        <v>424</v>
      </c>
      <c r="B72" s="121" t="s">
        <v>58</v>
      </c>
      <c r="C72" s="16">
        <f>+SUMIFS(TablaGeneral[Tractorista Subsolado],TablaGeneral[Finca],C70)</f>
        <v>1.3391169584149714</v>
      </c>
      <c r="D72" s="16">
        <f>+C72*10</f>
        <v>13.391169584149713</v>
      </c>
      <c r="E72" s="16">
        <f>+(D72/100)+(D72/150)+(D72/200)</f>
        <v>0.29014200765657711</v>
      </c>
      <c r="F72" s="16">
        <f>+AVERAGE(Tabla2[Combustible])*D72*1.08</f>
        <v>17656.872255486283</v>
      </c>
      <c r="G72" s="16">
        <f>+AVERAGE(Tabla2[Lubricantes])*E72*1.08</f>
        <v>2108.7760441714927</v>
      </c>
      <c r="H72" s="158">
        <f>+SUM(F72:G78)</f>
        <v>2332421.6614615167</v>
      </c>
      <c r="I72" s="158">
        <v>3448.47</v>
      </c>
      <c r="K72" s="2">
        <f>+C72-C3</f>
        <v>-14.660883041585029</v>
      </c>
    </row>
    <row r="73" spans="1:11">
      <c r="A73" s="154"/>
      <c r="B73" s="121" t="s">
        <v>61</v>
      </c>
      <c r="C73" s="16">
        <f>+SUMIFS(TablaGeneral[Tractorista Triturado de sarmiento],TablaGeneral[Finca],C70)</f>
        <v>0</v>
      </c>
      <c r="D73" s="16">
        <f t="shared" ref="D73:D86" si="9">+C73*10</f>
        <v>0</v>
      </c>
      <c r="E73" s="16">
        <f t="shared" ref="E73:E86" si="10">+(D73/100)+(D73/150)+(D73/200)</f>
        <v>0</v>
      </c>
      <c r="F73" s="16">
        <f>+AVERAGE(Tabla2[Combustible])*D73*1.08</f>
        <v>0</v>
      </c>
      <c r="G73" s="16">
        <f>+AVERAGE(Tabla2[Lubricantes])*E73*1.08</f>
        <v>0</v>
      </c>
      <c r="H73" s="158"/>
      <c r="I73" s="158"/>
      <c r="K73" s="2">
        <f t="shared" ref="K73:K86" si="11">+C73-C4</f>
        <v>-7.0000000481351803</v>
      </c>
    </row>
    <row r="74" spans="1:11">
      <c r="A74" s="154"/>
      <c r="B74" s="121" t="s">
        <v>62</v>
      </c>
      <c r="C74" s="16">
        <f>+SUMIFS(TablaGeneral[Tractorista Cincelado],TablaGeneral[Finca],C70)</f>
        <v>0</v>
      </c>
      <c r="D74" s="16">
        <f t="shared" si="9"/>
        <v>0</v>
      </c>
      <c r="E74" s="16">
        <f t="shared" si="10"/>
        <v>0</v>
      </c>
      <c r="F74" s="16">
        <f>+AVERAGE(Tabla2[Combustible])*D74*1.08</f>
        <v>0</v>
      </c>
      <c r="G74" s="16">
        <f>+AVERAGE(Tabla2[Lubricantes])*E74*1.08</f>
        <v>0</v>
      </c>
      <c r="H74" s="158"/>
      <c r="I74" s="158"/>
      <c r="K74" s="2">
        <f t="shared" si="11"/>
        <v>-3.0001329698823214</v>
      </c>
    </row>
    <row r="75" spans="1:11">
      <c r="A75" s="154"/>
      <c r="B75" s="121" t="s">
        <v>63</v>
      </c>
      <c r="C75" s="16">
        <f>+SUMIFS(TablaGeneral[Tractorista Rastra],TablaGeneral[Finca],C70)</f>
        <v>0</v>
      </c>
      <c r="D75" s="16">
        <f t="shared" si="9"/>
        <v>0</v>
      </c>
      <c r="E75" s="16">
        <f t="shared" si="10"/>
        <v>0</v>
      </c>
      <c r="F75" s="16">
        <f>+AVERAGE(Tabla2[Combustible])*D75*1.08</f>
        <v>0</v>
      </c>
      <c r="G75" s="16">
        <f>+AVERAGE(Tabla2[Lubricantes])*E75*1.08</f>
        <v>0</v>
      </c>
      <c r="H75" s="158"/>
      <c r="I75" s="158"/>
      <c r="K75" s="2">
        <f t="shared" si="11"/>
        <v>-62.999999997347359</v>
      </c>
    </row>
    <row r="76" spans="1:11">
      <c r="A76" s="154"/>
      <c r="B76" s="121" t="s">
        <v>106</v>
      </c>
      <c r="C76" s="16">
        <f>+SUMIFS(TablaGeneral[Tractor Herbicida],TablaGeneral[Finca],C70)</f>
        <v>14.828780707089406</v>
      </c>
      <c r="D76" s="16">
        <f t="shared" si="9"/>
        <v>148.28780707089405</v>
      </c>
      <c r="E76" s="16">
        <f t="shared" si="10"/>
        <v>3.2129024865360378</v>
      </c>
      <c r="F76" s="16">
        <f>+AVERAGE(Tabla2[Combustible])*D76*1.08</f>
        <v>195524.28561550652</v>
      </c>
      <c r="G76" s="16">
        <f>+AVERAGE(Tabla2[Lubricantes])*E76*1.08</f>
        <v>23351.640290177169</v>
      </c>
      <c r="H76" s="158"/>
      <c r="I76" s="158"/>
      <c r="K76" s="2">
        <f t="shared" si="11"/>
        <v>7.3279495900681297</v>
      </c>
    </row>
    <row r="77" spans="1:11">
      <c r="A77" s="154"/>
      <c r="B77" s="121" t="s">
        <v>64</v>
      </c>
      <c r="C77" s="16">
        <f>+SUMIFS(TablaGeneral[Tractor Atomizadora],TablaGeneral[Finca],C70)</f>
        <v>53.121982979910086</v>
      </c>
      <c r="D77" s="16">
        <f t="shared" si="9"/>
        <v>531.21982979910081</v>
      </c>
      <c r="E77" s="16">
        <f t="shared" si="10"/>
        <v>11.509762978980518</v>
      </c>
      <c r="F77" s="16">
        <f>+AVERAGE(Tabla2[Combustible])*D77*1.08</f>
        <v>700437.74857769173</v>
      </c>
      <c r="G77" s="16">
        <f>+AVERAGE(Tabla2[Lubricantes])*E77*1.08</f>
        <v>83653.906720376384</v>
      </c>
      <c r="H77" s="158"/>
      <c r="I77" s="158"/>
      <c r="K77" s="2">
        <f t="shared" si="11"/>
        <v>-7.044683686756585</v>
      </c>
    </row>
    <row r="78" spans="1:11">
      <c r="A78" s="122" t="s">
        <v>425</v>
      </c>
      <c r="B78" s="122" t="s">
        <v>77</v>
      </c>
      <c r="C78" s="16">
        <f>+SUMIFS(TablaGeneral[Tractorista Generales],TablaGeneral[Finca],C70)</f>
        <v>88.731012658227854</v>
      </c>
      <c r="D78" s="16">
        <f t="shared" si="9"/>
        <v>887.3101265822786</v>
      </c>
      <c r="E78" s="16">
        <f t="shared" si="10"/>
        <v>19.225052742616036</v>
      </c>
      <c r="F78" s="16">
        <f>+AVERAGE(Tabla2[Combustible])*D78*1.08</f>
        <v>1169959.1628356976</v>
      </c>
      <c r="G78" s="16">
        <f>+AVERAGE(Tabla2[Lubricantes])*E78*1.08</f>
        <v>139729.26912240984</v>
      </c>
      <c r="H78" s="158"/>
      <c r="I78" s="158"/>
      <c r="K78" s="2">
        <f t="shared" si="11"/>
        <v>40.731004148531063</v>
      </c>
    </row>
    <row r="79" spans="1:11">
      <c r="A79" s="155" t="s">
        <v>131</v>
      </c>
      <c r="B79" s="123" t="s">
        <v>127</v>
      </c>
      <c r="C79" s="16">
        <f>+SUMIFS(TablaGeneral[Tracto elevador],TablaGeneral[Finca],C70)</f>
        <v>48.250688328734078</v>
      </c>
      <c r="D79" s="16">
        <f t="shared" si="9"/>
        <v>482.50688328734077</v>
      </c>
      <c r="E79" s="16">
        <f t="shared" si="10"/>
        <v>10.454315804559048</v>
      </c>
      <c r="F79" s="16">
        <f>+AVERAGE(Tabla2[Combustible])*D79*1.08</f>
        <v>636207.49084392725</v>
      </c>
      <c r="G79" s="16">
        <f>+AVERAGE(Tabla2[Lubricantes])*E79*1.08</f>
        <v>75982.829597538977</v>
      </c>
      <c r="H79" s="158">
        <f>+SUM(F79:G81)</f>
        <v>2489882.6535553141</v>
      </c>
      <c r="I79" s="158">
        <v>1123.5999999999999</v>
      </c>
      <c r="K79" s="2">
        <f t="shared" si="11"/>
        <v>0.24536917979790474</v>
      </c>
    </row>
    <row r="80" spans="1:11">
      <c r="A80" s="155"/>
      <c r="B80" s="123" t="s">
        <v>128</v>
      </c>
      <c r="C80" s="16">
        <f>+SUMIFS(TablaGeneral[Tractor con uñas],TablaGeneral[Finca],C70)</f>
        <v>77.250124823574438</v>
      </c>
      <c r="D80" s="16">
        <f t="shared" si="9"/>
        <v>772.50124823574436</v>
      </c>
      <c r="E80" s="16">
        <f t="shared" si="10"/>
        <v>16.737527045107793</v>
      </c>
      <c r="F80" s="16">
        <f>+AVERAGE(Tabla2[Combustible])*D80*1.08</f>
        <v>1018578.3826863783</v>
      </c>
      <c r="G80" s="16">
        <f>+AVERAGE(Tabla2[Lubricantes])*E80*1.08</f>
        <v>121649.72716799109</v>
      </c>
      <c r="H80" s="159"/>
      <c r="I80" s="159"/>
      <c r="K80" s="2">
        <f t="shared" si="11"/>
        <v>29.244805674638265</v>
      </c>
    </row>
    <row r="81" spans="1:11">
      <c r="A81" s="155"/>
      <c r="B81" s="123" t="s">
        <v>130</v>
      </c>
      <c r="C81" s="16">
        <f>+SUMIFS(TablaGeneral[Tractor con acoplado],TablaGeneral[Finca],C70)</f>
        <v>43.188016846600192</v>
      </c>
      <c r="D81" s="16">
        <f t="shared" si="9"/>
        <v>431.88016846600192</v>
      </c>
      <c r="E81" s="16">
        <f t="shared" si="10"/>
        <v>9.3574036500967086</v>
      </c>
      <c r="F81" s="16">
        <f>+AVERAGE(Tabla2[Combustible])*D81*1.08</f>
        <v>569453.84167997527</v>
      </c>
      <c r="G81" s="16">
        <f>+AVERAGE(Tabla2[Lubricantes])*E81*1.08</f>
        <v>68010.381579502777</v>
      </c>
      <c r="H81" s="159"/>
      <c r="I81" s="159"/>
      <c r="K81" s="2">
        <f t="shared" si="11"/>
        <v>43.188016846600192</v>
      </c>
    </row>
    <row r="82" spans="1:11">
      <c r="A82" s="156" t="s">
        <v>147</v>
      </c>
      <c r="B82" s="124" t="s">
        <v>143</v>
      </c>
      <c r="C82" s="16">
        <f>+SUMIFS(TablaGeneral[Tractor Volcado de bins],TablaGeneral[Finca],C70)</f>
        <v>20.118945193521444</v>
      </c>
      <c r="D82" s="16">
        <f t="shared" si="9"/>
        <v>201.18945193521444</v>
      </c>
      <c r="E82" s="16">
        <f t="shared" si="10"/>
        <v>4.3591047919296457</v>
      </c>
      <c r="F82" s="16">
        <f>+AVERAGE(Tabla2[Combustible])*D82*1.08</f>
        <v>265277.5345460567</v>
      </c>
      <c r="G82" s="16">
        <f>+AVERAGE(Tabla2[Lubricantes])*E82*1.08</f>
        <v>31682.333190907106</v>
      </c>
      <c r="H82" s="158">
        <f>+SUM(F82:G86)</f>
        <v>486663.88002110296</v>
      </c>
      <c r="I82" s="158">
        <v>195.43</v>
      </c>
      <c r="K82" s="2">
        <f t="shared" si="11"/>
        <v>13.11847978861918</v>
      </c>
    </row>
    <row r="83" spans="1:11">
      <c r="A83" s="156"/>
      <c r="B83" s="124" t="s">
        <v>144</v>
      </c>
      <c r="C83" s="16">
        <f>+SUMIFS(TablaGeneral[Tractor Cincelado de piedras],TablaGeneral[Finca],C70)</f>
        <v>0</v>
      </c>
      <c r="D83" s="16">
        <f t="shared" si="9"/>
        <v>0</v>
      </c>
      <c r="E83" s="16">
        <f t="shared" si="10"/>
        <v>0</v>
      </c>
      <c r="F83" s="16">
        <f>+AVERAGE(Tabla2[Combustible])*D83*1.08</f>
        <v>0</v>
      </c>
      <c r="G83" s="16">
        <f>+AVERAGE(Tabla2[Lubricantes])*E83*1.08</f>
        <v>0</v>
      </c>
      <c r="H83" s="159"/>
      <c r="I83" s="158"/>
      <c r="K83" s="2">
        <f t="shared" si="11"/>
        <v>-0.78000760561432625</v>
      </c>
    </row>
    <row r="84" spans="1:11">
      <c r="A84" s="156"/>
      <c r="B84" s="124" t="s">
        <v>145</v>
      </c>
      <c r="C84" s="16">
        <f>+SUMIFS(TablaGeneral[Tractor Carga de pasa],TablaGeneral[Finca],C70)</f>
        <v>0</v>
      </c>
      <c r="D84" s="16">
        <f t="shared" si="9"/>
        <v>0</v>
      </c>
      <c r="E84" s="16">
        <f t="shared" si="10"/>
        <v>0</v>
      </c>
      <c r="F84" s="16">
        <f>+AVERAGE(Tabla2[Combustible])*D84*1.08</f>
        <v>0</v>
      </c>
      <c r="G84" s="16">
        <f>+AVERAGE(Tabla2[Lubricantes])*E84*1.08</f>
        <v>0</v>
      </c>
      <c r="H84" s="159"/>
      <c r="I84" s="158"/>
      <c r="K84" s="2">
        <f t="shared" si="11"/>
        <v>0</v>
      </c>
    </row>
    <row r="85" spans="1:11">
      <c r="A85" s="156"/>
      <c r="B85" s="124" t="s">
        <v>146</v>
      </c>
      <c r="C85" s="16">
        <f>+SUMIFS(TablaGeneral[Tractor Descarga y carga de bines con tracto elevador],TablaGeneral[Finca],C70)</f>
        <v>6.6335362570919782</v>
      </c>
      <c r="D85" s="16">
        <f t="shared" si="9"/>
        <v>66.335362570919784</v>
      </c>
      <c r="E85" s="16">
        <f t="shared" si="10"/>
        <v>1.4372661890365954</v>
      </c>
      <c r="F85" s="16">
        <f>+AVERAGE(Tabla2[Combustible])*D85*1.08</f>
        <v>87466.222840046888</v>
      </c>
      <c r="G85" s="16">
        <f>+AVERAGE(Tabla2[Lubricantes])*E85*1.08</f>
        <v>10446.169215612108</v>
      </c>
      <c r="H85" s="159"/>
      <c r="I85" s="158"/>
      <c r="K85" s="2">
        <f t="shared" si="11"/>
        <v>0.63287136347495654</v>
      </c>
    </row>
    <row r="86" spans="1:11">
      <c r="A86" s="156"/>
      <c r="B86" s="124" t="s">
        <v>142</v>
      </c>
      <c r="C86" s="16">
        <f>+SUMIFS(TablaGeneral[Descarga y carga de bines con Autoelevador],TablaGeneral[Finca],C70)</f>
        <v>6.2188557352036229</v>
      </c>
      <c r="D86" s="16">
        <f t="shared" si="9"/>
        <v>62.188557352036227</v>
      </c>
      <c r="E86" s="16">
        <f t="shared" si="10"/>
        <v>1.3474187426274515</v>
      </c>
      <c r="F86" s="16">
        <f>+AVERAGE(Tabla2[Combustible])*D86*1.08</f>
        <v>81998.469664485863</v>
      </c>
      <c r="G86" s="16">
        <f>+AVERAGE(Tabla2[Lubricantes])*E86*1.08</f>
        <v>9793.1505639942916</v>
      </c>
      <c r="H86" s="159"/>
      <c r="I86" s="158"/>
      <c r="K86" s="2">
        <f t="shared" si="11"/>
        <v>-0.27114857948068671</v>
      </c>
    </row>
    <row r="87" spans="1:11">
      <c r="A87" s="29"/>
      <c r="B87" s="29"/>
      <c r="C87" s="128">
        <f t="shared" ref="C87:I87" si="12">SUM(C72:C86)</f>
        <v>359.68106048836808</v>
      </c>
      <c r="D87" s="128">
        <f t="shared" si="12"/>
        <v>3596.8106048836803</v>
      </c>
      <c r="E87" s="128">
        <f t="shared" si="12"/>
        <v>77.930896439146423</v>
      </c>
      <c r="F87" s="128">
        <f t="shared" si="12"/>
        <v>4742560.011545253</v>
      </c>
      <c r="G87" s="128">
        <f t="shared" si="12"/>
        <v>566408.18349268124</v>
      </c>
      <c r="H87" s="16">
        <f t="shared" si="12"/>
        <v>5308968.1950379331</v>
      </c>
      <c r="I87" s="16">
        <f t="shared" si="12"/>
        <v>4767.5</v>
      </c>
    </row>
    <row r="88" spans="1:11">
      <c r="C88" s="47">
        <f>+C87/SUMIF(TablaGeneral[Finca],C70,TablaGeneral[Has])</f>
        <v>6.4355172747963509</v>
      </c>
      <c r="D88" s="47">
        <f>+D87/SUMIF(TablaGeneral[Finca],C70,TablaGeneral[Has])</f>
        <v>64.355172747963508</v>
      </c>
      <c r="E88" s="47">
        <f>+E87/SUMIF(TablaGeneral[Finca],C70,TablaGeneral[Has])</f>
        <v>1.3943620762058762</v>
      </c>
      <c r="F88" s="47">
        <f>+F87/SUMIF(TablaGeneral[Finca],C70,TablaGeneral[Has])</f>
        <v>84855.251593223351</v>
      </c>
      <c r="G88" s="47">
        <f>+G87/SUMIF(TablaGeneral[Finca],C70,TablaGeneral[Has])</f>
        <v>10134.338584589037</v>
      </c>
      <c r="H88" s="47">
        <f>+H87/SUMIF(TablaGeneral[Finca],C70,TablaGeneral[Has])</f>
        <v>94989.590177812366</v>
      </c>
      <c r="I88" s="47">
        <f>+I87/SUMIF(TablaGeneral[Finca],C70,TablaGeneral[Has])</f>
        <v>85.301485059939168</v>
      </c>
    </row>
    <row r="89" spans="1:11">
      <c r="B89" s="124" t="s">
        <v>431</v>
      </c>
      <c r="C89" s="47">
        <f>+SUM(C72:C78)/SUMIF(TablaGeneral[Finca],C70,TablaGeneral[Has])</f>
        <v>2.8273553999578156</v>
      </c>
      <c r="E89" s="160" t="s">
        <v>425</v>
      </c>
      <c r="F89" s="160"/>
      <c r="G89" s="160"/>
      <c r="H89" s="47">
        <f>+H72/SUMIF(TablaGeneral[Finca],C70,TablaGeneral[Has])</f>
        <v>41732.361092530271</v>
      </c>
      <c r="I89" s="47">
        <f>+I72/SUMIF(TablaGeneral[Finca],C70,TablaGeneral[Has])</f>
        <v>61.701019860440148</v>
      </c>
    </row>
    <row r="90" spans="1:11">
      <c r="B90" s="124" t="s">
        <v>131</v>
      </c>
      <c r="C90" s="47">
        <f>+SUM(C79:C81)/SUMIF(TablaGeneral[Finca],C70,TablaGeneral[Has])</f>
        <v>3.018229200195182</v>
      </c>
      <c r="E90" s="160" t="s">
        <v>131</v>
      </c>
      <c r="F90" s="160"/>
      <c r="G90" s="160"/>
      <c r="H90" s="47">
        <f>+H79/SUMIF(TablaGeneral[Finca],C70,TablaGeneral[Has])</f>
        <v>44549.698578552765</v>
      </c>
      <c r="I90" s="47">
        <f>+I79/SUMIF(TablaGeneral[Finca],C70,TablaGeneral[Has])</f>
        <v>20.103775272857398</v>
      </c>
    </row>
    <row r="91" spans="1:11">
      <c r="B91" s="124" t="s">
        <v>147</v>
      </c>
      <c r="C91" s="47">
        <f>+SUM(C82:C86)/SUMIF(TablaGeneral[Finca],C70,TablaGeneral[Has])</f>
        <v>0.58993267464335386</v>
      </c>
      <c r="E91" s="160" t="s">
        <v>147</v>
      </c>
      <c r="F91" s="160"/>
      <c r="G91" s="160"/>
      <c r="H91" s="47">
        <f>+H82/SUMIF(TablaGeneral[Finca],C70,TablaGeneral[Has])</f>
        <v>8707.530506729343</v>
      </c>
      <c r="I91" s="47">
        <f>+I82/SUMIF(TablaGeneral[Finca],C70,TablaGeneral[Has])</f>
        <v>3.4966899266416176</v>
      </c>
    </row>
    <row r="93" spans="1:11">
      <c r="A93" s="157" t="s">
        <v>426</v>
      </c>
      <c r="B93" s="157"/>
      <c r="C93" s="153" t="s">
        <v>14</v>
      </c>
      <c r="D93" s="153"/>
      <c r="E93" s="43"/>
    </row>
    <row r="94" spans="1:11">
      <c r="A94" s="157"/>
      <c r="B94" s="157"/>
      <c r="C94" s="125" t="s">
        <v>423</v>
      </c>
      <c r="D94" s="125" t="s">
        <v>84</v>
      </c>
      <c r="E94" s="125" t="s">
        <v>247</v>
      </c>
      <c r="F94" s="75" t="s">
        <v>427</v>
      </c>
      <c r="G94" s="75" t="s">
        <v>428</v>
      </c>
      <c r="H94" s="43" t="s">
        <v>429</v>
      </c>
      <c r="I94" s="43" t="s">
        <v>430</v>
      </c>
    </row>
    <row r="95" spans="1:11">
      <c r="A95" s="154" t="s">
        <v>424</v>
      </c>
      <c r="B95" s="121" t="s">
        <v>58</v>
      </c>
      <c r="C95" s="16">
        <f>+SUMIFS(TablaGeneral[Tractorista Subsolado],TablaGeneral[Finca],C93)</f>
        <v>2.2908838654292296</v>
      </c>
      <c r="D95" s="16">
        <f>+C95*10</f>
        <v>22.908838654292296</v>
      </c>
      <c r="E95" s="16">
        <f>+(D95/100)+(D95/150)+(D95/200)</f>
        <v>0.49635817084299971</v>
      </c>
      <c r="F95" s="16">
        <f>+AVERAGE(Tabla2[Combustible])*D95*1.08</f>
        <v>30206.356143765424</v>
      </c>
      <c r="G95" s="16">
        <f>+AVERAGE(Tabla2[Lubricantes])*E95*1.08</f>
        <v>3607.5721280643434</v>
      </c>
      <c r="H95" s="158">
        <f>+SUM(F95:G101)</f>
        <v>3990172.1190540073</v>
      </c>
      <c r="I95" s="158">
        <v>3448.47</v>
      </c>
    </row>
    <row r="96" spans="1:11">
      <c r="A96" s="154"/>
      <c r="B96" s="121" t="s">
        <v>61</v>
      </c>
      <c r="C96" s="16">
        <f>+SUMIFS(TablaGeneral[Tractorista Triturado de sarmiento],TablaGeneral[Finca],C93)</f>
        <v>0</v>
      </c>
      <c r="D96" s="16">
        <f t="shared" ref="D96:D109" si="13">+C96*10</f>
        <v>0</v>
      </c>
      <c r="E96" s="16">
        <f t="shared" ref="E96:E109" si="14">+(D96/100)+(D96/150)+(D96/200)</f>
        <v>0</v>
      </c>
      <c r="F96" s="16">
        <f>+AVERAGE(Tabla2[Combustible])*D96*1.08</f>
        <v>0</v>
      </c>
      <c r="G96" s="16">
        <f>+AVERAGE(Tabla2[Lubricantes])*E96*1.08</f>
        <v>0</v>
      </c>
      <c r="H96" s="158"/>
      <c r="I96" s="158"/>
    </row>
    <row r="97" spans="1:9">
      <c r="A97" s="154"/>
      <c r="B97" s="121" t="s">
        <v>62</v>
      </c>
      <c r="C97" s="16">
        <f>+SUMIFS(TablaGeneral[Tractorista Cincelado],TablaGeneral[Finca],C93)</f>
        <v>0</v>
      </c>
      <c r="D97" s="16">
        <f t="shared" si="13"/>
        <v>0</v>
      </c>
      <c r="E97" s="16">
        <f t="shared" si="14"/>
        <v>0</v>
      </c>
      <c r="F97" s="16">
        <f>+AVERAGE(Tabla2[Combustible])*D97*1.08</f>
        <v>0</v>
      </c>
      <c r="G97" s="16">
        <f>+AVERAGE(Tabla2[Lubricantes])*E97*1.08</f>
        <v>0</v>
      </c>
      <c r="H97" s="158"/>
      <c r="I97" s="158"/>
    </row>
    <row r="98" spans="1:9">
      <c r="A98" s="154"/>
      <c r="B98" s="121" t="s">
        <v>63</v>
      </c>
      <c r="C98" s="16">
        <f>+SUMIFS(TablaGeneral[Tractorista Rastra],TablaGeneral[Finca],C93)</f>
        <v>0</v>
      </c>
      <c r="D98" s="16">
        <f t="shared" si="13"/>
        <v>0</v>
      </c>
      <c r="E98" s="16">
        <f t="shared" si="14"/>
        <v>0</v>
      </c>
      <c r="F98" s="16">
        <f>+AVERAGE(Tabla2[Combustible])*D98*1.08</f>
        <v>0</v>
      </c>
      <c r="G98" s="16">
        <f>+AVERAGE(Tabla2[Lubricantes])*E98*1.08</f>
        <v>0</v>
      </c>
      <c r="H98" s="158"/>
      <c r="I98" s="158"/>
    </row>
    <row r="99" spans="1:9">
      <c r="A99" s="154"/>
      <c r="B99" s="121" t="s">
        <v>106</v>
      </c>
      <c r="C99" s="16">
        <f>+SUMIFS(TablaGeneral[Tractor Herbicida],TablaGeneral[Finca],C93)</f>
        <v>25.368220641510437</v>
      </c>
      <c r="D99" s="16">
        <f t="shared" si="13"/>
        <v>253.68220641510436</v>
      </c>
      <c r="E99" s="16">
        <f t="shared" si="14"/>
        <v>5.4964478056605941</v>
      </c>
      <c r="F99" s="16">
        <f>+AVERAGE(Tabla2[Combustible])*D99*1.08</f>
        <v>334491.64272127429</v>
      </c>
      <c r="G99" s="16">
        <f>+AVERAGE(Tabla2[Lubricantes])*E99*1.08</f>
        <v>39948.636029069276</v>
      </c>
      <c r="H99" s="158"/>
      <c r="I99" s="158"/>
    </row>
    <row r="100" spans="1:9">
      <c r="A100" s="154"/>
      <c r="B100" s="121" t="s">
        <v>64</v>
      </c>
      <c r="C100" s="16">
        <f>+SUMIFS(TablaGeneral[Tractor Atomizadora],TablaGeneral[Finca],C93)</f>
        <v>90.878016997355033</v>
      </c>
      <c r="D100" s="16">
        <f t="shared" si="13"/>
        <v>908.7801699735503</v>
      </c>
      <c r="E100" s="16">
        <f t="shared" si="14"/>
        <v>19.690237016093587</v>
      </c>
      <c r="F100" s="16">
        <f>+AVERAGE(Tabla2[Combustible])*D100*1.08</f>
        <v>1198268.4013303057</v>
      </c>
      <c r="G100" s="16">
        <f>+AVERAGE(Tabla2[Lubricantes])*E100*1.08</f>
        <v>143110.26679302595</v>
      </c>
      <c r="H100" s="158"/>
      <c r="I100" s="158"/>
    </row>
    <row r="101" spans="1:9">
      <c r="A101" s="122" t="s">
        <v>425</v>
      </c>
      <c r="B101" s="122" t="s">
        <v>77</v>
      </c>
      <c r="C101" s="16">
        <f>+SUMIFS(TablaGeneral[Tractorista Generales],TablaGeneral[Finca],C93)</f>
        <v>151.79588607594931</v>
      </c>
      <c r="D101" s="16">
        <f t="shared" si="13"/>
        <v>1517.9588607594931</v>
      </c>
      <c r="E101" s="16">
        <f t="shared" si="14"/>
        <v>32.889108649789016</v>
      </c>
      <c r="F101" s="16">
        <f>+AVERAGE(Tabla2[Combustible])*D101*1.08</f>
        <v>2001498.489365573</v>
      </c>
      <c r="G101" s="16">
        <f>+AVERAGE(Tabla2[Lubricantes])*E101*1.08</f>
        <v>239040.75454292915</v>
      </c>
      <c r="H101" s="158"/>
      <c r="I101" s="158"/>
    </row>
    <row r="102" spans="1:9">
      <c r="A102" s="155" t="s">
        <v>131</v>
      </c>
      <c r="B102" s="123" t="s">
        <v>127</v>
      </c>
      <c r="C102" s="16">
        <f>+SUMIFS(TablaGeneral[Tracto elevador],TablaGeneral[Finca],C93)</f>
        <v>59.749318801089927</v>
      </c>
      <c r="D102" s="16">
        <f t="shared" si="13"/>
        <v>597.4931880108993</v>
      </c>
      <c r="E102" s="16">
        <f t="shared" si="14"/>
        <v>12.945685740236152</v>
      </c>
      <c r="F102" s="16">
        <f>+AVERAGE(Tabla2[Combustible])*D102*1.08</f>
        <v>787822.21582190297</v>
      </c>
      <c r="G102" s="16">
        <f>+AVERAGE(Tabla2[Lubricantes])*E102*1.08</f>
        <v>94090.311792063105</v>
      </c>
      <c r="H102" s="158">
        <f>+SUM(F102:G104)</f>
        <v>2425259.3994448804</v>
      </c>
      <c r="I102" s="158">
        <v>1123.5999999999999</v>
      </c>
    </row>
    <row r="103" spans="1:9">
      <c r="A103" s="155"/>
      <c r="B103" s="123" t="s">
        <v>128</v>
      </c>
      <c r="C103" s="16">
        <f>+SUMIFS(TablaGeneral[Tractor con uñas],TablaGeneral[Finca],C93)</f>
        <v>59.749318801089927</v>
      </c>
      <c r="D103" s="16">
        <f t="shared" si="13"/>
        <v>597.4931880108993</v>
      </c>
      <c r="E103" s="16">
        <f t="shared" si="14"/>
        <v>12.945685740236152</v>
      </c>
      <c r="F103" s="16">
        <f>+AVERAGE(Tabla2[Combustible])*D103*1.08</f>
        <v>787822.21582190297</v>
      </c>
      <c r="G103" s="16">
        <f>+AVERAGE(Tabla2[Lubricantes])*E103*1.08</f>
        <v>94090.311792063105</v>
      </c>
      <c r="H103" s="159"/>
      <c r="I103" s="159"/>
    </row>
    <row r="104" spans="1:9">
      <c r="A104" s="155"/>
      <c r="B104" s="123" t="s">
        <v>130</v>
      </c>
      <c r="C104" s="16">
        <f>+SUMIFS(TablaGeneral[Tractor con acoplado],TablaGeneral[Finca],C93)</f>
        <v>44.811985612145939</v>
      </c>
      <c r="D104" s="16">
        <f t="shared" si="13"/>
        <v>448.11985612145941</v>
      </c>
      <c r="E104" s="16">
        <f t="shared" si="14"/>
        <v>9.7092635492982868</v>
      </c>
      <c r="F104" s="16">
        <f>+AVERAGE(Tabla2[Combustible])*D104*1.08</f>
        <v>590866.61586669076</v>
      </c>
      <c r="G104" s="16">
        <f>+AVERAGE(Tabla2[Lubricantes])*E104*1.08</f>
        <v>70567.728350257661</v>
      </c>
      <c r="H104" s="159"/>
      <c r="I104" s="159"/>
    </row>
    <row r="105" spans="1:9">
      <c r="A105" s="156" t="s">
        <v>147</v>
      </c>
      <c r="B105" s="124" t="s">
        <v>143</v>
      </c>
      <c r="C105" s="16">
        <f>+SUMIFS(TablaGeneral[Tractor Volcado de bins],TablaGeneral[Finca],C93)</f>
        <v>0</v>
      </c>
      <c r="D105" s="16">
        <f t="shared" si="13"/>
        <v>0</v>
      </c>
      <c r="E105" s="16">
        <f t="shared" si="14"/>
        <v>0</v>
      </c>
      <c r="F105" s="16">
        <f>+AVERAGE(Tabla2[Combustible])*D105*1.08</f>
        <v>0</v>
      </c>
      <c r="G105" s="16">
        <f>+AVERAGE(Tabla2[Lubricantes])*E105*1.08</f>
        <v>0</v>
      </c>
      <c r="H105" s="158">
        <f>+SUM(F105:G109)</f>
        <v>0</v>
      </c>
      <c r="I105" s="158">
        <v>195.43</v>
      </c>
    </row>
    <row r="106" spans="1:9">
      <c r="A106" s="156"/>
      <c r="B106" s="124" t="s">
        <v>144</v>
      </c>
      <c r="C106" s="16">
        <f>+SUMIFS(TablaGeneral[Tractor Cincelado de piedras],TablaGeneral[Finca],C93)</f>
        <v>0</v>
      </c>
      <c r="D106" s="16">
        <f t="shared" si="13"/>
        <v>0</v>
      </c>
      <c r="E106" s="16">
        <f t="shared" si="14"/>
        <v>0</v>
      </c>
      <c r="F106" s="16">
        <f>+AVERAGE(Tabla2[Combustible])*D106*1.08</f>
        <v>0</v>
      </c>
      <c r="G106" s="16">
        <f>+AVERAGE(Tabla2[Lubricantes])*E106*1.08</f>
        <v>0</v>
      </c>
      <c r="H106" s="159"/>
      <c r="I106" s="158"/>
    </row>
    <row r="107" spans="1:9">
      <c r="A107" s="156"/>
      <c r="B107" s="124" t="s">
        <v>145</v>
      </c>
      <c r="C107" s="16">
        <f>+SUMIFS(TablaGeneral[Tractor Carga de pasa],TablaGeneral[Finca],C93)</f>
        <v>0</v>
      </c>
      <c r="D107" s="16">
        <f t="shared" si="13"/>
        <v>0</v>
      </c>
      <c r="E107" s="16">
        <f t="shared" si="14"/>
        <v>0</v>
      </c>
      <c r="F107" s="16">
        <f>+AVERAGE(Tabla2[Combustible])*D107*1.08</f>
        <v>0</v>
      </c>
      <c r="G107" s="16">
        <f>+AVERAGE(Tabla2[Lubricantes])*E107*1.08</f>
        <v>0</v>
      </c>
      <c r="H107" s="159"/>
      <c r="I107" s="158"/>
    </row>
    <row r="108" spans="1:9">
      <c r="A108" s="156"/>
      <c r="B108" s="124" t="s">
        <v>146</v>
      </c>
      <c r="C108" s="16">
        <f>+SUMIFS(TablaGeneral[Tractor Descarga y carga de bines con tracto elevador],TablaGeneral[Finca],C93)</f>
        <v>0</v>
      </c>
      <c r="D108" s="16">
        <f t="shared" si="13"/>
        <v>0</v>
      </c>
      <c r="E108" s="16">
        <f t="shared" si="14"/>
        <v>0</v>
      </c>
      <c r="F108" s="16">
        <f>+AVERAGE(Tabla2[Combustible])*D108*1.08</f>
        <v>0</v>
      </c>
      <c r="G108" s="16">
        <f>+AVERAGE(Tabla2[Lubricantes])*E108*1.08</f>
        <v>0</v>
      </c>
      <c r="H108" s="159"/>
      <c r="I108" s="158"/>
    </row>
    <row r="109" spans="1:9">
      <c r="A109" s="156"/>
      <c r="B109" s="124" t="s">
        <v>142</v>
      </c>
      <c r="C109" s="16">
        <f>+SUMIFS(TablaGeneral[Descarga y carga de bines con Autoelevador],TablaGeneral[Finca],C93)</f>
        <v>0</v>
      </c>
      <c r="D109" s="16">
        <f t="shared" si="13"/>
        <v>0</v>
      </c>
      <c r="E109" s="16">
        <f t="shared" si="14"/>
        <v>0</v>
      </c>
      <c r="F109" s="16">
        <f>+AVERAGE(Tabla2[Combustible])*D109*1.08</f>
        <v>0</v>
      </c>
      <c r="G109" s="16">
        <f>+AVERAGE(Tabla2[Lubricantes])*E109*1.08</f>
        <v>0</v>
      </c>
      <c r="H109" s="159"/>
      <c r="I109" s="158"/>
    </row>
    <row r="110" spans="1:9">
      <c r="A110" s="29"/>
      <c r="B110" s="29"/>
      <c r="C110" s="128">
        <f t="shared" ref="C110:I110" si="15">SUM(C95:C109)</f>
        <v>434.64363079456984</v>
      </c>
      <c r="D110" s="128">
        <f t="shared" si="15"/>
        <v>4346.436307945698</v>
      </c>
      <c r="E110" s="128">
        <f t="shared" si="15"/>
        <v>94.172786672156789</v>
      </c>
      <c r="F110" s="128">
        <f t="shared" si="15"/>
        <v>5730975.9370714156</v>
      </c>
      <c r="G110" s="128">
        <f t="shared" si="15"/>
        <v>684455.58142747253</v>
      </c>
      <c r="H110" s="16">
        <f t="shared" si="15"/>
        <v>6415431.5184988882</v>
      </c>
      <c r="I110" s="16">
        <f t="shared" si="15"/>
        <v>4767.5</v>
      </c>
    </row>
    <row r="111" spans="1:9">
      <c r="C111" s="47">
        <f>+C110/SUMIF(TablaGeneral[Finca],C93,TablaGeneral[Has])</f>
        <v>4.6184638273782781</v>
      </c>
      <c r="D111" s="47">
        <f>+D110/SUMIF(TablaGeneral[Finca],C93,TablaGeneral[Has])</f>
        <v>46.184638273782774</v>
      </c>
      <c r="E111" s="47">
        <f>+E110/SUMIF(TablaGeneral[Finca],C93,TablaGeneral[Has])</f>
        <v>1.0006671625986268</v>
      </c>
      <c r="F111" s="47">
        <f>+F110/SUMIF(TablaGeneral[Finca],C93,TablaGeneral[Has])</f>
        <v>60896.567177466939</v>
      </c>
      <c r="G111" s="47">
        <f>+G110/SUMIF(TablaGeneral[Finca],C93,TablaGeneral[Has])</f>
        <v>7272.9314783495092</v>
      </c>
      <c r="H111" s="47">
        <f>+H110/SUMIF(TablaGeneral[Finca],C93,TablaGeneral[Has])</f>
        <v>68169.498655816453</v>
      </c>
      <c r="I111" s="47">
        <f>+I110/SUMIF(TablaGeneral[Finca],C93,TablaGeneral[Has])</f>
        <v>50.658803527786617</v>
      </c>
    </row>
    <row r="112" spans="1:9">
      <c r="B112" s="124" t="s">
        <v>431</v>
      </c>
      <c r="C112" s="47">
        <f>+SUM(C95:C101)/SUMIF(TablaGeneral[Finca],C93,TablaGeneral[Has])</f>
        <v>2.8725215979199232</v>
      </c>
      <c r="E112" s="160" t="s">
        <v>425</v>
      </c>
      <c r="F112" s="160"/>
      <c r="G112" s="160"/>
      <c r="H112" s="47">
        <f>+H95/SUMIF(TablaGeneral[Finca],C93,TablaGeneral[Has])</f>
        <v>42399.023685623273</v>
      </c>
      <c r="I112" s="47">
        <f>+I95/SUMIF(TablaGeneral[Finca],C93,TablaGeneral[Has])</f>
        <v>36.642970991393035</v>
      </c>
    </row>
    <row r="113" spans="1:9">
      <c r="B113" s="124" t="s">
        <v>131</v>
      </c>
      <c r="C113" s="47">
        <f>+SUM(C102:C104)/SUMIF(TablaGeneral[Finca],C93,TablaGeneral[Has])</f>
        <v>1.7459422294583546</v>
      </c>
      <c r="E113" s="160" t="s">
        <v>131</v>
      </c>
      <c r="F113" s="160"/>
      <c r="G113" s="160"/>
      <c r="H113" s="47">
        <f>+H102/SUMIF(TablaGeneral[Finca],C93,TablaGeneral[Has])</f>
        <v>25770.474970193176</v>
      </c>
      <c r="I113" s="47">
        <f>+I102/SUMIF(TablaGeneral[Finca],C93,TablaGeneral[Has])</f>
        <v>11.939220061630003</v>
      </c>
    </row>
    <row r="114" spans="1:9">
      <c r="B114" s="124" t="s">
        <v>147</v>
      </c>
      <c r="C114" s="47">
        <f>+SUM(C105:C109)/SUMIF(TablaGeneral[Finca],C93,TablaGeneral[Has])</f>
        <v>0</v>
      </c>
      <c r="E114" s="160" t="s">
        <v>147</v>
      </c>
      <c r="F114" s="160"/>
      <c r="G114" s="160"/>
      <c r="H114" s="47">
        <f>+H105/SUMIF(TablaGeneral[Finca],C93,TablaGeneral[Has])</f>
        <v>0</v>
      </c>
      <c r="I114" s="47">
        <f>+I105/SUMIF(TablaGeneral[Finca],C93,TablaGeneral[Has])</f>
        <v>2.0766124747635741</v>
      </c>
    </row>
    <row r="116" spans="1:9">
      <c r="A116" s="157" t="s">
        <v>426</v>
      </c>
      <c r="B116" s="157"/>
      <c r="C116" s="153" t="s">
        <v>15</v>
      </c>
      <c r="D116" s="153"/>
      <c r="E116" s="43"/>
    </row>
    <row r="117" spans="1:9">
      <c r="A117" s="157"/>
      <c r="B117" s="157"/>
      <c r="C117" s="125" t="s">
        <v>423</v>
      </c>
      <c r="D117" s="125" t="s">
        <v>84</v>
      </c>
      <c r="E117" s="125" t="s">
        <v>247</v>
      </c>
      <c r="F117" s="75" t="s">
        <v>427</v>
      </c>
      <c r="G117" s="75" t="s">
        <v>428</v>
      </c>
      <c r="H117" s="43" t="s">
        <v>429</v>
      </c>
      <c r="I117" s="43" t="s">
        <v>430</v>
      </c>
    </row>
    <row r="118" spans="1:9">
      <c r="A118" s="154" t="s">
        <v>424</v>
      </c>
      <c r="B118" s="121" t="s">
        <v>58</v>
      </c>
      <c r="C118" s="16">
        <f>+SUMIFS(TablaGeneral[Tractorista Subsolado],TablaGeneral[Finca],C116)</f>
        <v>1.6299999999701731</v>
      </c>
      <c r="D118" s="16">
        <f>+C118*10</f>
        <v>16.299999999701733</v>
      </c>
      <c r="E118" s="16">
        <f>+(D118/100)+(D118/150)+(D118/200)</f>
        <v>0.35316666666020424</v>
      </c>
      <c r="F118" s="16">
        <f>+AVERAGE(Tabla2[Combustible])*D118*1.08</f>
        <v>21492.298783208531</v>
      </c>
      <c r="G118" s="16">
        <f>+AVERAGE(Tabla2[Lubricantes])*E118*1.08</f>
        <v>2566.8444644336059</v>
      </c>
      <c r="H118" s="158">
        <f>+SUM(F118:G124)</f>
        <v>2814264.3646110143</v>
      </c>
      <c r="I118" s="158">
        <v>3448.47</v>
      </c>
    </row>
    <row r="119" spans="1:9">
      <c r="A119" s="154"/>
      <c r="B119" s="121" t="s">
        <v>61</v>
      </c>
      <c r="C119" s="16">
        <f>+SUMIFS(TablaGeneral[Tractorista Triturado de sarmiento],TablaGeneral[Finca],C116)</f>
        <v>0</v>
      </c>
      <c r="D119" s="16">
        <f t="shared" ref="D119:D132" si="16">+C119*10</f>
        <v>0</v>
      </c>
      <c r="E119" s="16">
        <f t="shared" ref="E119:E132" si="17">+(D119/100)+(D119/150)+(D119/200)</f>
        <v>0</v>
      </c>
      <c r="F119" s="16">
        <f>+AVERAGE(Tabla2[Combustible])*D119*1.08</f>
        <v>0</v>
      </c>
      <c r="G119" s="16">
        <f>+AVERAGE(Tabla2[Lubricantes])*E119*1.08</f>
        <v>0</v>
      </c>
      <c r="H119" s="158"/>
      <c r="I119" s="158"/>
    </row>
    <row r="120" spans="1:9">
      <c r="A120" s="154"/>
      <c r="B120" s="121" t="s">
        <v>62</v>
      </c>
      <c r="C120" s="16">
        <f>+SUMIFS(TablaGeneral[Tractorista Cincelado],TablaGeneral[Finca],C116)</f>
        <v>0</v>
      </c>
      <c r="D120" s="16">
        <f t="shared" si="16"/>
        <v>0</v>
      </c>
      <c r="E120" s="16">
        <f t="shared" si="17"/>
        <v>0</v>
      </c>
      <c r="F120" s="16">
        <f>+AVERAGE(Tabla2[Combustible])*D120*1.08</f>
        <v>0</v>
      </c>
      <c r="G120" s="16">
        <f>+AVERAGE(Tabla2[Lubricantes])*E120*1.08</f>
        <v>0</v>
      </c>
      <c r="H120" s="158"/>
      <c r="I120" s="158"/>
    </row>
    <row r="121" spans="1:9">
      <c r="A121" s="154"/>
      <c r="B121" s="121" t="s">
        <v>63</v>
      </c>
      <c r="C121" s="16">
        <f>+SUMIFS(TablaGeneral[Tractorista Rastra],TablaGeneral[Finca],C116)</f>
        <v>0</v>
      </c>
      <c r="D121" s="16">
        <f t="shared" si="16"/>
        <v>0</v>
      </c>
      <c r="E121" s="16">
        <f t="shared" si="17"/>
        <v>0</v>
      </c>
      <c r="F121" s="16">
        <f>+AVERAGE(Tabla2[Combustible])*D121*1.08</f>
        <v>0</v>
      </c>
      <c r="G121" s="16">
        <f>+AVERAGE(Tabla2[Lubricantes])*E121*1.08</f>
        <v>0</v>
      </c>
      <c r="H121" s="158"/>
      <c r="I121" s="158"/>
    </row>
    <row r="122" spans="1:9">
      <c r="A122" s="154"/>
      <c r="B122" s="121" t="s">
        <v>106</v>
      </c>
      <c r="C122" s="16">
        <f>+SUMIFS(TablaGeneral[Tractor Herbicida],TablaGeneral[Finca],C116)</f>
        <v>17.890007867648901</v>
      </c>
      <c r="D122" s="16">
        <f t="shared" si="16"/>
        <v>178.90007867648902</v>
      </c>
      <c r="E122" s="16">
        <f t="shared" si="17"/>
        <v>3.8761683713239288</v>
      </c>
      <c r="F122" s="16">
        <f>+AVERAGE(Tabla2[Combustible])*D122*1.08</f>
        <v>235887.97198312715</v>
      </c>
      <c r="G122" s="16">
        <f>+AVERAGE(Tabla2[Lubricantes])*E122*1.08</f>
        <v>28172.311450667803</v>
      </c>
      <c r="H122" s="158"/>
      <c r="I122" s="158"/>
    </row>
    <row r="123" spans="1:9">
      <c r="A123" s="154"/>
      <c r="B123" s="121" t="s">
        <v>64</v>
      </c>
      <c r="C123" s="16">
        <f>+SUMIFS(TablaGeneral[Tractor Atomizadora],TablaGeneral[Finca],C116)</f>
        <v>64.089999988976018</v>
      </c>
      <c r="D123" s="16">
        <f t="shared" si="16"/>
        <v>640.89999988976024</v>
      </c>
      <c r="E123" s="16">
        <f t="shared" si="17"/>
        <v>13.886166664278138</v>
      </c>
      <c r="F123" s="16">
        <f>+AVERAGE(Tabla2[Combustible])*D123*1.08</f>
        <v>845056.09129086463</v>
      </c>
      <c r="G123" s="16">
        <f>+AVERAGE(Tabla2[Lubricantes])*E123*1.08</f>
        <v>100925.80472408785</v>
      </c>
      <c r="H123" s="158"/>
      <c r="I123" s="158"/>
    </row>
    <row r="124" spans="1:9">
      <c r="A124" s="122" t="s">
        <v>425</v>
      </c>
      <c r="B124" s="122" t="s">
        <v>77</v>
      </c>
      <c r="C124" s="16">
        <f>+SUMIFS(TablaGeneral[Tractorista Generales],TablaGeneral[Finca],C116)</f>
        <v>107.05558929352689</v>
      </c>
      <c r="D124" s="16">
        <f t="shared" si="16"/>
        <v>1070.555892935269</v>
      </c>
      <c r="E124" s="16">
        <f t="shared" si="17"/>
        <v>23.195377680264158</v>
      </c>
      <c r="F124" s="16">
        <f>+AVERAGE(Tabla2[Combustible])*D124*1.08</f>
        <v>1411577.1236509467</v>
      </c>
      <c r="G124" s="16">
        <f>+AVERAGE(Tabla2[Lubricantes])*E124*1.08</f>
        <v>168585.91826367818</v>
      </c>
      <c r="H124" s="158"/>
      <c r="I124" s="158"/>
    </row>
    <row r="125" spans="1:9">
      <c r="A125" s="155" t="s">
        <v>131</v>
      </c>
      <c r="B125" s="123" t="s">
        <v>127</v>
      </c>
      <c r="C125" s="16">
        <f>+SUMIFS(TablaGeneral[Tracto elevador],TablaGeneral[Finca],C116)</f>
        <v>40.000979559851118</v>
      </c>
      <c r="D125" s="16">
        <f t="shared" si="16"/>
        <v>400.00979559851118</v>
      </c>
      <c r="E125" s="16">
        <f t="shared" si="17"/>
        <v>8.6668789046344088</v>
      </c>
      <c r="F125" s="16">
        <f>+AVERAGE(Tabla2[Combustible])*D125*1.08</f>
        <v>527431.29100433679</v>
      </c>
      <c r="G125" s="16">
        <f>+AVERAGE(Tabla2[Lubricantes])*E125*1.08</f>
        <v>62991.59077116839</v>
      </c>
      <c r="H125" s="158">
        <f>+SUM(F125:G127)</f>
        <v>2391173.1515869284</v>
      </c>
      <c r="I125" s="158">
        <v>1123.5999999999999</v>
      </c>
    </row>
    <row r="126" spans="1:9">
      <c r="A126" s="155"/>
      <c r="B126" s="123" t="s">
        <v>128</v>
      </c>
      <c r="C126" s="16">
        <f>+SUMIFS(TablaGeneral[Tractor con uñas],TablaGeneral[Finca],C116)</f>
        <v>81.999330655957152</v>
      </c>
      <c r="D126" s="16">
        <f t="shared" si="16"/>
        <v>819.99330655957147</v>
      </c>
      <c r="E126" s="16">
        <f t="shared" si="17"/>
        <v>17.766521642124047</v>
      </c>
      <c r="F126" s="16">
        <f>+AVERAGE(Tabla2[Combustible])*D126*1.08</f>
        <v>1081198.8432596261</v>
      </c>
      <c r="G126" s="16">
        <f>+AVERAGE(Tabla2[Lubricantes])*E126*1.08</f>
        <v>129128.54477629196</v>
      </c>
      <c r="H126" s="159"/>
      <c r="I126" s="159"/>
    </row>
    <row r="127" spans="1:9">
      <c r="A127" s="155"/>
      <c r="B127" s="123" t="s">
        <v>130</v>
      </c>
      <c r="C127" s="16">
        <f>+SUMIFS(TablaGeneral[Tractor con acoplado],TablaGeneral[Finca],C116)</f>
        <v>40.000979559851118</v>
      </c>
      <c r="D127" s="16">
        <f t="shared" si="16"/>
        <v>400.00979559851118</v>
      </c>
      <c r="E127" s="16">
        <f t="shared" si="17"/>
        <v>8.6668789046344088</v>
      </c>
      <c r="F127" s="16">
        <f>+AVERAGE(Tabla2[Combustible])*D127*1.08</f>
        <v>527431.29100433679</v>
      </c>
      <c r="G127" s="16">
        <f>+AVERAGE(Tabla2[Lubricantes])*E127*1.08</f>
        <v>62991.59077116839</v>
      </c>
      <c r="H127" s="159"/>
      <c r="I127" s="159"/>
    </row>
    <row r="128" spans="1:9">
      <c r="A128" s="156" t="s">
        <v>147</v>
      </c>
      <c r="B128" s="124" t="s">
        <v>143</v>
      </c>
      <c r="C128" s="16">
        <f>+SUMIFS(TablaGeneral[Tractor Volcado de bins],TablaGeneral[Finca],C116)</f>
        <v>76.935685442088015</v>
      </c>
      <c r="D128" s="16">
        <f t="shared" si="16"/>
        <v>769.35685442088015</v>
      </c>
      <c r="E128" s="16">
        <f t="shared" si="17"/>
        <v>16.669398512452403</v>
      </c>
      <c r="F128" s="16">
        <f>+AVERAGE(Tabla2[Combustible])*D128*1.08</f>
        <v>1014432.3549954353</v>
      </c>
      <c r="G128" s="16">
        <f>+AVERAGE(Tabla2[Lubricantes])*E128*1.08</f>
        <v>121154.56337303214</v>
      </c>
      <c r="H128" s="158">
        <f>+SUM(F128:G132)</f>
        <v>1861022.9725853808</v>
      </c>
      <c r="I128" s="158">
        <v>195.43</v>
      </c>
    </row>
    <row r="129" spans="1:9">
      <c r="A129" s="156"/>
      <c r="B129" s="124" t="s">
        <v>144</v>
      </c>
      <c r="C129" s="16">
        <f>+SUMIFS(TablaGeneral[Tractor Cincelado de piedras],TablaGeneral[Finca],C116)</f>
        <v>0</v>
      </c>
      <c r="D129" s="16">
        <f t="shared" si="16"/>
        <v>0</v>
      </c>
      <c r="E129" s="16">
        <f t="shared" si="17"/>
        <v>0</v>
      </c>
      <c r="F129" s="16">
        <f>+AVERAGE(Tabla2[Combustible])*D129*1.08</f>
        <v>0</v>
      </c>
      <c r="G129" s="16">
        <f>+AVERAGE(Tabla2[Lubricantes])*E129*1.08</f>
        <v>0</v>
      </c>
      <c r="H129" s="159"/>
      <c r="I129" s="158"/>
    </row>
    <row r="130" spans="1:9">
      <c r="A130" s="156"/>
      <c r="B130" s="124" t="s">
        <v>145</v>
      </c>
      <c r="C130" s="16">
        <f>+SUMIFS(TablaGeneral[Tractor Carga de pasa],TablaGeneral[Finca],C116)</f>
        <v>0</v>
      </c>
      <c r="D130" s="16">
        <f t="shared" si="16"/>
        <v>0</v>
      </c>
      <c r="E130" s="16">
        <f t="shared" si="17"/>
        <v>0</v>
      </c>
      <c r="F130" s="16">
        <f>+AVERAGE(Tabla2[Combustible])*D130*1.08</f>
        <v>0</v>
      </c>
      <c r="G130" s="16">
        <f>+AVERAGE(Tabla2[Lubricantes])*E130*1.08</f>
        <v>0</v>
      </c>
      <c r="H130" s="159"/>
      <c r="I130" s="158"/>
    </row>
    <row r="131" spans="1:9">
      <c r="A131" s="156"/>
      <c r="B131" s="124" t="s">
        <v>146</v>
      </c>
      <c r="C131" s="16">
        <f>+SUMIFS(TablaGeneral[Tractor Descarga y carga de bines con tracto elevador],TablaGeneral[Finca],C116)</f>
        <v>25.366919286039668</v>
      </c>
      <c r="D131" s="16">
        <f t="shared" si="16"/>
        <v>253.66919286039666</v>
      </c>
      <c r="E131" s="16">
        <f t="shared" si="17"/>
        <v>5.4961658453085942</v>
      </c>
      <c r="F131" s="16">
        <f>+AVERAGE(Tabla2[Combustible])*D131*1.08</f>
        <v>334474.48375158012</v>
      </c>
      <c r="G131" s="16">
        <f>+AVERAGE(Tabla2[Lubricantes])*E131*1.08</f>
        <v>39946.586717973281</v>
      </c>
      <c r="H131" s="159"/>
      <c r="I131" s="158"/>
    </row>
    <row r="132" spans="1:9">
      <c r="A132" s="156"/>
      <c r="B132" s="124" t="s">
        <v>142</v>
      </c>
      <c r="C132" s="16">
        <f>+SUMIFS(TablaGeneral[Descarga y carga de bines con Autoelevador],TablaGeneral[Finca],C116)</f>
        <v>23.781163676881956</v>
      </c>
      <c r="D132" s="16">
        <f t="shared" si="16"/>
        <v>237.81163676881957</v>
      </c>
      <c r="E132" s="16">
        <f t="shared" si="17"/>
        <v>5.1525854633244244</v>
      </c>
      <c r="F132" s="16">
        <f>+AVERAGE(Tabla2[Combustible])*D132*1.08</f>
        <v>313565.56758606475</v>
      </c>
      <c r="G132" s="16">
        <f>+AVERAGE(Tabla2[Lubricantes])*E132*1.08</f>
        <v>37449.416161295077</v>
      </c>
      <c r="H132" s="159"/>
      <c r="I132" s="158"/>
    </row>
    <row r="133" spans="1:9">
      <c r="A133" s="29"/>
      <c r="B133" s="29"/>
      <c r="C133" s="128">
        <f t="shared" ref="C133:I133" si="18">SUM(C118:C132)</f>
        <v>478.75065533079095</v>
      </c>
      <c r="D133" s="128">
        <f t="shared" si="18"/>
        <v>4787.5065533079105</v>
      </c>
      <c r="E133" s="128">
        <f t="shared" si="18"/>
        <v>103.72930865500473</v>
      </c>
      <c r="F133" s="128">
        <f t="shared" si="18"/>
        <v>6312547.3173095267</v>
      </c>
      <c r="G133" s="128">
        <f t="shared" si="18"/>
        <v>753913.1714737966</v>
      </c>
      <c r="H133" s="16">
        <f t="shared" si="18"/>
        <v>7066460.4887833232</v>
      </c>
      <c r="I133" s="16">
        <f t="shared" si="18"/>
        <v>4767.5</v>
      </c>
    </row>
    <row r="134" spans="1:9">
      <c r="C134" s="47">
        <f>+C133/SUMIF(TablaGeneral[Finca],C116,TablaGeneral[Has])</f>
        <v>4.8334240820877428</v>
      </c>
      <c r="D134" s="47">
        <f>+D133/SUMIF(TablaGeneral[Finca],C116,TablaGeneral[Has])</f>
        <v>48.334240820877433</v>
      </c>
      <c r="E134" s="47">
        <f>+E133/SUMIF(TablaGeneral[Finca],C116,TablaGeneral[Has])</f>
        <v>1.0472418844523443</v>
      </c>
      <c r="F134" s="47">
        <f>+F133/SUMIF(TablaGeneral[Finca],C116,TablaGeneral[Has])</f>
        <v>63730.916883488397</v>
      </c>
      <c r="G134" s="47">
        <f>+G133/SUMIF(TablaGeneral[Finca],C116,TablaGeneral[Has])</f>
        <v>7611.4403985239423</v>
      </c>
      <c r="H134" s="47">
        <f>+H133/SUMIF(TablaGeneral[Finca],C116,TablaGeneral[Has])</f>
        <v>71342.357282012337</v>
      </c>
      <c r="I134" s="47">
        <f>+I133/SUMIF(TablaGeneral[Finca],C116,TablaGeneral[Has])</f>
        <v>48.132256436143358</v>
      </c>
    </row>
    <row r="135" spans="1:9">
      <c r="B135" s="124" t="s">
        <v>431</v>
      </c>
      <c r="C135" s="47">
        <f>+SUM(C118:C124)/SUMIF(TablaGeneral[Finca],C116,TablaGeneral[Has])</f>
        <v>1.9249429293298532</v>
      </c>
      <c r="E135" s="160" t="s">
        <v>425</v>
      </c>
      <c r="F135" s="160"/>
      <c r="G135" s="160"/>
      <c r="H135" s="47">
        <f>+H118/SUMIF(TablaGeneral[Finca],C116,TablaGeneral[Has])</f>
        <v>28412.562994558444</v>
      </c>
      <c r="I135" s="47">
        <f>+I118/SUMIF(TablaGeneral[Finca],C116,TablaGeneral[Has])</f>
        <v>34.815446744068645</v>
      </c>
    </row>
    <row r="136" spans="1:9">
      <c r="B136" s="124" t="s">
        <v>131</v>
      </c>
      <c r="C136" s="47">
        <f>+SUM(C125:C127)/SUMIF(TablaGeneral[Finca],C116,TablaGeneral[Has])</f>
        <v>1.6355506287295241</v>
      </c>
      <c r="E136" s="160" t="s">
        <v>131</v>
      </c>
      <c r="F136" s="160"/>
      <c r="G136" s="160"/>
      <c r="H136" s="47">
        <f>+H125/SUMIF(TablaGeneral[Finca],C116,TablaGeneral[Has])</f>
        <v>24141.071696990693</v>
      </c>
      <c r="I136" s="47">
        <f>+I125/SUMIF(TablaGeneral[Finca],C116,TablaGeneral[Has])</f>
        <v>11.343765774861179</v>
      </c>
    </row>
    <row r="137" spans="1:9">
      <c r="B137" s="124" t="s">
        <v>147</v>
      </c>
      <c r="C137" s="47">
        <f>+SUM(C128:C132)/SUMIF(TablaGeneral[Finca],C116,TablaGeneral[Has])</f>
        <v>1.2729305240283657</v>
      </c>
      <c r="E137" s="160" t="s">
        <v>147</v>
      </c>
      <c r="F137" s="160"/>
      <c r="G137" s="160"/>
      <c r="H137" s="47">
        <f>+H128/SUMIF(TablaGeneral[Finca],C116,TablaGeneral[Has])</f>
        <v>18788.722590463207</v>
      </c>
      <c r="I137" s="47">
        <f>+I128/SUMIF(TablaGeneral[Finca],C116,TablaGeneral[Has])</f>
        <v>1.9730439172135283</v>
      </c>
    </row>
  </sheetData>
  <mergeCells count="84">
    <mergeCell ref="E135:G135"/>
    <mergeCell ref="E136:G136"/>
    <mergeCell ref="E137:G137"/>
    <mergeCell ref="A116:B117"/>
    <mergeCell ref="C116:D116"/>
    <mergeCell ref="A118:A123"/>
    <mergeCell ref="A128:A132"/>
    <mergeCell ref="A125:A127"/>
    <mergeCell ref="H105:H109"/>
    <mergeCell ref="I105:I109"/>
    <mergeCell ref="E112:G112"/>
    <mergeCell ref="E113:G113"/>
    <mergeCell ref="I128:I132"/>
    <mergeCell ref="H118:H124"/>
    <mergeCell ref="H128:H132"/>
    <mergeCell ref="I118:I124"/>
    <mergeCell ref="H125:H127"/>
    <mergeCell ref="I125:I127"/>
    <mergeCell ref="E114:G114"/>
    <mergeCell ref="H102:H104"/>
    <mergeCell ref="I102:I104"/>
    <mergeCell ref="A82:A86"/>
    <mergeCell ref="H82:H86"/>
    <mergeCell ref="I82:I86"/>
    <mergeCell ref="E89:G89"/>
    <mergeCell ref="E90:G90"/>
    <mergeCell ref="E91:G91"/>
    <mergeCell ref="A93:B94"/>
    <mergeCell ref="C93:D93"/>
    <mergeCell ref="A95:A100"/>
    <mergeCell ref="H95:H101"/>
    <mergeCell ref="I95:I101"/>
    <mergeCell ref="A105:A109"/>
    <mergeCell ref="A79:A81"/>
    <mergeCell ref="H79:H81"/>
    <mergeCell ref="I79:I81"/>
    <mergeCell ref="A59:A63"/>
    <mergeCell ref="H59:H63"/>
    <mergeCell ref="I59:I63"/>
    <mergeCell ref="E66:G66"/>
    <mergeCell ref="E67:G67"/>
    <mergeCell ref="E68:G68"/>
    <mergeCell ref="A70:B71"/>
    <mergeCell ref="C70:D70"/>
    <mergeCell ref="A72:A77"/>
    <mergeCell ref="H72:H78"/>
    <mergeCell ref="I72:I78"/>
    <mergeCell ref="A102:A104"/>
    <mergeCell ref="A56:A58"/>
    <mergeCell ref="H56:H58"/>
    <mergeCell ref="I56:I58"/>
    <mergeCell ref="A36:A40"/>
    <mergeCell ref="H36:H40"/>
    <mergeCell ref="I36:I40"/>
    <mergeCell ref="E43:G43"/>
    <mergeCell ref="E44:G44"/>
    <mergeCell ref="E45:G45"/>
    <mergeCell ref="A47:B48"/>
    <mergeCell ref="C47:D47"/>
    <mergeCell ref="A49:A54"/>
    <mergeCell ref="H49:H55"/>
    <mergeCell ref="I49:I55"/>
    <mergeCell ref="A26:A31"/>
    <mergeCell ref="H26:H32"/>
    <mergeCell ref="I26:I32"/>
    <mergeCell ref="A33:A35"/>
    <mergeCell ref="H33:H35"/>
    <mergeCell ref="I33:I35"/>
    <mergeCell ref="E20:G20"/>
    <mergeCell ref="E21:G21"/>
    <mergeCell ref="E22:G22"/>
    <mergeCell ref="A24:B25"/>
    <mergeCell ref="C24:D24"/>
    <mergeCell ref="H3:H9"/>
    <mergeCell ref="I3:I9"/>
    <mergeCell ref="H10:H12"/>
    <mergeCell ref="I10:I12"/>
    <mergeCell ref="H13:H17"/>
    <mergeCell ref="I13:I17"/>
    <mergeCell ref="C1:D1"/>
    <mergeCell ref="A3:A8"/>
    <mergeCell ref="A10:A12"/>
    <mergeCell ref="A13:A17"/>
    <mergeCell ref="A1:B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49"/>
  <sheetViews>
    <sheetView workbookViewId="0">
      <selection activeCell="B1" sqref="B1"/>
    </sheetView>
  </sheetViews>
  <sheetFormatPr baseColWidth="10" defaultRowHeight="15"/>
  <cols>
    <col min="1" max="2" width="16.42578125" bestFit="1" customWidth="1"/>
    <col min="3" max="3" width="11.42578125" bestFit="1" customWidth="1"/>
    <col min="4" max="8" width="12" bestFit="1" customWidth="1"/>
    <col min="9" max="9" width="13.7109375" bestFit="1" customWidth="1"/>
    <col min="10" max="10" width="12" bestFit="1" customWidth="1"/>
    <col min="11" max="11" width="13.28515625" bestFit="1" customWidth="1"/>
    <col min="12" max="12" width="12.42578125" bestFit="1" customWidth="1"/>
    <col min="13" max="16" width="12" bestFit="1" customWidth="1"/>
  </cols>
  <sheetData>
    <row r="1" spans="1:4">
      <c r="A1" t="s">
        <v>0</v>
      </c>
      <c r="B1" t="s">
        <v>364</v>
      </c>
      <c r="C1" t="s">
        <v>365</v>
      </c>
      <c r="D1" t="s">
        <v>366</v>
      </c>
    </row>
    <row r="2" spans="1:4">
      <c r="A2" t="s">
        <v>8</v>
      </c>
      <c r="B2" t="s">
        <v>336</v>
      </c>
      <c r="C2" t="s">
        <v>88</v>
      </c>
      <c r="D2">
        <v>851.01123751765749</v>
      </c>
    </row>
    <row r="3" spans="1:4">
      <c r="A3" t="s">
        <v>8</v>
      </c>
      <c r="B3" t="s">
        <v>336</v>
      </c>
      <c r="C3" t="s">
        <v>89</v>
      </c>
      <c r="D3">
        <v>1210.6493248240752</v>
      </c>
    </row>
    <row r="4" spans="1:4">
      <c r="A4" t="s">
        <v>8</v>
      </c>
      <c r="B4" t="s">
        <v>336</v>
      </c>
      <c r="C4" t="s">
        <v>90</v>
      </c>
      <c r="D4">
        <v>866.89070666732641</v>
      </c>
    </row>
    <row r="5" spans="1:4">
      <c r="A5" t="s">
        <v>8</v>
      </c>
      <c r="B5" t="s">
        <v>336</v>
      </c>
      <c r="C5" t="s">
        <v>91</v>
      </c>
      <c r="D5">
        <v>884.40538793899555</v>
      </c>
    </row>
    <row r="6" spans="1:4">
      <c r="A6" t="s">
        <v>8</v>
      </c>
      <c r="B6" t="s">
        <v>336</v>
      </c>
      <c r="C6" t="s">
        <v>92</v>
      </c>
      <c r="D6">
        <v>843.3383787503019</v>
      </c>
    </row>
    <row r="7" spans="1:4">
      <c r="A7" t="s">
        <v>8</v>
      </c>
      <c r="B7" t="s">
        <v>336</v>
      </c>
      <c r="C7" t="s">
        <v>93</v>
      </c>
      <c r="D7">
        <v>894.07149544090396</v>
      </c>
    </row>
    <row r="8" spans="1:4">
      <c r="A8" t="s">
        <v>8</v>
      </c>
      <c r="B8" t="s">
        <v>336</v>
      </c>
      <c r="C8" t="s">
        <v>94</v>
      </c>
      <c r="D8">
        <v>852.67927282475296</v>
      </c>
    </row>
    <row r="9" spans="1:4">
      <c r="A9" t="s">
        <v>8</v>
      </c>
      <c r="B9" t="s">
        <v>336</v>
      </c>
      <c r="C9" t="s">
        <v>95</v>
      </c>
      <c r="D9">
        <v>1294.0647810767125</v>
      </c>
    </row>
    <row r="10" spans="1:4">
      <c r="A10" t="s">
        <v>8</v>
      </c>
      <c r="B10" t="s">
        <v>336</v>
      </c>
      <c r="C10" t="s">
        <v>96</v>
      </c>
      <c r="D10">
        <v>574.2363482284768</v>
      </c>
    </row>
    <row r="11" spans="1:4">
      <c r="A11" t="s">
        <v>8</v>
      </c>
      <c r="B11" t="s">
        <v>336</v>
      </c>
      <c r="C11" t="s">
        <v>97</v>
      </c>
      <c r="D11">
        <v>249.21215473275143</v>
      </c>
    </row>
    <row r="12" spans="1:4">
      <c r="A12" t="s">
        <v>8</v>
      </c>
      <c r="B12" t="s">
        <v>336</v>
      </c>
      <c r="C12" t="s">
        <v>98</v>
      </c>
      <c r="D12">
        <v>258.6750438054238</v>
      </c>
    </row>
    <row r="13" spans="1:4">
      <c r="A13" t="s">
        <v>8</v>
      </c>
      <c r="B13" t="s">
        <v>336</v>
      </c>
      <c r="C13" t="s">
        <v>99</v>
      </c>
      <c r="D13">
        <v>258.65599263090098</v>
      </c>
    </row>
    <row r="14" spans="1:4">
      <c r="A14" t="s">
        <v>8</v>
      </c>
      <c r="B14" t="s">
        <v>337</v>
      </c>
      <c r="C14" t="s">
        <v>88</v>
      </c>
      <c r="D14">
        <v>6963.6492407975165</v>
      </c>
    </row>
    <row r="15" spans="1:4">
      <c r="A15" t="s">
        <v>8</v>
      </c>
      <c r="B15" t="s">
        <v>337</v>
      </c>
      <c r="C15" t="s">
        <v>89</v>
      </c>
      <c r="D15">
        <v>9936.4788411053614</v>
      </c>
    </row>
    <row r="16" spans="1:4">
      <c r="A16" t="s">
        <v>8</v>
      </c>
      <c r="B16" t="s">
        <v>337</v>
      </c>
      <c r="C16" t="s">
        <v>90</v>
      </c>
      <c r="D16">
        <v>7134.0471558062691</v>
      </c>
    </row>
    <row r="17" spans="1:4">
      <c r="A17" t="s">
        <v>8</v>
      </c>
      <c r="B17" t="s">
        <v>337</v>
      </c>
      <c r="C17" t="s">
        <v>91</v>
      </c>
      <c r="D17">
        <v>7276.7626670822365</v>
      </c>
    </row>
    <row r="18" spans="1:4">
      <c r="A18" t="s">
        <v>8</v>
      </c>
      <c r="B18" t="s">
        <v>337</v>
      </c>
      <c r="C18" t="s">
        <v>92</v>
      </c>
      <c r="D18">
        <v>6933.2840594649997</v>
      </c>
    </row>
    <row r="19" spans="1:4">
      <c r="A19" t="s">
        <v>8</v>
      </c>
      <c r="B19" t="s">
        <v>337</v>
      </c>
      <c r="C19" t="s">
        <v>93</v>
      </c>
      <c r="D19">
        <v>7360.9771055613373</v>
      </c>
    </row>
    <row r="20" spans="1:4">
      <c r="A20" t="s">
        <v>8</v>
      </c>
      <c r="B20" t="s">
        <v>337</v>
      </c>
      <c r="C20" t="s">
        <v>94</v>
      </c>
      <c r="D20">
        <v>7014.7366487602803</v>
      </c>
    </row>
    <row r="21" spans="1:4">
      <c r="A21" t="s">
        <v>8</v>
      </c>
      <c r="B21" t="s">
        <v>337</v>
      </c>
      <c r="C21" t="s">
        <v>95</v>
      </c>
      <c r="D21">
        <v>10650.7046850856</v>
      </c>
    </row>
    <row r="22" spans="1:4">
      <c r="A22" t="s">
        <v>8</v>
      </c>
      <c r="B22" t="s">
        <v>337</v>
      </c>
      <c r="C22" t="s">
        <v>96</v>
      </c>
      <c r="D22">
        <v>4729.4499680636809</v>
      </c>
    </row>
    <row r="23" spans="1:4">
      <c r="A23" t="s">
        <v>8</v>
      </c>
      <c r="B23" t="s">
        <v>337</v>
      </c>
      <c r="C23" t="s">
        <v>97</v>
      </c>
      <c r="D23">
        <v>2050.3557538241539</v>
      </c>
    </row>
    <row r="24" spans="1:4">
      <c r="A24" t="s">
        <v>8</v>
      </c>
      <c r="B24" t="s">
        <v>337</v>
      </c>
      <c r="C24" t="s">
        <v>98</v>
      </c>
      <c r="D24">
        <v>2130.2785485614863</v>
      </c>
    </row>
    <row r="25" spans="1:4">
      <c r="A25" t="s">
        <v>8</v>
      </c>
      <c r="B25" t="s">
        <v>337</v>
      </c>
      <c r="C25" t="s">
        <v>99</v>
      </c>
      <c r="D25">
        <v>2130.5420359601376</v>
      </c>
    </row>
    <row r="26" spans="1:4">
      <c r="A26" t="s">
        <v>8</v>
      </c>
      <c r="B26" t="s">
        <v>333</v>
      </c>
      <c r="C26" t="s">
        <v>88</v>
      </c>
      <c r="D26">
        <v>1089.4159916451429</v>
      </c>
    </row>
    <row r="27" spans="1:4">
      <c r="A27" t="s">
        <v>8</v>
      </c>
      <c r="B27" t="s">
        <v>333</v>
      </c>
      <c r="C27" t="s">
        <v>89</v>
      </c>
      <c r="D27">
        <v>1845.6531779010911</v>
      </c>
    </row>
    <row r="28" spans="1:4">
      <c r="A28" t="s">
        <v>8</v>
      </c>
      <c r="B28" t="s">
        <v>333</v>
      </c>
      <c r="C28" t="s">
        <v>90</v>
      </c>
      <c r="D28">
        <v>1112.0686079445989</v>
      </c>
    </row>
    <row r="29" spans="1:4">
      <c r="A29" t="s">
        <v>8</v>
      </c>
      <c r="B29" t="s">
        <v>333</v>
      </c>
      <c r="C29" t="s">
        <v>91</v>
      </c>
      <c r="D29">
        <v>1164.2624941058932</v>
      </c>
    </row>
    <row r="30" spans="1:4">
      <c r="A30" t="s">
        <v>8</v>
      </c>
      <c r="B30" t="s">
        <v>333</v>
      </c>
      <c r="C30" t="s">
        <v>92</v>
      </c>
      <c r="D30">
        <v>1082.8744889588356</v>
      </c>
    </row>
    <row r="31" spans="1:4">
      <c r="A31" t="s">
        <v>8</v>
      </c>
      <c r="B31" t="s">
        <v>333</v>
      </c>
      <c r="C31" t="s">
        <v>93</v>
      </c>
      <c r="D31">
        <v>1199.9001170120168</v>
      </c>
    </row>
    <row r="32" spans="1:4">
      <c r="A32" t="s">
        <v>8</v>
      </c>
      <c r="B32" t="s">
        <v>333</v>
      </c>
      <c r="C32" t="s">
        <v>94</v>
      </c>
      <c r="D32">
        <v>1117.6630270947569</v>
      </c>
    </row>
    <row r="33" spans="1:4">
      <c r="A33" t="s">
        <v>8</v>
      </c>
      <c r="B33" t="s">
        <v>333</v>
      </c>
      <c r="C33" t="s">
        <v>95</v>
      </c>
      <c r="D33">
        <v>2062.3042694254491</v>
      </c>
    </row>
    <row r="34" spans="1:4">
      <c r="A34" t="s">
        <v>8</v>
      </c>
      <c r="B34" t="s">
        <v>333</v>
      </c>
      <c r="C34" t="s">
        <v>96</v>
      </c>
      <c r="D34">
        <v>1198.4784024523151</v>
      </c>
    </row>
    <row r="35" spans="1:4">
      <c r="A35" t="s">
        <v>8</v>
      </c>
      <c r="B35" t="s">
        <v>333</v>
      </c>
      <c r="C35" t="s">
        <v>97</v>
      </c>
      <c r="D35">
        <v>1091.5064179060291</v>
      </c>
    </row>
    <row r="36" spans="1:4">
      <c r="A36" t="s">
        <v>8</v>
      </c>
      <c r="B36" t="s">
        <v>333</v>
      </c>
      <c r="C36" t="s">
        <v>98</v>
      </c>
      <c r="D36">
        <v>1166.6839138962173</v>
      </c>
    </row>
    <row r="37" spans="1:4">
      <c r="A37" t="s">
        <v>8</v>
      </c>
      <c r="B37" t="s">
        <v>333</v>
      </c>
      <c r="C37" t="s">
        <v>99</v>
      </c>
      <c r="D37">
        <v>1173.4539602844025</v>
      </c>
    </row>
    <row r="38" spans="1:4">
      <c r="A38" t="s">
        <v>8</v>
      </c>
      <c r="B38" t="s">
        <v>335</v>
      </c>
      <c r="C38" t="s">
        <v>88</v>
      </c>
      <c r="D38">
        <v>606.89060189145835</v>
      </c>
    </row>
    <row r="39" spans="1:4">
      <c r="A39" t="s">
        <v>8</v>
      </c>
      <c r="B39" t="s">
        <v>335</v>
      </c>
      <c r="C39" t="s">
        <v>89</v>
      </c>
      <c r="D39">
        <v>613.43399046943216</v>
      </c>
    </row>
    <row r="40" spans="1:4">
      <c r="A40" t="s">
        <v>8</v>
      </c>
      <c r="B40" t="s">
        <v>335</v>
      </c>
      <c r="C40" t="s">
        <v>90</v>
      </c>
      <c r="D40">
        <v>619.97250357863743</v>
      </c>
    </row>
    <row r="41" spans="1:4">
      <c r="A41" t="s">
        <v>8</v>
      </c>
      <c r="B41" t="s">
        <v>335</v>
      </c>
      <c r="C41" t="s">
        <v>91</v>
      </c>
      <c r="D41">
        <v>622.21813566394565</v>
      </c>
    </row>
    <row r="42" spans="1:4">
      <c r="A42" t="s">
        <v>8</v>
      </c>
      <c r="B42" t="s">
        <v>335</v>
      </c>
      <c r="C42" t="s">
        <v>92</v>
      </c>
      <c r="D42">
        <v>657.78935085329192</v>
      </c>
    </row>
    <row r="43" spans="1:4">
      <c r="A43" t="s">
        <v>8</v>
      </c>
      <c r="B43" t="s">
        <v>335</v>
      </c>
      <c r="C43" t="s">
        <v>93</v>
      </c>
      <c r="D43">
        <v>659.95776143022522</v>
      </c>
    </row>
    <row r="44" spans="1:4">
      <c r="A44" t="s">
        <v>8</v>
      </c>
      <c r="B44" t="s">
        <v>335</v>
      </c>
      <c r="C44" t="s">
        <v>94</v>
      </c>
      <c r="D44">
        <v>662.20662410633497</v>
      </c>
    </row>
    <row r="45" spans="1:4">
      <c r="A45" t="s">
        <v>8</v>
      </c>
      <c r="B45" t="s">
        <v>335</v>
      </c>
      <c r="C45" t="s">
        <v>95</v>
      </c>
      <c r="D45">
        <v>664.43926625789095</v>
      </c>
    </row>
    <row r="46" spans="1:4">
      <c r="A46" t="s">
        <v>8</v>
      </c>
      <c r="B46" t="s">
        <v>335</v>
      </c>
      <c r="C46" t="s">
        <v>96</v>
      </c>
      <c r="D46">
        <v>666.74695371756195</v>
      </c>
    </row>
    <row r="47" spans="1:4">
      <c r="A47" t="s">
        <v>8</v>
      </c>
      <c r="B47" t="s">
        <v>335</v>
      </c>
      <c r="C47" t="s">
        <v>97</v>
      </c>
      <c r="D47">
        <v>669.03498388377773</v>
      </c>
    </row>
    <row r="48" spans="1:4">
      <c r="A48" t="s">
        <v>8</v>
      </c>
      <c r="B48" t="s">
        <v>335</v>
      </c>
      <c r="C48" t="s">
        <v>98</v>
      </c>
      <c r="D48">
        <v>671.43802431094355</v>
      </c>
    </row>
    <row r="49" spans="1:4">
      <c r="A49" t="s">
        <v>8</v>
      </c>
      <c r="B49" t="s">
        <v>335</v>
      </c>
      <c r="C49" t="s">
        <v>99</v>
      </c>
      <c r="D49">
        <v>673.81727225863244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61"/>
  <sheetViews>
    <sheetView workbookViewId="0">
      <selection activeCell="D2" sqref="D2"/>
    </sheetView>
  </sheetViews>
  <sheetFormatPr baseColWidth="10" defaultRowHeight="15"/>
  <cols>
    <col min="1" max="1" width="16.42578125" bestFit="1" customWidth="1"/>
    <col min="3" max="3" width="12" bestFit="1" customWidth="1"/>
    <col min="4" max="4" width="12.42578125" bestFit="1" customWidth="1"/>
  </cols>
  <sheetData>
    <row r="1" spans="1:4">
      <c r="A1" t="s">
        <v>0</v>
      </c>
      <c r="B1" t="s">
        <v>365</v>
      </c>
      <c r="C1" t="s">
        <v>366</v>
      </c>
      <c r="D1" t="s">
        <v>364</v>
      </c>
    </row>
    <row r="2" spans="1:4">
      <c r="A2" t="s">
        <v>8</v>
      </c>
      <c r="B2" t="s">
        <v>88</v>
      </c>
      <c r="C2">
        <v>21.1864406779661</v>
      </c>
      <c r="D2" t="s">
        <v>340</v>
      </c>
    </row>
    <row r="3" spans="1:4">
      <c r="A3" t="s">
        <v>8</v>
      </c>
      <c r="B3" t="s">
        <v>89</v>
      </c>
      <c r="C3">
        <v>21.1864406779661</v>
      </c>
      <c r="D3" t="s">
        <v>340</v>
      </c>
    </row>
    <row r="4" spans="1:4">
      <c r="A4" t="s">
        <v>8</v>
      </c>
      <c r="B4" t="s">
        <v>90</v>
      </c>
      <c r="C4">
        <v>21.1864406779661</v>
      </c>
      <c r="D4" t="s">
        <v>340</v>
      </c>
    </row>
    <row r="5" spans="1:4">
      <c r="A5" t="s">
        <v>8</v>
      </c>
      <c r="B5" t="s">
        <v>91</v>
      </c>
      <c r="C5">
        <v>21.1864406779661</v>
      </c>
      <c r="D5" t="s">
        <v>340</v>
      </c>
    </row>
    <row r="6" spans="1:4">
      <c r="A6" t="s">
        <v>8</v>
      </c>
      <c r="B6" t="s">
        <v>92</v>
      </c>
      <c r="C6">
        <v>21.1864406779661</v>
      </c>
      <c r="D6" t="s">
        <v>340</v>
      </c>
    </row>
    <row r="7" spans="1:4">
      <c r="A7" t="s">
        <v>8</v>
      </c>
      <c r="B7" t="s">
        <v>93</v>
      </c>
      <c r="C7">
        <v>21.1864406779661</v>
      </c>
      <c r="D7" t="s">
        <v>340</v>
      </c>
    </row>
    <row r="8" spans="1:4">
      <c r="A8" t="s">
        <v>8</v>
      </c>
      <c r="B8" t="s">
        <v>94</v>
      </c>
      <c r="C8">
        <v>21.1864406779661</v>
      </c>
      <c r="D8" t="s">
        <v>340</v>
      </c>
    </row>
    <row r="9" spans="1:4">
      <c r="A9" t="s">
        <v>8</v>
      </c>
      <c r="B9" t="s">
        <v>95</v>
      </c>
      <c r="C9">
        <v>84.745762711864401</v>
      </c>
      <c r="D9" t="s">
        <v>340</v>
      </c>
    </row>
    <row r="10" spans="1:4">
      <c r="A10" t="s">
        <v>8</v>
      </c>
      <c r="B10" t="s">
        <v>96</v>
      </c>
      <c r="C10">
        <v>84.745762711864401</v>
      </c>
      <c r="D10" t="s">
        <v>340</v>
      </c>
    </row>
    <row r="11" spans="1:4">
      <c r="A11" t="s">
        <v>8</v>
      </c>
      <c r="B11" t="s">
        <v>97</v>
      </c>
      <c r="C11">
        <v>84.745762711864401</v>
      </c>
      <c r="D11" t="s">
        <v>340</v>
      </c>
    </row>
    <row r="12" spans="1:4">
      <c r="A12" t="s">
        <v>8</v>
      </c>
      <c r="B12" t="s">
        <v>98</v>
      </c>
      <c r="C12">
        <v>21.1864406779661</v>
      </c>
      <c r="D12" t="s">
        <v>340</v>
      </c>
    </row>
    <row r="13" spans="1:4">
      <c r="A13" t="s">
        <v>8</v>
      </c>
      <c r="B13" t="s">
        <v>99</v>
      </c>
      <c r="C13">
        <v>21.1864406779661</v>
      </c>
      <c r="D13" t="s">
        <v>340</v>
      </c>
    </row>
    <row r="14" spans="1:4">
      <c r="A14" t="s">
        <v>12</v>
      </c>
      <c r="B14" t="s">
        <v>88</v>
      </c>
      <c r="C14">
        <v>12.711864406779659</v>
      </c>
      <c r="D14" t="s">
        <v>340</v>
      </c>
    </row>
    <row r="15" spans="1:4">
      <c r="A15" t="s">
        <v>12</v>
      </c>
      <c r="B15" t="s">
        <v>89</v>
      </c>
      <c r="C15">
        <v>12.711864406779659</v>
      </c>
      <c r="D15" t="s">
        <v>340</v>
      </c>
    </row>
    <row r="16" spans="1:4">
      <c r="A16" t="s">
        <v>12</v>
      </c>
      <c r="B16" t="s">
        <v>90</v>
      </c>
      <c r="C16">
        <v>12.711864406779659</v>
      </c>
      <c r="D16" t="s">
        <v>340</v>
      </c>
    </row>
    <row r="17" spans="1:4">
      <c r="A17" t="s">
        <v>12</v>
      </c>
      <c r="B17" t="s">
        <v>91</v>
      </c>
      <c r="C17">
        <v>12.711864406779659</v>
      </c>
      <c r="D17" t="s">
        <v>340</v>
      </c>
    </row>
    <row r="18" spans="1:4">
      <c r="A18" t="s">
        <v>12</v>
      </c>
      <c r="B18" t="s">
        <v>92</v>
      </c>
      <c r="C18">
        <v>12.711864406779659</v>
      </c>
      <c r="D18" t="s">
        <v>340</v>
      </c>
    </row>
    <row r="19" spans="1:4">
      <c r="A19" t="s">
        <v>12</v>
      </c>
      <c r="B19" t="s">
        <v>93</v>
      </c>
      <c r="C19">
        <v>12.711864406779659</v>
      </c>
      <c r="D19" t="s">
        <v>340</v>
      </c>
    </row>
    <row r="20" spans="1:4">
      <c r="A20" t="s">
        <v>12</v>
      </c>
      <c r="B20" t="s">
        <v>94</v>
      </c>
      <c r="C20">
        <v>12.711864406779659</v>
      </c>
      <c r="D20" t="s">
        <v>340</v>
      </c>
    </row>
    <row r="21" spans="1:4">
      <c r="A21" t="s">
        <v>12</v>
      </c>
      <c r="B21" t="s">
        <v>95</v>
      </c>
      <c r="C21">
        <v>50.847457627118636</v>
      </c>
      <c r="D21" t="s">
        <v>340</v>
      </c>
    </row>
    <row r="22" spans="1:4">
      <c r="A22" t="s">
        <v>12</v>
      </c>
      <c r="B22" t="s">
        <v>96</v>
      </c>
      <c r="C22">
        <v>50.847457627118636</v>
      </c>
      <c r="D22" t="s">
        <v>340</v>
      </c>
    </row>
    <row r="23" spans="1:4">
      <c r="A23" t="s">
        <v>12</v>
      </c>
      <c r="B23" t="s">
        <v>97</v>
      </c>
      <c r="C23">
        <v>50.847457627118636</v>
      </c>
      <c r="D23" t="s">
        <v>340</v>
      </c>
    </row>
    <row r="24" spans="1:4">
      <c r="A24" t="s">
        <v>12</v>
      </c>
      <c r="B24" t="s">
        <v>98</v>
      </c>
      <c r="C24">
        <v>12.711864406779659</v>
      </c>
      <c r="D24" t="s">
        <v>340</v>
      </c>
    </row>
    <row r="25" spans="1:4">
      <c r="A25" t="s">
        <v>12</v>
      </c>
      <c r="B25" t="s">
        <v>99</v>
      </c>
      <c r="C25">
        <v>12.711864406779659</v>
      </c>
      <c r="D25" t="s">
        <v>340</v>
      </c>
    </row>
    <row r="26" spans="1:4">
      <c r="A26" t="s">
        <v>4</v>
      </c>
      <c r="B26" t="s">
        <v>88</v>
      </c>
      <c r="C26">
        <v>8.4745762711864412</v>
      </c>
      <c r="D26" t="s">
        <v>340</v>
      </c>
    </row>
    <row r="27" spans="1:4">
      <c r="A27" t="s">
        <v>4</v>
      </c>
      <c r="B27" t="s">
        <v>89</v>
      </c>
      <c r="C27">
        <v>8.4745762711864412</v>
      </c>
      <c r="D27" t="s">
        <v>340</v>
      </c>
    </row>
    <row r="28" spans="1:4">
      <c r="A28" t="s">
        <v>4</v>
      </c>
      <c r="B28" t="s">
        <v>90</v>
      </c>
      <c r="C28">
        <v>8.4745762711864412</v>
      </c>
      <c r="D28" t="s">
        <v>340</v>
      </c>
    </row>
    <row r="29" spans="1:4">
      <c r="A29" t="s">
        <v>4</v>
      </c>
      <c r="B29" t="s">
        <v>91</v>
      </c>
      <c r="C29">
        <v>8.4745762711864412</v>
      </c>
      <c r="D29" t="s">
        <v>340</v>
      </c>
    </row>
    <row r="30" spans="1:4">
      <c r="A30" t="s">
        <v>4</v>
      </c>
      <c r="B30" t="s">
        <v>92</v>
      </c>
      <c r="C30">
        <v>8.4745762711864412</v>
      </c>
      <c r="D30" t="s">
        <v>340</v>
      </c>
    </row>
    <row r="31" spans="1:4">
      <c r="A31" t="s">
        <v>4</v>
      </c>
      <c r="B31" t="s">
        <v>93</v>
      </c>
      <c r="C31">
        <v>8.4745762711864412</v>
      </c>
      <c r="D31" t="s">
        <v>340</v>
      </c>
    </row>
    <row r="32" spans="1:4">
      <c r="A32" t="s">
        <v>4</v>
      </c>
      <c r="B32" t="s">
        <v>94</v>
      </c>
      <c r="C32">
        <v>8.4745762711864412</v>
      </c>
      <c r="D32" t="s">
        <v>340</v>
      </c>
    </row>
    <row r="33" spans="1:4">
      <c r="A33" t="s">
        <v>4</v>
      </c>
      <c r="B33" t="s">
        <v>95</v>
      </c>
      <c r="C33">
        <v>33.898305084745765</v>
      </c>
      <c r="D33" t="s">
        <v>340</v>
      </c>
    </row>
    <row r="34" spans="1:4">
      <c r="A34" t="s">
        <v>4</v>
      </c>
      <c r="B34" t="s">
        <v>96</v>
      </c>
      <c r="C34">
        <v>33.898305084745765</v>
      </c>
      <c r="D34" t="s">
        <v>340</v>
      </c>
    </row>
    <row r="35" spans="1:4">
      <c r="A35" t="s">
        <v>4</v>
      </c>
      <c r="B35" t="s">
        <v>97</v>
      </c>
      <c r="C35">
        <v>33.898305084745765</v>
      </c>
      <c r="D35" t="s">
        <v>340</v>
      </c>
    </row>
    <row r="36" spans="1:4">
      <c r="A36" t="s">
        <v>4</v>
      </c>
      <c r="B36" t="s">
        <v>98</v>
      </c>
      <c r="C36">
        <v>8.4745762711864412</v>
      </c>
      <c r="D36" t="s">
        <v>340</v>
      </c>
    </row>
    <row r="37" spans="1:4">
      <c r="A37" t="s">
        <v>4</v>
      </c>
      <c r="B37" t="s">
        <v>99</v>
      </c>
      <c r="C37">
        <v>8.4745762711864412</v>
      </c>
      <c r="D37" t="s">
        <v>340</v>
      </c>
    </row>
    <row r="38" spans="1:4">
      <c r="A38" t="s">
        <v>373</v>
      </c>
      <c r="B38" t="s">
        <v>88</v>
      </c>
      <c r="C38">
        <v>76.292372881355931</v>
      </c>
      <c r="D38" t="s">
        <v>340</v>
      </c>
    </row>
    <row r="39" spans="1:4">
      <c r="A39" t="s">
        <v>373</v>
      </c>
      <c r="B39" t="s">
        <v>89</v>
      </c>
      <c r="C39">
        <v>76.292372881355931</v>
      </c>
      <c r="D39" t="s">
        <v>340</v>
      </c>
    </row>
    <row r="40" spans="1:4">
      <c r="A40" t="s">
        <v>373</v>
      </c>
      <c r="B40" t="s">
        <v>90</v>
      </c>
      <c r="C40">
        <v>76.292372881355931</v>
      </c>
      <c r="D40" t="s">
        <v>340</v>
      </c>
    </row>
    <row r="41" spans="1:4">
      <c r="A41" t="s">
        <v>373</v>
      </c>
      <c r="B41" t="s">
        <v>91</v>
      </c>
      <c r="C41">
        <v>76.292372881355931</v>
      </c>
      <c r="D41" t="s">
        <v>340</v>
      </c>
    </row>
    <row r="42" spans="1:4">
      <c r="A42" t="s">
        <v>373</v>
      </c>
      <c r="B42" t="s">
        <v>92</v>
      </c>
      <c r="C42">
        <v>76.292372881355931</v>
      </c>
      <c r="D42" t="s">
        <v>340</v>
      </c>
    </row>
    <row r="43" spans="1:4">
      <c r="A43" t="s">
        <v>373</v>
      </c>
      <c r="B43" t="s">
        <v>93</v>
      </c>
      <c r="C43">
        <v>76.292372881355931</v>
      </c>
      <c r="D43" t="s">
        <v>340</v>
      </c>
    </row>
    <row r="44" spans="1:4">
      <c r="A44" t="s">
        <v>373</v>
      </c>
      <c r="B44" t="s">
        <v>94</v>
      </c>
      <c r="C44">
        <v>76.292372881355931</v>
      </c>
      <c r="D44" t="s">
        <v>340</v>
      </c>
    </row>
    <row r="45" spans="1:4">
      <c r="A45" t="s">
        <v>373</v>
      </c>
      <c r="B45" t="s">
        <v>95</v>
      </c>
      <c r="C45">
        <v>305.16949152542372</v>
      </c>
      <c r="D45" t="s">
        <v>340</v>
      </c>
    </row>
    <row r="46" spans="1:4">
      <c r="A46" t="s">
        <v>373</v>
      </c>
      <c r="B46" t="s">
        <v>96</v>
      </c>
      <c r="C46">
        <v>305.16949152542372</v>
      </c>
      <c r="D46" t="s">
        <v>340</v>
      </c>
    </row>
    <row r="47" spans="1:4">
      <c r="A47" t="s">
        <v>373</v>
      </c>
      <c r="B47" t="s">
        <v>97</v>
      </c>
      <c r="C47">
        <v>305.16949152542372</v>
      </c>
      <c r="D47" t="s">
        <v>340</v>
      </c>
    </row>
    <row r="48" spans="1:4">
      <c r="A48" t="s">
        <v>373</v>
      </c>
      <c r="B48" t="s">
        <v>98</v>
      </c>
      <c r="C48">
        <v>76.292372881355931</v>
      </c>
      <c r="D48" t="s">
        <v>340</v>
      </c>
    </row>
    <row r="49" spans="1:4">
      <c r="A49" t="s">
        <v>373</v>
      </c>
      <c r="B49" t="s">
        <v>99</v>
      </c>
      <c r="C49">
        <v>76.292372881355931</v>
      </c>
      <c r="D49" t="s">
        <v>340</v>
      </c>
    </row>
    <row r="50" spans="1:4">
      <c r="A50" t="s">
        <v>15</v>
      </c>
      <c r="B50" t="s">
        <v>88</v>
      </c>
      <c r="C50">
        <v>32.037288135593222</v>
      </c>
      <c r="D50" t="s">
        <v>340</v>
      </c>
    </row>
    <row r="51" spans="1:4">
      <c r="A51" t="s">
        <v>15</v>
      </c>
      <c r="B51" t="s">
        <v>89</v>
      </c>
      <c r="C51">
        <v>32.037288135593222</v>
      </c>
      <c r="D51" t="s">
        <v>340</v>
      </c>
    </row>
    <row r="52" spans="1:4">
      <c r="A52" t="s">
        <v>15</v>
      </c>
      <c r="B52" t="s">
        <v>90</v>
      </c>
      <c r="C52">
        <v>32.037288135593222</v>
      </c>
      <c r="D52" t="s">
        <v>340</v>
      </c>
    </row>
    <row r="53" spans="1:4">
      <c r="A53" t="s">
        <v>15</v>
      </c>
      <c r="B53" t="s">
        <v>91</v>
      </c>
      <c r="C53">
        <v>32.037288135593222</v>
      </c>
      <c r="D53" t="s">
        <v>340</v>
      </c>
    </row>
    <row r="54" spans="1:4">
      <c r="A54" t="s">
        <v>15</v>
      </c>
      <c r="B54" t="s">
        <v>92</v>
      </c>
      <c r="C54">
        <v>32.037288135593222</v>
      </c>
      <c r="D54" t="s">
        <v>340</v>
      </c>
    </row>
    <row r="55" spans="1:4">
      <c r="A55" t="s">
        <v>15</v>
      </c>
      <c r="B55" t="s">
        <v>93</v>
      </c>
      <c r="C55">
        <v>32.037288135593222</v>
      </c>
      <c r="D55" t="s">
        <v>340</v>
      </c>
    </row>
    <row r="56" spans="1:4">
      <c r="A56" t="s">
        <v>15</v>
      </c>
      <c r="B56" t="s">
        <v>94</v>
      </c>
      <c r="C56">
        <v>32.037288135593222</v>
      </c>
      <c r="D56" t="s">
        <v>340</v>
      </c>
    </row>
    <row r="57" spans="1:4">
      <c r="A57" t="s">
        <v>15</v>
      </c>
      <c r="B57" t="s">
        <v>95</v>
      </c>
      <c r="C57">
        <v>128.14915254237289</v>
      </c>
      <c r="D57" t="s">
        <v>340</v>
      </c>
    </row>
    <row r="58" spans="1:4">
      <c r="A58" t="s">
        <v>15</v>
      </c>
      <c r="B58" t="s">
        <v>96</v>
      </c>
      <c r="C58">
        <v>128.14915254237289</v>
      </c>
      <c r="D58" t="s">
        <v>340</v>
      </c>
    </row>
    <row r="59" spans="1:4">
      <c r="A59" t="s">
        <v>15</v>
      </c>
      <c r="B59" t="s">
        <v>97</v>
      </c>
      <c r="C59">
        <v>128.14915254237289</v>
      </c>
      <c r="D59" t="s">
        <v>340</v>
      </c>
    </row>
    <row r="60" spans="1:4">
      <c r="A60" t="s">
        <v>15</v>
      </c>
      <c r="B60" t="s">
        <v>98</v>
      </c>
      <c r="C60">
        <v>32.037288135593222</v>
      </c>
      <c r="D60" t="s">
        <v>340</v>
      </c>
    </row>
    <row r="61" spans="1:4">
      <c r="A61" t="s">
        <v>15</v>
      </c>
      <c r="B61" t="s">
        <v>99</v>
      </c>
      <c r="C61">
        <v>32.037288135593222</v>
      </c>
      <c r="D61" t="s">
        <v>340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5"/>
  <sheetViews>
    <sheetView workbookViewId="0"/>
  </sheetViews>
  <sheetFormatPr baseColWidth="10" defaultRowHeight="15"/>
  <cols>
    <col min="1" max="1" width="24.42578125" bestFit="1" customWidth="1"/>
    <col min="3" max="3" width="12" bestFit="1" customWidth="1"/>
    <col min="4" max="4" width="16.42578125" bestFit="1" customWidth="1"/>
    <col min="5" max="5" width="18.42578125" bestFit="1" customWidth="1"/>
    <col min="6" max="8" width="12" bestFit="1" customWidth="1"/>
    <col min="9" max="9" width="11.140625" bestFit="1" customWidth="1"/>
    <col min="10" max="13" width="12" bestFit="1" customWidth="1"/>
    <col min="14" max="22" width="12.140625" bestFit="1" customWidth="1"/>
  </cols>
  <sheetData>
    <row r="1" spans="1:4">
      <c r="A1" t="s">
        <v>364</v>
      </c>
      <c r="B1" t="s">
        <v>365</v>
      </c>
      <c r="C1" t="s">
        <v>366</v>
      </c>
      <c r="D1" t="s">
        <v>0</v>
      </c>
    </row>
    <row r="2" spans="1:4">
      <c r="A2" t="s">
        <v>334</v>
      </c>
      <c r="B2" t="s">
        <v>88</v>
      </c>
      <c r="C2">
        <v>2837.4809224850992</v>
      </c>
      <c r="D2" t="s">
        <v>8</v>
      </c>
    </row>
    <row r="3" spans="1:4">
      <c r="A3" t="s">
        <v>334</v>
      </c>
      <c r="B3" t="s">
        <v>89</v>
      </c>
      <c r="C3">
        <v>8014.3943811013069</v>
      </c>
      <c r="D3" t="s">
        <v>8</v>
      </c>
    </row>
    <row r="4" spans="1:4">
      <c r="A4" t="s">
        <v>334</v>
      </c>
      <c r="B4" t="s">
        <v>90</v>
      </c>
      <c r="C4">
        <v>5604.4874688482205</v>
      </c>
      <c r="D4" t="s">
        <v>8</v>
      </c>
    </row>
    <row r="5" spans="1:4">
      <c r="A5" t="s">
        <v>334</v>
      </c>
      <c r="B5" t="s">
        <v>91</v>
      </c>
      <c r="C5">
        <v>8076.4774048821519</v>
      </c>
      <c r="D5" t="s">
        <v>8</v>
      </c>
    </row>
    <row r="6" spans="1:4">
      <c r="A6" t="s">
        <v>334</v>
      </c>
      <c r="B6" t="s">
        <v>92</v>
      </c>
      <c r="C6">
        <v>1965.2233812542279</v>
      </c>
      <c r="D6" t="s">
        <v>8</v>
      </c>
    </row>
    <row r="7" spans="1:4">
      <c r="A7" t="s">
        <v>334</v>
      </c>
      <c r="B7" t="s">
        <v>93</v>
      </c>
      <c r="C7">
        <v>2116.0944848195732</v>
      </c>
      <c r="D7" t="s">
        <v>8</v>
      </c>
    </row>
    <row r="8" spans="1:4">
      <c r="A8" t="s">
        <v>334</v>
      </c>
      <c r="B8" t="s">
        <v>94</v>
      </c>
      <c r="C8">
        <v>2705.0098072276742</v>
      </c>
      <c r="D8" t="s">
        <v>8</v>
      </c>
    </row>
    <row r="9" spans="1:4">
      <c r="A9" t="s">
        <v>334</v>
      </c>
      <c r="B9" t="s">
        <v>95</v>
      </c>
      <c r="C9">
        <v>1767.4623877772551</v>
      </c>
      <c r="D9" t="s">
        <v>8</v>
      </c>
    </row>
    <row r="10" spans="1:4">
      <c r="A10" t="s">
        <v>334</v>
      </c>
      <c r="B10" t="s">
        <v>96</v>
      </c>
      <c r="C10">
        <v>1253.9970642520209</v>
      </c>
      <c r="D10" t="s">
        <v>8</v>
      </c>
    </row>
    <row r="11" spans="1:4">
      <c r="A11" t="s">
        <v>334</v>
      </c>
      <c r="B11" t="s">
        <v>97</v>
      </c>
      <c r="C11">
        <v>5914.3557528967758</v>
      </c>
      <c r="D11" t="s">
        <v>8</v>
      </c>
    </row>
    <row r="12" spans="1:4">
      <c r="A12" t="s">
        <v>334</v>
      </c>
      <c r="B12" t="s">
        <v>98</v>
      </c>
      <c r="C12">
        <v>5416.7660184316546</v>
      </c>
      <c r="D12" t="s">
        <v>8</v>
      </c>
    </row>
    <row r="13" spans="1:4">
      <c r="A13" t="s">
        <v>334</v>
      </c>
      <c r="B13" t="s">
        <v>99</v>
      </c>
      <c r="C13">
        <v>2045.6973406909235</v>
      </c>
      <c r="D13" t="s">
        <v>8</v>
      </c>
    </row>
    <row r="14" spans="1:4">
      <c r="A14" t="s">
        <v>339</v>
      </c>
      <c r="B14" t="s">
        <v>88</v>
      </c>
      <c r="C14">
        <v>64.621118012422357</v>
      </c>
      <c r="D14" t="s">
        <v>8</v>
      </c>
    </row>
    <row r="15" spans="1:4">
      <c r="A15" t="s">
        <v>339</v>
      </c>
      <c r="B15" t="s">
        <v>89</v>
      </c>
      <c r="C15">
        <v>63.981304962794397</v>
      </c>
      <c r="D15" t="s">
        <v>8</v>
      </c>
    </row>
    <row r="16" spans="1:4">
      <c r="A16" t="s">
        <v>339</v>
      </c>
      <c r="B16" t="s">
        <v>90</v>
      </c>
      <c r="C16">
        <v>63.347826695836041</v>
      </c>
      <c r="D16" t="s">
        <v>8</v>
      </c>
    </row>
    <row r="17" spans="1:4">
      <c r="A17" t="s">
        <v>339</v>
      </c>
      <c r="B17" t="s">
        <v>91</v>
      </c>
      <c r="C17">
        <v>962.76162421812319</v>
      </c>
      <c r="D17" t="s">
        <v>8</v>
      </c>
    </row>
    <row r="18" spans="1:4">
      <c r="A18" t="s">
        <v>339</v>
      </c>
      <c r="B18" t="s">
        <v>92</v>
      </c>
      <c r="C18">
        <v>767.19285398066643</v>
      </c>
      <c r="D18" t="s">
        <v>8</v>
      </c>
    </row>
    <row r="19" spans="1:4">
      <c r="A19" t="s">
        <v>339</v>
      </c>
      <c r="B19" t="s">
        <v>93</v>
      </c>
      <c r="C19">
        <v>305.64088225572647</v>
      </c>
      <c r="D19" t="s">
        <v>8</v>
      </c>
    </row>
    <row r="20" spans="1:4">
      <c r="A20" t="s">
        <v>339</v>
      </c>
      <c r="B20" t="s">
        <v>94</v>
      </c>
      <c r="C20">
        <v>542.97812931624674</v>
      </c>
      <c r="D20" t="s">
        <v>8</v>
      </c>
    </row>
    <row r="21" spans="1:4">
      <c r="A21" t="s">
        <v>339</v>
      </c>
      <c r="B21" t="s">
        <v>95</v>
      </c>
      <c r="C21">
        <v>262.18854897766477</v>
      </c>
      <c r="D21" t="s">
        <v>8</v>
      </c>
    </row>
    <row r="22" spans="1:4">
      <c r="A22" t="s">
        <v>339</v>
      </c>
      <c r="B22" t="s">
        <v>96</v>
      </c>
      <c r="C22">
        <v>59.676518302521579</v>
      </c>
      <c r="D22" t="s">
        <v>8</v>
      </c>
    </row>
    <row r="23" spans="1:4">
      <c r="A23" t="s">
        <v>339</v>
      </c>
      <c r="B23" t="s">
        <v>97</v>
      </c>
      <c r="C23">
        <v>527.00922285453157</v>
      </c>
      <c r="D23" t="s">
        <v>8</v>
      </c>
    </row>
    <row r="24" spans="1:4">
      <c r="A24" t="s">
        <v>339</v>
      </c>
      <c r="B24" t="s">
        <v>98</v>
      </c>
      <c r="C24">
        <v>58.500655134321725</v>
      </c>
      <c r="D24" t="s">
        <v>8</v>
      </c>
    </row>
    <row r="25" spans="1:4">
      <c r="A25" t="s">
        <v>339</v>
      </c>
      <c r="B25" t="s">
        <v>99</v>
      </c>
      <c r="C25">
        <v>318.45263861764209</v>
      </c>
      <c r="D25" t="s">
        <v>8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49"/>
  <sheetViews>
    <sheetView workbookViewId="0"/>
  </sheetViews>
  <sheetFormatPr baseColWidth="10" defaultRowHeight="15"/>
  <cols>
    <col min="1" max="1" width="11.85546875" bestFit="1" customWidth="1"/>
    <col min="2" max="2" width="16.42578125" bestFit="1" customWidth="1"/>
    <col min="4" max="4" width="12" bestFit="1" customWidth="1"/>
  </cols>
  <sheetData>
    <row r="1" spans="1:4">
      <c r="A1" t="s">
        <v>0</v>
      </c>
      <c r="B1" t="s">
        <v>364</v>
      </c>
      <c r="C1" t="s">
        <v>365</v>
      </c>
      <c r="D1" t="s">
        <v>366</v>
      </c>
    </row>
    <row r="2" spans="1:4">
      <c r="A2" t="s">
        <v>12</v>
      </c>
      <c r="B2" t="s">
        <v>336</v>
      </c>
      <c r="C2" t="s">
        <v>88</v>
      </c>
      <c r="D2">
        <v>742.7592410669032</v>
      </c>
    </row>
    <row r="3" spans="1:4">
      <c r="A3" t="s">
        <v>12</v>
      </c>
      <c r="B3" t="s">
        <v>336</v>
      </c>
      <c r="C3" t="s">
        <v>89</v>
      </c>
      <c r="D3">
        <v>1049.8790330655297</v>
      </c>
    </row>
    <row r="4" spans="1:4">
      <c r="A4" t="s">
        <v>12</v>
      </c>
      <c r="B4" t="s">
        <v>336</v>
      </c>
      <c r="C4" t="s">
        <v>90</v>
      </c>
      <c r="D4">
        <v>760.77170220623998</v>
      </c>
    </row>
    <row r="5" spans="1:4">
      <c r="A5" t="s">
        <v>12</v>
      </c>
      <c r="B5" t="s">
        <v>336</v>
      </c>
      <c r="C5" t="s">
        <v>91</v>
      </c>
      <c r="D5">
        <v>780.5427687375103</v>
      </c>
    </row>
    <row r="6" spans="1:4">
      <c r="A6" t="s">
        <v>12</v>
      </c>
      <c r="B6" t="s">
        <v>336</v>
      </c>
      <c r="C6" t="s">
        <v>92</v>
      </c>
      <c r="D6">
        <v>740.50410231318779</v>
      </c>
    </row>
    <row r="7" spans="1:4">
      <c r="A7" t="s">
        <v>12</v>
      </c>
      <c r="B7" t="s">
        <v>336</v>
      </c>
      <c r="C7" t="s">
        <v>93</v>
      </c>
      <c r="D7">
        <v>792.25538015663244</v>
      </c>
    </row>
    <row r="8" spans="1:4">
      <c r="A8" t="s">
        <v>12</v>
      </c>
      <c r="B8" t="s">
        <v>336</v>
      </c>
      <c r="C8" t="s">
        <v>94</v>
      </c>
      <c r="D8">
        <v>751.87123788983092</v>
      </c>
    </row>
    <row r="9" spans="1:4">
      <c r="A9" t="s">
        <v>12</v>
      </c>
      <c r="B9" t="s">
        <v>336</v>
      </c>
      <c r="C9" t="s">
        <v>95</v>
      </c>
      <c r="D9">
        <v>1144.3498777080158</v>
      </c>
    </row>
    <row r="10" spans="1:4">
      <c r="A10" t="s">
        <v>12</v>
      </c>
      <c r="B10" t="s">
        <v>336</v>
      </c>
      <c r="C10" t="s">
        <v>96</v>
      </c>
      <c r="D10">
        <v>588.83285076091011</v>
      </c>
    </row>
    <row r="11" spans="1:4">
      <c r="A11" t="s">
        <v>12</v>
      </c>
      <c r="B11" t="s">
        <v>336</v>
      </c>
      <c r="C11" t="s">
        <v>97</v>
      </c>
      <c r="D11">
        <v>220.29727333442801</v>
      </c>
    </row>
    <row r="12" spans="1:4">
      <c r="A12" t="s">
        <v>12</v>
      </c>
      <c r="B12" t="s">
        <v>336</v>
      </c>
      <c r="C12" t="s">
        <v>98</v>
      </c>
      <c r="D12">
        <v>230.05512369349199</v>
      </c>
    </row>
    <row r="13" spans="1:4">
      <c r="A13" t="s">
        <v>12</v>
      </c>
      <c r="B13" t="s">
        <v>336</v>
      </c>
      <c r="C13" t="s">
        <v>99</v>
      </c>
      <c r="D13">
        <v>767.76009167402901</v>
      </c>
    </row>
    <row r="14" spans="1:4">
      <c r="A14" t="s">
        <v>12</v>
      </c>
      <c r="B14" t="s">
        <v>337</v>
      </c>
      <c r="C14" t="s">
        <v>88</v>
      </c>
      <c r="D14">
        <v>1907.0027261259984</v>
      </c>
    </row>
    <row r="15" spans="1:4">
      <c r="A15" t="s">
        <v>12</v>
      </c>
      <c r="B15" t="s">
        <v>337</v>
      </c>
      <c r="C15" t="s">
        <v>89</v>
      </c>
      <c r="D15">
        <v>2716.074103617771</v>
      </c>
    </row>
    <row r="16" spans="1:4">
      <c r="A16" t="s">
        <v>12</v>
      </c>
      <c r="B16" t="s">
        <v>337</v>
      </c>
      <c r="C16" t="s">
        <v>90</v>
      </c>
      <c r="D16">
        <v>1953.6492827355601</v>
      </c>
    </row>
    <row r="17" spans="1:4">
      <c r="A17" t="s">
        <v>12</v>
      </c>
      <c r="B17" t="s">
        <v>337</v>
      </c>
      <c r="C17" t="s">
        <v>91</v>
      </c>
      <c r="D17">
        <v>1992.9631435736203</v>
      </c>
    </row>
    <row r="18" spans="1:4">
      <c r="A18" t="s">
        <v>12</v>
      </c>
      <c r="B18" t="s">
        <v>337</v>
      </c>
      <c r="C18" t="s">
        <v>92</v>
      </c>
      <c r="D18">
        <v>1898.6680963001793</v>
      </c>
    </row>
    <row r="19" spans="1:4">
      <c r="A19" t="s">
        <v>12</v>
      </c>
      <c r="B19" t="s">
        <v>337</v>
      </c>
      <c r="C19" t="s">
        <v>93</v>
      </c>
      <c r="D19">
        <v>2016.2147906513828</v>
      </c>
    </row>
    <row r="20" spans="1:4">
      <c r="A20" t="s">
        <v>12</v>
      </c>
      <c r="B20" t="s">
        <v>337</v>
      </c>
      <c r="C20" t="s">
        <v>94</v>
      </c>
      <c r="D20">
        <v>1921.1598919901655</v>
      </c>
    </row>
    <row r="21" spans="1:4">
      <c r="A21" t="s">
        <v>12</v>
      </c>
      <c r="B21" t="s">
        <v>337</v>
      </c>
      <c r="C21" t="s">
        <v>95</v>
      </c>
      <c r="D21">
        <v>2917.1525882192482</v>
      </c>
    </row>
    <row r="22" spans="1:4">
      <c r="A22" t="s">
        <v>12</v>
      </c>
      <c r="B22" t="s">
        <v>337</v>
      </c>
      <c r="C22" t="s">
        <v>96</v>
      </c>
      <c r="D22">
        <v>1494.7986505618974</v>
      </c>
    </row>
    <row r="23" spans="1:4">
      <c r="A23" t="s">
        <v>12</v>
      </c>
      <c r="B23" t="s">
        <v>337</v>
      </c>
      <c r="C23" t="s">
        <v>97</v>
      </c>
      <c r="D23">
        <v>561.54733051783501</v>
      </c>
    </row>
    <row r="24" spans="1:4">
      <c r="A24" t="s">
        <v>12</v>
      </c>
      <c r="B24" t="s">
        <v>337</v>
      </c>
      <c r="C24" t="s">
        <v>98</v>
      </c>
      <c r="D24">
        <v>583.51900091802383</v>
      </c>
    </row>
    <row r="25" spans="1:4">
      <c r="A25" t="s">
        <v>12</v>
      </c>
      <c r="B25" t="s">
        <v>337</v>
      </c>
      <c r="C25" t="s">
        <v>99</v>
      </c>
      <c r="D25">
        <v>1945.3598056582616</v>
      </c>
    </row>
    <row r="26" spans="1:4">
      <c r="A26" t="s">
        <v>12</v>
      </c>
      <c r="B26" t="s">
        <v>333</v>
      </c>
      <c r="C26" t="s">
        <v>88</v>
      </c>
      <c r="D26">
        <v>383.3677470971939</v>
      </c>
    </row>
    <row r="27" spans="1:4">
      <c r="A27" t="s">
        <v>12</v>
      </c>
      <c r="B27" t="s">
        <v>333</v>
      </c>
      <c r="C27" t="s">
        <v>89</v>
      </c>
      <c r="D27">
        <v>626.77378801626594</v>
      </c>
    </row>
    <row r="28" spans="1:4">
      <c r="A28" t="s">
        <v>12</v>
      </c>
      <c r="B28" t="s">
        <v>333</v>
      </c>
      <c r="C28" t="s">
        <v>90</v>
      </c>
      <c r="D28">
        <v>381.60112639517121</v>
      </c>
    </row>
    <row r="29" spans="1:4">
      <c r="A29" t="s">
        <v>12</v>
      </c>
      <c r="B29" t="s">
        <v>333</v>
      </c>
      <c r="C29" t="s">
        <v>91</v>
      </c>
      <c r="D29">
        <v>400.30430698189662</v>
      </c>
    </row>
    <row r="30" spans="1:4">
      <c r="A30" t="s">
        <v>12</v>
      </c>
      <c r="B30" t="s">
        <v>333</v>
      </c>
      <c r="C30" t="s">
        <v>92</v>
      </c>
      <c r="D30">
        <v>371.76004840417983</v>
      </c>
    </row>
    <row r="31" spans="1:4">
      <c r="A31" t="s">
        <v>12</v>
      </c>
      <c r="B31" t="s">
        <v>333</v>
      </c>
      <c r="C31" t="s">
        <v>93</v>
      </c>
      <c r="D31">
        <v>413.02778554634386</v>
      </c>
    </row>
    <row r="32" spans="1:4">
      <c r="A32" t="s">
        <v>12</v>
      </c>
      <c r="B32" t="s">
        <v>333</v>
      </c>
      <c r="C32" t="s">
        <v>94</v>
      </c>
      <c r="D32">
        <v>384.18294824913227</v>
      </c>
    </row>
    <row r="33" spans="1:4">
      <c r="A33" t="s">
        <v>12</v>
      </c>
      <c r="B33" t="s">
        <v>333</v>
      </c>
      <c r="C33" t="s">
        <v>95</v>
      </c>
      <c r="D33">
        <v>705.81466456597673</v>
      </c>
    </row>
    <row r="34" spans="1:4">
      <c r="A34" t="s">
        <v>12</v>
      </c>
      <c r="B34" t="s">
        <v>333</v>
      </c>
      <c r="C34" t="s">
        <v>96</v>
      </c>
      <c r="D34">
        <v>412.91012648094744</v>
      </c>
    </row>
    <row r="35" spans="1:4">
      <c r="A35" t="s">
        <v>12</v>
      </c>
      <c r="B35" t="s">
        <v>333</v>
      </c>
      <c r="C35" t="s">
        <v>97</v>
      </c>
      <c r="D35">
        <v>375.58231451309109</v>
      </c>
    </row>
    <row r="36" spans="1:4">
      <c r="A36" t="s">
        <v>12</v>
      </c>
      <c r="B36" t="s">
        <v>333</v>
      </c>
      <c r="C36" t="s">
        <v>98</v>
      </c>
      <c r="D36">
        <v>402.12443767380182</v>
      </c>
    </row>
    <row r="37" spans="1:4">
      <c r="A37" t="s">
        <v>12</v>
      </c>
      <c r="B37" t="s">
        <v>333</v>
      </c>
      <c r="C37" t="s">
        <v>99</v>
      </c>
      <c r="D37">
        <v>404.59606695240689</v>
      </c>
    </row>
    <row r="38" spans="1:4">
      <c r="A38" t="s">
        <v>12</v>
      </c>
      <c r="B38" t="s">
        <v>335</v>
      </c>
      <c r="C38" t="s">
        <v>88</v>
      </c>
      <c r="D38">
        <v>364.13436113487506</v>
      </c>
    </row>
    <row r="39" spans="1:4">
      <c r="A39" t="s">
        <v>12</v>
      </c>
      <c r="B39" t="s">
        <v>335</v>
      </c>
      <c r="C39" t="s">
        <v>89</v>
      </c>
      <c r="D39">
        <v>368.06039428165928</v>
      </c>
    </row>
    <row r="40" spans="1:4">
      <c r="A40" t="s">
        <v>12</v>
      </c>
      <c r="B40" t="s">
        <v>335</v>
      </c>
      <c r="C40" t="s">
        <v>90</v>
      </c>
      <c r="D40">
        <v>371.98350214718249</v>
      </c>
    </row>
    <row r="41" spans="1:4">
      <c r="A41" t="s">
        <v>12</v>
      </c>
      <c r="B41" t="s">
        <v>335</v>
      </c>
      <c r="C41" t="s">
        <v>91</v>
      </c>
      <c r="D41">
        <v>373.33088139836747</v>
      </c>
    </row>
    <row r="42" spans="1:4">
      <c r="A42" t="s">
        <v>12</v>
      </c>
      <c r="B42" t="s">
        <v>335</v>
      </c>
      <c r="C42" t="s">
        <v>92</v>
      </c>
      <c r="D42">
        <v>394.67361051197503</v>
      </c>
    </row>
    <row r="43" spans="1:4">
      <c r="A43" t="s">
        <v>12</v>
      </c>
      <c r="B43" t="s">
        <v>335</v>
      </c>
      <c r="C43" t="s">
        <v>93</v>
      </c>
      <c r="D43">
        <v>395.97465685813518</v>
      </c>
    </row>
    <row r="44" spans="1:4">
      <c r="A44" t="s">
        <v>12</v>
      </c>
      <c r="B44" t="s">
        <v>335</v>
      </c>
      <c r="C44" t="s">
        <v>94</v>
      </c>
      <c r="D44">
        <v>397.32397446380094</v>
      </c>
    </row>
    <row r="45" spans="1:4">
      <c r="A45" t="s">
        <v>12</v>
      </c>
      <c r="B45" t="s">
        <v>335</v>
      </c>
      <c r="C45" t="s">
        <v>95</v>
      </c>
      <c r="D45">
        <v>398.66355975473454</v>
      </c>
    </row>
    <row r="46" spans="1:4">
      <c r="A46" t="s">
        <v>12</v>
      </c>
      <c r="B46" t="s">
        <v>335</v>
      </c>
      <c r="C46" t="s">
        <v>96</v>
      </c>
      <c r="D46">
        <v>400.04817223053715</v>
      </c>
    </row>
    <row r="47" spans="1:4">
      <c r="A47" t="s">
        <v>12</v>
      </c>
      <c r="B47" t="s">
        <v>335</v>
      </c>
      <c r="C47" t="s">
        <v>97</v>
      </c>
      <c r="D47">
        <v>401.42099033026653</v>
      </c>
    </row>
    <row r="48" spans="1:4">
      <c r="A48" t="s">
        <v>12</v>
      </c>
      <c r="B48" t="s">
        <v>335</v>
      </c>
      <c r="C48" t="s">
        <v>98</v>
      </c>
      <c r="D48">
        <v>402.86281458656617</v>
      </c>
    </row>
    <row r="49" spans="1:4">
      <c r="A49" t="s">
        <v>12</v>
      </c>
      <c r="B49" t="s">
        <v>335</v>
      </c>
      <c r="C49" t="s">
        <v>99</v>
      </c>
      <c r="D49">
        <v>404.29036335517947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49"/>
  <sheetViews>
    <sheetView workbookViewId="0"/>
  </sheetViews>
  <sheetFormatPr baseColWidth="10" defaultRowHeight="15"/>
  <cols>
    <col min="1" max="1" width="11.42578125" bestFit="1" customWidth="1"/>
    <col min="2" max="2" width="16.42578125" bestFit="1" customWidth="1"/>
    <col min="4" max="4" width="12" bestFit="1" customWidth="1"/>
  </cols>
  <sheetData>
    <row r="1" spans="1:4">
      <c r="A1" t="s">
        <v>0</v>
      </c>
      <c r="B1" t="s">
        <v>364</v>
      </c>
      <c r="C1" t="s">
        <v>365</v>
      </c>
      <c r="D1" t="s">
        <v>366</v>
      </c>
    </row>
    <row r="2" spans="1:4">
      <c r="A2" t="s">
        <v>4</v>
      </c>
      <c r="B2" t="s">
        <v>336</v>
      </c>
      <c r="C2" t="s">
        <v>88</v>
      </c>
      <c r="D2">
        <v>711.62071650328312</v>
      </c>
    </row>
    <row r="3" spans="1:4">
      <c r="A3" t="s">
        <v>4</v>
      </c>
      <c r="B3" t="s">
        <v>336</v>
      </c>
      <c r="C3" t="s">
        <v>89</v>
      </c>
      <c r="D3">
        <v>1008.0254880476514</v>
      </c>
    </row>
    <row r="4" spans="1:4">
      <c r="A4" t="s">
        <v>4</v>
      </c>
      <c r="B4" t="s">
        <v>336</v>
      </c>
      <c r="C4" t="s">
        <v>90</v>
      </c>
      <c r="D4">
        <v>728.86405346588572</v>
      </c>
    </row>
    <row r="5" spans="1:4">
      <c r="A5" t="s">
        <v>4</v>
      </c>
      <c r="B5" t="s">
        <v>336</v>
      </c>
      <c r="C5" t="s">
        <v>91</v>
      </c>
      <c r="D5">
        <v>745.7664226477583</v>
      </c>
    </row>
    <row r="6" spans="1:4">
      <c r="A6" t="s">
        <v>4</v>
      </c>
      <c r="B6" t="s">
        <v>336</v>
      </c>
      <c r="C6" t="s">
        <v>92</v>
      </c>
      <c r="D6">
        <v>708.32630237707656</v>
      </c>
    </row>
    <row r="7" spans="1:4">
      <c r="A7" t="s">
        <v>4</v>
      </c>
      <c r="B7" t="s">
        <v>336</v>
      </c>
      <c r="C7" t="s">
        <v>93</v>
      </c>
      <c r="D7">
        <v>756.27409591580204</v>
      </c>
    </row>
    <row r="8" spans="1:4">
      <c r="A8" t="s">
        <v>4</v>
      </c>
      <c r="B8" t="s">
        <v>336</v>
      </c>
      <c r="C8" t="s">
        <v>94</v>
      </c>
      <c r="D8">
        <v>718.51644219182049</v>
      </c>
    </row>
    <row r="9" spans="1:4">
      <c r="A9" t="s">
        <v>4</v>
      </c>
      <c r="B9" t="s">
        <v>336</v>
      </c>
      <c r="C9" t="s">
        <v>95</v>
      </c>
      <c r="D9">
        <v>1092.8798336391255</v>
      </c>
    </row>
    <row r="10" spans="1:4">
      <c r="A10" t="s">
        <v>4</v>
      </c>
      <c r="B10" t="s">
        <v>336</v>
      </c>
      <c r="C10" t="s">
        <v>96</v>
      </c>
      <c r="D10">
        <v>561.45219731934867</v>
      </c>
    </row>
    <row r="11" spans="1:4">
      <c r="A11" t="s">
        <v>4</v>
      </c>
      <c r="B11" t="s">
        <v>336</v>
      </c>
      <c r="C11" t="s">
        <v>97</v>
      </c>
      <c r="D11">
        <v>210.08202807583265</v>
      </c>
    </row>
    <row r="12" spans="1:4">
      <c r="A12" t="s">
        <v>4</v>
      </c>
      <c r="B12" t="s">
        <v>336</v>
      </c>
      <c r="C12" t="s">
        <v>98</v>
      </c>
      <c r="D12">
        <v>219.0999937984796</v>
      </c>
    </row>
    <row r="13" spans="1:4">
      <c r="A13" t="s">
        <v>4</v>
      </c>
      <c r="B13" t="s">
        <v>336</v>
      </c>
      <c r="C13" t="s">
        <v>99</v>
      </c>
      <c r="D13">
        <v>730.98473184864372</v>
      </c>
    </row>
    <row r="14" spans="1:4">
      <c r="A14" t="s">
        <v>4</v>
      </c>
      <c r="B14" t="s">
        <v>337</v>
      </c>
      <c r="C14" t="s">
        <v>88</v>
      </c>
      <c r="D14">
        <v>1297.9187317401952</v>
      </c>
    </row>
    <row r="15" spans="1:4">
      <c r="A15" t="s">
        <v>4</v>
      </c>
      <c r="B15" t="s">
        <v>337</v>
      </c>
      <c r="C15" t="s">
        <v>89</v>
      </c>
      <c r="D15">
        <v>1846.6497605840441</v>
      </c>
    </row>
    <row r="16" spans="1:4">
      <c r="A16" t="s">
        <v>4</v>
      </c>
      <c r="B16" t="s">
        <v>337</v>
      </c>
      <c r="C16" t="s">
        <v>90</v>
      </c>
      <c r="D16">
        <v>1329.6094670590517</v>
      </c>
    </row>
    <row r="17" spans="1:4">
      <c r="A17" t="s">
        <v>4</v>
      </c>
      <c r="B17" t="s">
        <v>337</v>
      </c>
      <c r="C17" t="s">
        <v>91</v>
      </c>
      <c r="D17">
        <v>1357.1478111615709</v>
      </c>
    </row>
    <row r="18" spans="1:4">
      <c r="A18" t="s">
        <v>4</v>
      </c>
      <c r="B18" t="s">
        <v>337</v>
      </c>
      <c r="C18" t="s">
        <v>92</v>
      </c>
      <c r="D18">
        <v>1292.1815052928207</v>
      </c>
    </row>
    <row r="19" spans="1:4">
      <c r="A19" t="s">
        <v>4</v>
      </c>
      <c r="B19" t="s">
        <v>337</v>
      </c>
      <c r="C19" t="s">
        <v>93</v>
      </c>
      <c r="D19">
        <v>1373.6138970877698</v>
      </c>
    </row>
    <row r="20" spans="1:4">
      <c r="A20" t="s">
        <v>4</v>
      </c>
      <c r="B20" t="s">
        <v>337</v>
      </c>
      <c r="C20" t="s">
        <v>94</v>
      </c>
      <c r="D20">
        <v>1308.1185363778279</v>
      </c>
    </row>
    <row r="21" spans="1:4">
      <c r="A21" t="s">
        <v>4</v>
      </c>
      <c r="B21" t="s">
        <v>337</v>
      </c>
      <c r="C21" t="s">
        <v>95</v>
      </c>
      <c r="D21">
        <v>1986.9416201014908</v>
      </c>
    </row>
    <row r="22" spans="1:4">
      <c r="A22" t="s">
        <v>4</v>
      </c>
      <c r="B22" t="s">
        <v>337</v>
      </c>
      <c r="C22" t="s">
        <v>96</v>
      </c>
      <c r="D22">
        <v>1018.6473982956478</v>
      </c>
    </row>
    <row r="23" spans="1:4">
      <c r="A23" t="s">
        <v>4</v>
      </c>
      <c r="B23" t="s">
        <v>337</v>
      </c>
      <c r="C23" t="s">
        <v>97</v>
      </c>
      <c r="D23">
        <v>382.37969501370486</v>
      </c>
    </row>
    <row r="24" spans="1:4">
      <c r="A24" t="s">
        <v>4</v>
      </c>
      <c r="B24" t="s">
        <v>337</v>
      </c>
      <c r="C24" t="s">
        <v>98</v>
      </c>
      <c r="D24">
        <v>397.62039828951407</v>
      </c>
    </row>
    <row r="25" spans="1:4">
      <c r="A25" t="s">
        <v>4</v>
      </c>
      <c r="B25" t="s">
        <v>337</v>
      </c>
      <c r="C25" t="s">
        <v>99</v>
      </c>
      <c r="D25">
        <v>1325.7923813183861</v>
      </c>
    </row>
    <row r="26" spans="1:4">
      <c r="A26" t="s">
        <v>4</v>
      </c>
      <c r="B26" t="s">
        <v>333</v>
      </c>
      <c r="C26" t="s">
        <v>88</v>
      </c>
      <c r="D26">
        <v>289.60856051095249</v>
      </c>
    </row>
    <row r="27" spans="1:4">
      <c r="A27" t="s">
        <v>4</v>
      </c>
      <c r="B27" t="s">
        <v>333</v>
      </c>
      <c r="C27" t="s">
        <v>89</v>
      </c>
      <c r="D27">
        <v>481.47534766483449</v>
      </c>
    </row>
    <row r="28" spans="1:4">
      <c r="A28" t="s">
        <v>4</v>
      </c>
      <c r="B28" t="s">
        <v>333</v>
      </c>
      <c r="C28" t="s">
        <v>90</v>
      </c>
      <c r="D28">
        <v>295.90230314686983</v>
      </c>
    </row>
    <row r="29" spans="1:4">
      <c r="A29" t="s">
        <v>4</v>
      </c>
      <c r="B29" t="s">
        <v>333</v>
      </c>
      <c r="C29" t="s">
        <v>91</v>
      </c>
      <c r="D29">
        <v>310.005130722758</v>
      </c>
    </row>
    <row r="30" spans="1:4">
      <c r="A30" t="s">
        <v>4</v>
      </c>
      <c r="B30" t="s">
        <v>333</v>
      </c>
      <c r="C30" t="s">
        <v>92</v>
      </c>
      <c r="D30">
        <v>288.55504204787127</v>
      </c>
    </row>
    <row r="31" spans="1:4">
      <c r="A31" t="s">
        <v>4</v>
      </c>
      <c r="B31" t="s">
        <v>333</v>
      </c>
      <c r="C31" t="s">
        <v>93</v>
      </c>
      <c r="D31">
        <v>320.09098272265737</v>
      </c>
    </row>
    <row r="32" spans="1:4">
      <c r="A32" t="s">
        <v>4</v>
      </c>
      <c r="B32" t="s">
        <v>333</v>
      </c>
      <c r="C32" t="s">
        <v>94</v>
      </c>
      <c r="D32">
        <v>298.1046162372308</v>
      </c>
    </row>
    <row r="33" spans="1:4">
      <c r="A33" t="s">
        <v>4</v>
      </c>
      <c r="B33" t="s">
        <v>333</v>
      </c>
      <c r="C33" t="s">
        <v>95</v>
      </c>
      <c r="D33">
        <v>542.08194414895729</v>
      </c>
    </row>
    <row r="34" spans="1:4">
      <c r="A34" t="s">
        <v>4</v>
      </c>
      <c r="B34" t="s">
        <v>333</v>
      </c>
      <c r="C34" t="s">
        <v>96</v>
      </c>
      <c r="D34">
        <v>320.01494651630844</v>
      </c>
    </row>
    <row r="35" spans="1:4">
      <c r="A35" t="s">
        <v>4</v>
      </c>
      <c r="B35" t="s">
        <v>333</v>
      </c>
      <c r="C35" t="s">
        <v>97</v>
      </c>
      <c r="D35">
        <v>291.38270548127514</v>
      </c>
    </row>
    <row r="36" spans="1:4">
      <c r="A36" t="s">
        <v>4</v>
      </c>
      <c r="B36" t="s">
        <v>333</v>
      </c>
      <c r="C36" t="s">
        <v>98</v>
      </c>
      <c r="D36">
        <v>311.67632507221043</v>
      </c>
    </row>
    <row r="37" spans="1:4">
      <c r="A37" t="s">
        <v>4</v>
      </c>
      <c r="B37" t="s">
        <v>333</v>
      </c>
      <c r="C37" t="s">
        <v>99</v>
      </c>
      <c r="D37">
        <v>313.59461531051107</v>
      </c>
    </row>
    <row r="38" spans="1:4">
      <c r="A38" t="s">
        <v>4</v>
      </c>
      <c r="B38" t="s">
        <v>335</v>
      </c>
      <c r="C38" t="s">
        <v>88</v>
      </c>
      <c r="D38">
        <v>169.06053128267823</v>
      </c>
    </row>
    <row r="39" spans="1:4">
      <c r="A39" t="s">
        <v>4</v>
      </c>
      <c r="B39" t="s">
        <v>335</v>
      </c>
      <c r="C39" t="s">
        <v>89</v>
      </c>
      <c r="D39">
        <v>169.22511529449153</v>
      </c>
    </row>
    <row r="40" spans="1:4">
      <c r="A40" t="s">
        <v>4</v>
      </c>
      <c r="B40" t="s">
        <v>335</v>
      </c>
      <c r="C40" t="s">
        <v>90</v>
      </c>
      <c r="D40">
        <v>169.36994656956205</v>
      </c>
    </row>
    <row r="41" spans="1:4">
      <c r="A41" t="s">
        <v>4</v>
      </c>
      <c r="B41" t="s">
        <v>335</v>
      </c>
      <c r="C41" t="s">
        <v>91</v>
      </c>
      <c r="D41">
        <v>168.25121708494748</v>
      </c>
    </row>
    <row r="42" spans="1:4">
      <c r="A42" t="s">
        <v>4</v>
      </c>
      <c r="B42" t="s">
        <v>335</v>
      </c>
      <c r="C42" t="s">
        <v>92</v>
      </c>
      <c r="D42">
        <v>165.50147954965237</v>
      </c>
    </row>
    <row r="43" spans="1:4">
      <c r="A43" t="s">
        <v>4</v>
      </c>
      <c r="B43" t="s">
        <v>335</v>
      </c>
      <c r="C43" t="s">
        <v>93</v>
      </c>
      <c r="D43">
        <v>164.97790861041321</v>
      </c>
    </row>
    <row r="44" spans="1:4">
      <c r="A44" t="s">
        <v>4</v>
      </c>
      <c r="B44" t="s">
        <v>335</v>
      </c>
      <c r="C44" t="s">
        <v>94</v>
      </c>
      <c r="D44">
        <v>164.46021168685911</v>
      </c>
    </row>
    <row r="45" spans="1:4">
      <c r="A45" t="s">
        <v>4</v>
      </c>
      <c r="B45" t="s">
        <v>335</v>
      </c>
      <c r="C45" t="s">
        <v>95</v>
      </c>
      <c r="D45">
        <v>163.95390942459963</v>
      </c>
    </row>
    <row r="46" spans="1:4">
      <c r="A46" t="s">
        <v>4</v>
      </c>
      <c r="B46" t="s">
        <v>335</v>
      </c>
      <c r="C46" t="s">
        <v>96</v>
      </c>
      <c r="D46">
        <v>163.45361140779804</v>
      </c>
    </row>
    <row r="47" spans="1:4">
      <c r="A47" t="s">
        <v>4</v>
      </c>
      <c r="B47" t="s">
        <v>335</v>
      </c>
      <c r="C47" t="s">
        <v>97</v>
      </c>
      <c r="D47">
        <v>162.96446267728896</v>
      </c>
    </row>
    <row r="48" spans="1:4">
      <c r="A48" t="s">
        <v>4</v>
      </c>
      <c r="B48" t="s">
        <v>335</v>
      </c>
      <c r="C48" t="s">
        <v>98</v>
      </c>
      <c r="D48">
        <v>162.47900496422574</v>
      </c>
    </row>
    <row r="49" spans="1:4">
      <c r="A49" t="s">
        <v>4</v>
      </c>
      <c r="B49" t="s">
        <v>335</v>
      </c>
      <c r="C49" t="s">
        <v>99</v>
      </c>
      <c r="D49">
        <v>162.00457611117974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7"/>
  <sheetViews>
    <sheetView workbookViewId="0"/>
  </sheetViews>
  <sheetFormatPr baseColWidth="10" defaultRowHeight="15"/>
  <cols>
    <col min="1" max="1" width="11" bestFit="1" customWidth="1"/>
    <col min="2" max="2" width="14.28515625" bestFit="1" customWidth="1"/>
    <col min="4" max="4" width="12" bestFit="1" customWidth="1"/>
  </cols>
  <sheetData>
    <row r="1" spans="1:4">
      <c r="A1" t="s">
        <v>0</v>
      </c>
      <c r="B1" t="s">
        <v>364</v>
      </c>
      <c r="C1" t="s">
        <v>365</v>
      </c>
      <c r="D1" t="s">
        <v>366</v>
      </c>
    </row>
    <row r="2" spans="1:4">
      <c r="A2" t="s">
        <v>15</v>
      </c>
      <c r="B2" t="s">
        <v>336</v>
      </c>
      <c r="C2" t="s">
        <v>88</v>
      </c>
      <c r="D2">
        <v>333.98415767798269</v>
      </c>
    </row>
    <row r="3" spans="1:4">
      <c r="A3" t="s">
        <v>15</v>
      </c>
      <c r="B3" t="s">
        <v>336</v>
      </c>
      <c r="C3" t="s">
        <v>89</v>
      </c>
      <c r="D3">
        <v>481.38859709603133</v>
      </c>
    </row>
    <row r="4" spans="1:4">
      <c r="A4" t="s">
        <v>15</v>
      </c>
      <c r="B4" t="s">
        <v>336</v>
      </c>
      <c r="C4" t="s">
        <v>90</v>
      </c>
      <c r="D4">
        <v>336.62927048567792</v>
      </c>
    </row>
    <row r="5" spans="1:4">
      <c r="A5" t="s">
        <v>15</v>
      </c>
      <c r="B5" t="s">
        <v>336</v>
      </c>
      <c r="C5" t="s">
        <v>91</v>
      </c>
      <c r="D5">
        <v>340.50188432068137</v>
      </c>
    </row>
    <row r="6" spans="1:4">
      <c r="A6" t="s">
        <v>15</v>
      </c>
      <c r="B6" t="s">
        <v>336</v>
      </c>
      <c r="C6" t="s">
        <v>92</v>
      </c>
      <c r="D6">
        <v>332.06918564629137</v>
      </c>
    </row>
    <row r="7" spans="1:4">
      <c r="A7" t="s">
        <v>15</v>
      </c>
      <c r="B7" t="s">
        <v>336</v>
      </c>
      <c r="C7" t="s">
        <v>93</v>
      </c>
      <c r="D7">
        <v>349.83719080107039</v>
      </c>
    </row>
    <row r="8" spans="1:4">
      <c r="A8" t="s">
        <v>15</v>
      </c>
      <c r="B8" t="s">
        <v>336</v>
      </c>
      <c r="C8" t="s">
        <v>94</v>
      </c>
      <c r="D8">
        <v>340.52430055631424</v>
      </c>
    </row>
    <row r="9" spans="1:4">
      <c r="A9" t="s">
        <v>15</v>
      </c>
      <c r="B9" t="s">
        <v>336</v>
      </c>
      <c r="C9" t="s">
        <v>95</v>
      </c>
      <c r="D9">
        <v>519.71182867039738</v>
      </c>
    </row>
    <row r="10" spans="1:4">
      <c r="A10" t="s">
        <v>15</v>
      </c>
      <c r="B10" t="s">
        <v>336</v>
      </c>
      <c r="C10" t="s">
        <v>96</v>
      </c>
      <c r="D10">
        <v>355.63641756049583</v>
      </c>
    </row>
    <row r="11" spans="1:4">
      <c r="A11" t="s">
        <v>15</v>
      </c>
      <c r="B11" t="s">
        <v>336</v>
      </c>
      <c r="C11" t="s">
        <v>97</v>
      </c>
      <c r="D11">
        <v>341.2275869932094</v>
      </c>
    </row>
    <row r="12" spans="1:4">
      <c r="A12" t="s">
        <v>15</v>
      </c>
      <c r="B12" t="s">
        <v>336</v>
      </c>
      <c r="C12" t="s">
        <v>98</v>
      </c>
      <c r="D12">
        <v>353.92627969953622</v>
      </c>
    </row>
    <row r="13" spans="1:4">
      <c r="A13" t="s">
        <v>15</v>
      </c>
      <c r="B13" t="s">
        <v>336</v>
      </c>
      <c r="C13" t="s">
        <v>99</v>
      </c>
      <c r="D13">
        <v>356.56964602177197</v>
      </c>
    </row>
    <row r="14" spans="1:4">
      <c r="A14" t="s">
        <v>15</v>
      </c>
      <c r="B14" t="s">
        <v>337</v>
      </c>
      <c r="C14" t="s">
        <v>88</v>
      </c>
      <c r="D14">
        <v>3908.8897179725054</v>
      </c>
    </row>
    <row r="15" spans="1:4">
      <c r="A15" t="s">
        <v>15</v>
      </c>
      <c r="B15" t="s">
        <v>337</v>
      </c>
      <c r="C15" t="s">
        <v>89</v>
      </c>
      <c r="D15">
        <v>5565.3310790827118</v>
      </c>
    </row>
    <row r="16" spans="1:4">
      <c r="A16" t="s">
        <v>15</v>
      </c>
      <c r="B16" t="s">
        <v>337</v>
      </c>
      <c r="C16" t="s">
        <v>90</v>
      </c>
      <c r="D16">
        <v>4004.4461883013842</v>
      </c>
    </row>
    <row r="17" spans="1:4">
      <c r="A17" t="s">
        <v>15</v>
      </c>
      <c r="B17" t="s">
        <v>337</v>
      </c>
      <c r="C17" t="s">
        <v>91</v>
      </c>
      <c r="D17">
        <v>4076.7915235455921</v>
      </c>
    </row>
    <row r="18" spans="1:4">
      <c r="A18" t="s">
        <v>15</v>
      </c>
      <c r="B18" t="s">
        <v>337</v>
      </c>
      <c r="C18" t="s">
        <v>92</v>
      </c>
      <c r="D18">
        <v>3891.7405201551169</v>
      </c>
    </row>
    <row r="19" spans="1:4">
      <c r="A19" t="s">
        <v>15</v>
      </c>
      <c r="B19" t="s">
        <v>337</v>
      </c>
      <c r="C19" t="s">
        <v>93</v>
      </c>
      <c r="D19">
        <v>4134.1340211184088</v>
      </c>
    </row>
    <row r="20" spans="1:4">
      <c r="A20" t="s">
        <v>15</v>
      </c>
      <c r="B20" t="s">
        <v>337</v>
      </c>
      <c r="C20" t="s">
        <v>94</v>
      </c>
      <c r="D20">
        <v>3938.4819190616881</v>
      </c>
    </row>
    <row r="21" spans="1:4">
      <c r="A21" t="s">
        <v>15</v>
      </c>
      <c r="B21" t="s">
        <v>337</v>
      </c>
      <c r="C21" t="s">
        <v>95</v>
      </c>
      <c r="D21">
        <v>5980.9822837419533</v>
      </c>
    </row>
    <row r="22" spans="1:4">
      <c r="A22" t="s">
        <v>15</v>
      </c>
      <c r="B22" t="s">
        <v>337</v>
      </c>
      <c r="C22" t="s">
        <v>96</v>
      </c>
      <c r="D22">
        <v>4087.026200045073</v>
      </c>
    </row>
    <row r="23" spans="1:4">
      <c r="A23" t="s">
        <v>15</v>
      </c>
      <c r="B23" t="s">
        <v>337</v>
      </c>
      <c r="C23" t="s">
        <v>97</v>
      </c>
      <c r="D23">
        <v>3837.4156677379328</v>
      </c>
    </row>
    <row r="24" spans="1:4">
      <c r="A24" t="s">
        <v>15</v>
      </c>
      <c r="B24" t="s">
        <v>337</v>
      </c>
      <c r="C24" t="s">
        <v>98</v>
      </c>
      <c r="D24">
        <v>3988.5077991605599</v>
      </c>
    </row>
    <row r="25" spans="1:4">
      <c r="A25" t="s">
        <v>15</v>
      </c>
      <c r="B25" t="s">
        <v>337</v>
      </c>
      <c r="C25" t="s">
        <v>99</v>
      </c>
      <c r="D25">
        <v>3989.3076953147206</v>
      </c>
    </row>
    <row r="26" spans="1:4">
      <c r="A26" t="s">
        <v>15</v>
      </c>
      <c r="B26" t="s">
        <v>333</v>
      </c>
      <c r="C26" t="s">
        <v>88</v>
      </c>
      <c r="D26">
        <v>645.75909726233363</v>
      </c>
    </row>
    <row r="27" spans="1:4">
      <c r="A27" t="s">
        <v>15</v>
      </c>
      <c r="B27" t="s">
        <v>333</v>
      </c>
      <c r="C27" t="s">
        <v>89</v>
      </c>
      <c r="D27">
        <v>1089.5784444819033</v>
      </c>
    </row>
    <row r="28" spans="1:4">
      <c r="A28" t="s">
        <v>15</v>
      </c>
      <c r="B28" t="s">
        <v>333</v>
      </c>
      <c r="C28" t="s">
        <v>90</v>
      </c>
      <c r="D28">
        <v>658.60666512532475</v>
      </c>
    </row>
    <row r="29" spans="1:4">
      <c r="A29" t="s">
        <v>15</v>
      </c>
      <c r="B29" t="s">
        <v>333</v>
      </c>
      <c r="C29" t="s">
        <v>91</v>
      </c>
      <c r="D29">
        <v>686.64271675112786</v>
      </c>
    </row>
    <row r="30" spans="1:4">
      <c r="A30" t="s">
        <v>15</v>
      </c>
      <c r="B30" t="s">
        <v>333</v>
      </c>
      <c r="C30" t="s">
        <v>92</v>
      </c>
      <c r="D30">
        <v>642.30945910069534</v>
      </c>
    </row>
    <row r="31" spans="1:4">
      <c r="A31" t="s">
        <v>15</v>
      </c>
      <c r="B31" t="s">
        <v>333</v>
      </c>
      <c r="C31" t="s">
        <v>93</v>
      </c>
      <c r="D31">
        <v>711.06107712304572</v>
      </c>
    </row>
    <row r="32" spans="1:4">
      <c r="A32" t="s">
        <v>15</v>
      </c>
      <c r="B32" t="s">
        <v>333</v>
      </c>
      <c r="C32" t="s">
        <v>94</v>
      </c>
      <c r="D32">
        <v>663.9752287962815</v>
      </c>
    </row>
    <row r="33" spans="1:4">
      <c r="A33" t="s">
        <v>15</v>
      </c>
      <c r="B33" t="s">
        <v>333</v>
      </c>
      <c r="C33" t="s">
        <v>95</v>
      </c>
      <c r="D33">
        <v>1221.4689438469825</v>
      </c>
    </row>
    <row r="34" spans="1:4">
      <c r="A34" t="s">
        <v>15</v>
      </c>
      <c r="B34" t="s">
        <v>333</v>
      </c>
      <c r="C34" t="s">
        <v>96</v>
      </c>
      <c r="D34">
        <v>712.47798029886303</v>
      </c>
    </row>
    <row r="35" spans="1:4">
      <c r="A35" t="s">
        <v>15</v>
      </c>
      <c r="B35" t="s">
        <v>333</v>
      </c>
      <c r="C35" t="s">
        <v>97</v>
      </c>
      <c r="D35">
        <v>650.6058865518479</v>
      </c>
    </row>
    <row r="36" spans="1:4">
      <c r="A36" t="s">
        <v>15</v>
      </c>
      <c r="B36" t="s">
        <v>333</v>
      </c>
      <c r="C36" t="s">
        <v>98</v>
      </c>
      <c r="D36">
        <v>695.15840814119531</v>
      </c>
    </row>
    <row r="37" spans="1:4">
      <c r="A37" t="s">
        <v>15</v>
      </c>
      <c r="B37" t="s">
        <v>333</v>
      </c>
      <c r="C37" t="s">
        <v>99</v>
      </c>
      <c r="D37">
        <v>699.76740442688833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37"/>
  <sheetViews>
    <sheetView workbookViewId="0"/>
  </sheetViews>
  <sheetFormatPr baseColWidth="10" defaultRowHeight="15"/>
  <cols>
    <col min="1" max="1" width="12.85546875" bestFit="1" customWidth="1"/>
    <col min="2" max="2" width="14.28515625" bestFit="1" customWidth="1"/>
    <col min="4" max="4" width="12" bestFit="1" customWidth="1"/>
  </cols>
  <sheetData>
    <row r="1" spans="1:4">
      <c r="A1" t="s">
        <v>0</v>
      </c>
      <c r="B1" t="s">
        <v>364</v>
      </c>
      <c r="C1" t="s">
        <v>365</v>
      </c>
      <c r="D1" t="s">
        <v>366</v>
      </c>
    </row>
    <row r="2" spans="1:4">
      <c r="A2" t="s">
        <v>373</v>
      </c>
      <c r="B2" t="s">
        <v>336</v>
      </c>
      <c r="C2" t="s">
        <v>88</v>
      </c>
      <c r="D2">
        <v>795.33710176067052</v>
      </c>
    </row>
    <row r="3" spans="1:4">
      <c r="A3" t="s">
        <v>373</v>
      </c>
      <c r="B3" t="s">
        <v>336</v>
      </c>
      <c r="C3" t="s">
        <v>89</v>
      </c>
      <c r="D3">
        <v>1146.3603971423718</v>
      </c>
    </row>
    <row r="4" spans="1:4">
      <c r="A4" t="s">
        <v>373</v>
      </c>
      <c r="B4" t="s">
        <v>336</v>
      </c>
      <c r="C4" t="s">
        <v>90</v>
      </c>
      <c r="D4">
        <v>801.63607225354883</v>
      </c>
    </row>
    <row r="5" spans="1:4">
      <c r="A5" t="s">
        <v>373</v>
      </c>
      <c r="B5" t="s">
        <v>336</v>
      </c>
      <c r="C5" t="s">
        <v>91</v>
      </c>
      <c r="D5">
        <v>810.85816675402975</v>
      </c>
    </row>
    <row r="6" spans="1:4">
      <c r="A6" t="s">
        <v>373</v>
      </c>
      <c r="B6" t="s">
        <v>336</v>
      </c>
      <c r="C6" t="s">
        <v>92</v>
      </c>
      <c r="D6">
        <v>790.77686059166683</v>
      </c>
    </row>
    <row r="7" spans="1:4">
      <c r="A7" t="s">
        <v>373</v>
      </c>
      <c r="B7" t="s">
        <v>336</v>
      </c>
      <c r="C7" t="s">
        <v>93</v>
      </c>
      <c r="D7">
        <v>833.08890863047202</v>
      </c>
    </row>
    <row r="8" spans="1:4">
      <c r="A8" t="s">
        <v>373</v>
      </c>
      <c r="B8" t="s">
        <v>336</v>
      </c>
      <c r="C8" t="s">
        <v>94</v>
      </c>
      <c r="D8">
        <v>810.9115479203839</v>
      </c>
    </row>
    <row r="9" spans="1:4">
      <c r="A9" t="s">
        <v>373</v>
      </c>
      <c r="B9" t="s">
        <v>336</v>
      </c>
      <c r="C9" t="s">
        <v>95</v>
      </c>
      <c r="D9">
        <v>1237.6218753584944</v>
      </c>
    </row>
    <row r="10" spans="1:4">
      <c r="A10" t="s">
        <v>373</v>
      </c>
      <c r="B10" t="s">
        <v>336</v>
      </c>
      <c r="C10" t="s">
        <v>96</v>
      </c>
      <c r="D10">
        <v>846.8989654767654</v>
      </c>
    </row>
    <row r="11" spans="1:4">
      <c r="A11" t="s">
        <v>373</v>
      </c>
      <c r="B11" t="s">
        <v>336</v>
      </c>
      <c r="C11" t="s">
        <v>97</v>
      </c>
      <c r="D11">
        <v>812.58632734799698</v>
      </c>
    </row>
    <row r="12" spans="1:4">
      <c r="A12" t="s">
        <v>373</v>
      </c>
      <c r="B12" t="s">
        <v>336</v>
      </c>
      <c r="C12" t="s">
        <v>98</v>
      </c>
      <c r="D12">
        <v>842.82650856921884</v>
      </c>
    </row>
    <row r="13" spans="1:4">
      <c r="A13" t="s">
        <v>373</v>
      </c>
      <c r="B13" t="s">
        <v>336</v>
      </c>
      <c r="C13" t="s">
        <v>99</v>
      </c>
      <c r="D13">
        <v>849.12132004840805</v>
      </c>
    </row>
    <row r="14" spans="1:4">
      <c r="A14" t="s">
        <v>373</v>
      </c>
      <c r="B14" t="s">
        <v>337</v>
      </c>
      <c r="C14" t="s">
        <v>88</v>
      </c>
      <c r="D14">
        <v>9308.4805010177442</v>
      </c>
    </row>
    <row r="15" spans="1:4">
      <c r="A15" t="s">
        <v>373</v>
      </c>
      <c r="B15" t="s">
        <v>337</v>
      </c>
      <c r="C15" t="s">
        <v>89</v>
      </c>
      <c r="D15">
        <v>13253.0666171416</v>
      </c>
    </row>
    <row r="16" spans="1:4">
      <c r="A16" t="s">
        <v>373</v>
      </c>
      <c r="B16" t="s">
        <v>337</v>
      </c>
      <c r="C16" t="s">
        <v>90</v>
      </c>
      <c r="D16">
        <v>9536.0350254426012</v>
      </c>
    </row>
    <row r="17" spans="1:4">
      <c r="A17" t="s">
        <v>373</v>
      </c>
      <c r="B17" t="s">
        <v>337</v>
      </c>
      <c r="C17" t="s">
        <v>91</v>
      </c>
      <c r="D17">
        <v>9708.3154403553035</v>
      </c>
    </row>
    <row r="18" spans="1:4">
      <c r="A18" t="s">
        <v>373</v>
      </c>
      <c r="B18" t="s">
        <v>337</v>
      </c>
      <c r="C18" t="s">
        <v>92</v>
      </c>
      <c r="D18">
        <v>9267.6420571094168</v>
      </c>
    </row>
    <row r="19" spans="1:4">
      <c r="A19" t="s">
        <v>373</v>
      </c>
      <c r="B19" t="s">
        <v>337</v>
      </c>
      <c r="C19" t="s">
        <v>93</v>
      </c>
      <c r="D19">
        <v>9844.8686713359621</v>
      </c>
    </row>
    <row r="20" spans="1:4">
      <c r="A20" t="s">
        <v>373</v>
      </c>
      <c r="B20" t="s">
        <v>337</v>
      </c>
      <c r="C20" t="s">
        <v>94</v>
      </c>
      <c r="D20">
        <v>9378.9502371052913</v>
      </c>
    </row>
    <row r="21" spans="1:4">
      <c r="A21" t="s">
        <v>373</v>
      </c>
      <c r="B21" t="s">
        <v>337</v>
      </c>
      <c r="C21" t="s">
        <v>95</v>
      </c>
      <c r="D21">
        <v>14242.882501689488</v>
      </c>
    </row>
    <row r="22" spans="1:4">
      <c r="A22" t="s">
        <v>373</v>
      </c>
      <c r="B22" t="s">
        <v>337</v>
      </c>
      <c r="C22" t="s">
        <v>96</v>
      </c>
      <c r="D22">
        <v>9732.6879076038949</v>
      </c>
    </row>
    <row r="23" spans="1:4">
      <c r="A23" t="s">
        <v>373</v>
      </c>
      <c r="B23" t="s">
        <v>337</v>
      </c>
      <c r="C23" t="s">
        <v>97</v>
      </c>
      <c r="D23">
        <v>9138.2749309096234</v>
      </c>
    </row>
    <row r="24" spans="1:4">
      <c r="A24" t="s">
        <v>373</v>
      </c>
      <c r="B24" t="s">
        <v>337</v>
      </c>
      <c r="C24" t="s">
        <v>98</v>
      </c>
      <c r="D24">
        <v>9498.0799550161191</v>
      </c>
    </row>
    <row r="25" spans="1:4">
      <c r="A25" t="s">
        <v>373</v>
      </c>
      <c r="B25" t="s">
        <v>337</v>
      </c>
      <c r="C25" t="s">
        <v>99</v>
      </c>
      <c r="D25">
        <v>9499.9847971301388</v>
      </c>
    </row>
    <row r="26" spans="1:4">
      <c r="A26" t="s">
        <v>373</v>
      </c>
      <c r="B26" t="s">
        <v>333</v>
      </c>
      <c r="C26" t="s">
        <v>88</v>
      </c>
      <c r="D26">
        <v>1537.7860208190027</v>
      </c>
    </row>
    <row r="27" spans="1:4">
      <c r="A27" t="s">
        <v>373</v>
      </c>
      <c r="B27" t="s">
        <v>333</v>
      </c>
      <c r="C27" t="s">
        <v>89</v>
      </c>
      <c r="D27">
        <v>2594.6804429288791</v>
      </c>
    </row>
    <row r="28" spans="1:4">
      <c r="A28" t="s">
        <v>373</v>
      </c>
      <c r="B28" t="s">
        <v>333</v>
      </c>
      <c r="C28" t="s">
        <v>90</v>
      </c>
      <c r="D28">
        <v>1568.3807276454174</v>
      </c>
    </row>
    <row r="29" spans="1:4">
      <c r="A29" t="s">
        <v>373</v>
      </c>
      <c r="B29" t="s">
        <v>333</v>
      </c>
      <c r="C29" t="s">
        <v>91</v>
      </c>
      <c r="D29">
        <v>1635.1447089070016</v>
      </c>
    </row>
    <row r="30" spans="1:4">
      <c r="A30" t="s">
        <v>373</v>
      </c>
      <c r="B30" t="s">
        <v>333</v>
      </c>
      <c r="C30" t="s">
        <v>92</v>
      </c>
      <c r="D30">
        <v>1529.5711844127627</v>
      </c>
    </row>
    <row r="31" spans="1:4">
      <c r="A31" t="s">
        <v>373</v>
      </c>
      <c r="B31" t="s">
        <v>333</v>
      </c>
      <c r="C31" t="s">
        <v>93</v>
      </c>
      <c r="D31">
        <v>1693.2936585547084</v>
      </c>
    </row>
    <row r="32" spans="1:4">
      <c r="A32" t="s">
        <v>373</v>
      </c>
      <c r="B32" t="s">
        <v>333</v>
      </c>
      <c r="C32" t="s">
        <v>94</v>
      </c>
      <c r="D32">
        <v>1581.1652198811034</v>
      </c>
    </row>
    <row r="33" spans="1:4">
      <c r="A33" t="s">
        <v>373</v>
      </c>
      <c r="B33" t="s">
        <v>333</v>
      </c>
      <c r="C33" t="s">
        <v>95</v>
      </c>
      <c r="D33">
        <v>2908.7594347112627</v>
      </c>
    </row>
    <row r="34" spans="1:4">
      <c r="A34" t="s">
        <v>373</v>
      </c>
      <c r="B34" t="s">
        <v>333</v>
      </c>
      <c r="C34" t="s">
        <v>96</v>
      </c>
      <c r="D34">
        <v>1696.6678175961576</v>
      </c>
    </row>
    <row r="35" spans="1:4">
      <c r="A35" t="s">
        <v>373</v>
      </c>
      <c r="B35" t="s">
        <v>333</v>
      </c>
      <c r="C35" t="s">
        <v>97</v>
      </c>
      <c r="D35">
        <v>1549.3279794950299</v>
      </c>
    </row>
    <row r="36" spans="1:4">
      <c r="A36" t="s">
        <v>373</v>
      </c>
      <c r="B36" t="s">
        <v>333</v>
      </c>
      <c r="C36" t="s">
        <v>98</v>
      </c>
      <c r="D36">
        <v>1655.4236507488918</v>
      </c>
    </row>
    <row r="37" spans="1:4">
      <c r="A37" t="s">
        <v>373</v>
      </c>
      <c r="B37" t="s">
        <v>333</v>
      </c>
      <c r="C37" t="s">
        <v>99</v>
      </c>
      <c r="D37">
        <v>1666.3993382586664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89"/>
  <sheetViews>
    <sheetView workbookViewId="0">
      <selection activeCell="D2" sqref="D2:D89"/>
    </sheetView>
  </sheetViews>
  <sheetFormatPr baseColWidth="10" defaultRowHeight="15"/>
  <cols>
    <col min="1" max="1" width="13.42578125" bestFit="1" customWidth="1"/>
    <col min="2" max="2" width="16.42578125" bestFit="1" customWidth="1"/>
    <col min="3" max="3" width="11" bestFit="1" customWidth="1"/>
    <col min="4" max="4" width="9.42578125" bestFit="1" customWidth="1"/>
  </cols>
  <sheetData>
    <row r="1" spans="1:4">
      <c r="A1" t="s">
        <v>364</v>
      </c>
      <c r="B1" t="s">
        <v>0</v>
      </c>
      <c r="C1" t="s">
        <v>365</v>
      </c>
      <c r="D1" t="s">
        <v>366</v>
      </c>
    </row>
    <row r="2" spans="1:4">
      <c r="A2" t="s">
        <v>190</v>
      </c>
      <c r="B2" t="s">
        <v>8</v>
      </c>
      <c r="C2" t="s">
        <v>93</v>
      </c>
      <c r="D2" s="129">
        <v>66.416815382399989</v>
      </c>
    </row>
    <row r="3" spans="1:4">
      <c r="A3" t="s">
        <v>190</v>
      </c>
      <c r="B3" t="s">
        <v>8</v>
      </c>
      <c r="C3" t="s">
        <v>94</v>
      </c>
      <c r="D3" s="129">
        <v>79.700178458879989</v>
      </c>
    </row>
    <row r="4" spans="1:4">
      <c r="A4" t="s">
        <v>190</v>
      </c>
      <c r="B4" t="s">
        <v>8</v>
      </c>
      <c r="C4" t="s">
        <v>95</v>
      </c>
      <c r="D4" s="129">
        <v>66.416815382399989</v>
      </c>
    </row>
    <row r="5" spans="1:4">
      <c r="A5" t="s">
        <v>190</v>
      </c>
      <c r="B5" t="s">
        <v>8</v>
      </c>
      <c r="C5" t="s">
        <v>97</v>
      </c>
      <c r="D5" s="129">
        <v>119.55026768831998</v>
      </c>
    </row>
    <row r="6" spans="1:4">
      <c r="A6" t="s">
        <v>190</v>
      </c>
      <c r="B6" t="s">
        <v>8</v>
      </c>
      <c r="C6" t="s">
        <v>93</v>
      </c>
      <c r="D6" s="129">
        <v>101.82368908799999</v>
      </c>
    </row>
    <row r="7" spans="1:4">
      <c r="A7" t="s">
        <v>190</v>
      </c>
      <c r="B7" t="s">
        <v>8</v>
      </c>
      <c r="C7" t="s">
        <v>94</v>
      </c>
      <c r="D7" s="129">
        <v>122.18842690559998</v>
      </c>
    </row>
    <row r="8" spans="1:4">
      <c r="A8" t="s">
        <v>190</v>
      </c>
      <c r="B8" t="s">
        <v>8</v>
      </c>
      <c r="C8" t="s">
        <v>95</v>
      </c>
      <c r="D8" s="129">
        <v>101.82368908799999</v>
      </c>
    </row>
    <row r="9" spans="1:4">
      <c r="A9" t="s">
        <v>190</v>
      </c>
      <c r="B9" t="s">
        <v>8</v>
      </c>
      <c r="C9" t="s">
        <v>97</v>
      </c>
      <c r="D9" s="129">
        <v>183.28264035839999</v>
      </c>
    </row>
    <row r="10" spans="1:4">
      <c r="A10" t="s">
        <v>202</v>
      </c>
      <c r="B10" t="s">
        <v>8</v>
      </c>
      <c r="C10" t="s">
        <v>93</v>
      </c>
      <c r="D10" s="129">
        <v>19.7140743</v>
      </c>
    </row>
    <row r="11" spans="1:4">
      <c r="A11" t="s">
        <v>202</v>
      </c>
      <c r="B11" t="s">
        <v>8</v>
      </c>
      <c r="C11" t="s">
        <v>94</v>
      </c>
      <c r="D11" s="129">
        <v>23.656889159999999</v>
      </c>
    </row>
    <row r="12" spans="1:4">
      <c r="A12" t="s">
        <v>202</v>
      </c>
      <c r="B12" t="s">
        <v>8</v>
      </c>
      <c r="C12" t="s">
        <v>95</v>
      </c>
      <c r="D12" s="129">
        <v>19.7140743</v>
      </c>
    </row>
    <row r="13" spans="1:4">
      <c r="A13" t="s">
        <v>202</v>
      </c>
      <c r="B13" t="s">
        <v>8</v>
      </c>
      <c r="C13" t="s">
        <v>97</v>
      </c>
      <c r="D13" s="129">
        <v>35.485333739999994</v>
      </c>
    </row>
    <row r="14" spans="1:4">
      <c r="A14" t="s">
        <v>202</v>
      </c>
      <c r="B14" t="s">
        <v>8</v>
      </c>
      <c r="C14" t="s">
        <v>93</v>
      </c>
      <c r="D14" s="129">
        <v>209.22675839999999</v>
      </c>
    </row>
    <row r="15" spans="1:4">
      <c r="A15" t="s">
        <v>202</v>
      </c>
      <c r="B15" t="s">
        <v>8</v>
      </c>
      <c r="C15" t="s">
        <v>94</v>
      </c>
      <c r="D15" s="129">
        <v>251.07211007999999</v>
      </c>
    </row>
    <row r="16" spans="1:4">
      <c r="A16" t="s">
        <v>202</v>
      </c>
      <c r="B16" t="s">
        <v>8</v>
      </c>
      <c r="C16" t="s">
        <v>95</v>
      </c>
      <c r="D16" s="129">
        <v>209.22675839999999</v>
      </c>
    </row>
    <row r="17" spans="1:4">
      <c r="A17" t="s">
        <v>202</v>
      </c>
      <c r="B17" t="s">
        <v>8</v>
      </c>
      <c r="C17" t="s">
        <v>97</v>
      </c>
      <c r="D17" s="129">
        <v>376.60816512000002</v>
      </c>
    </row>
    <row r="18" spans="1:4">
      <c r="A18" t="s">
        <v>202</v>
      </c>
      <c r="B18" t="s">
        <v>8</v>
      </c>
      <c r="C18" t="s">
        <v>93</v>
      </c>
      <c r="D18" s="129">
        <v>125.3181105</v>
      </c>
    </row>
    <row r="19" spans="1:4">
      <c r="A19" t="s">
        <v>202</v>
      </c>
      <c r="B19" t="s">
        <v>8</v>
      </c>
      <c r="C19" t="s">
        <v>94</v>
      </c>
      <c r="D19" s="129">
        <v>150.38173259999999</v>
      </c>
    </row>
    <row r="20" spans="1:4">
      <c r="A20" t="s">
        <v>202</v>
      </c>
      <c r="B20" t="s">
        <v>8</v>
      </c>
      <c r="C20" t="s">
        <v>95</v>
      </c>
      <c r="D20" s="129">
        <v>125.3181105</v>
      </c>
    </row>
    <row r="21" spans="1:4">
      <c r="A21" t="s">
        <v>202</v>
      </c>
      <c r="B21" t="s">
        <v>8</v>
      </c>
      <c r="C21" t="s">
        <v>97</v>
      </c>
      <c r="D21" s="129">
        <v>225.57259889999995</v>
      </c>
    </row>
    <row r="22" spans="1:4">
      <c r="A22" t="s">
        <v>202</v>
      </c>
      <c r="B22" t="s">
        <v>8</v>
      </c>
      <c r="C22" t="s">
        <v>93</v>
      </c>
      <c r="D22" s="129">
        <v>74.116994112000015</v>
      </c>
    </row>
    <row r="23" spans="1:4">
      <c r="A23" t="s">
        <v>202</v>
      </c>
      <c r="B23" t="s">
        <v>8</v>
      </c>
      <c r="C23" t="s">
        <v>94</v>
      </c>
      <c r="D23" s="129">
        <v>88.940392934400009</v>
      </c>
    </row>
    <row r="24" spans="1:4">
      <c r="A24" t="s">
        <v>202</v>
      </c>
      <c r="B24" t="s">
        <v>8</v>
      </c>
      <c r="C24" t="s">
        <v>95</v>
      </c>
      <c r="D24" s="129">
        <v>74.116994112000015</v>
      </c>
    </row>
    <row r="25" spans="1:4">
      <c r="A25" t="s">
        <v>202</v>
      </c>
      <c r="B25" t="s">
        <v>8</v>
      </c>
      <c r="C25" t="s">
        <v>97</v>
      </c>
      <c r="D25" s="129">
        <v>133.41058940160002</v>
      </c>
    </row>
    <row r="26" spans="1:4">
      <c r="A26" t="s">
        <v>202</v>
      </c>
      <c r="B26" t="s">
        <v>8</v>
      </c>
      <c r="C26" t="s">
        <v>93</v>
      </c>
      <c r="D26" s="129">
        <v>115.906869</v>
      </c>
    </row>
    <row r="27" spans="1:4">
      <c r="A27" t="s">
        <v>202</v>
      </c>
      <c r="B27" t="s">
        <v>8</v>
      </c>
      <c r="C27" t="s">
        <v>94</v>
      </c>
      <c r="D27" s="129">
        <v>139.08824279999999</v>
      </c>
    </row>
    <row r="28" spans="1:4">
      <c r="A28" t="s">
        <v>202</v>
      </c>
      <c r="B28" t="s">
        <v>8</v>
      </c>
      <c r="C28" t="s">
        <v>95</v>
      </c>
      <c r="D28" s="129">
        <v>115.906869</v>
      </c>
    </row>
    <row r="29" spans="1:4">
      <c r="A29" t="s">
        <v>202</v>
      </c>
      <c r="B29" t="s">
        <v>8</v>
      </c>
      <c r="C29" t="s">
        <v>97</v>
      </c>
      <c r="D29" s="129">
        <v>208.63236420000001</v>
      </c>
    </row>
    <row r="30" spans="1:4">
      <c r="A30" t="s">
        <v>202</v>
      </c>
      <c r="B30" t="s">
        <v>8</v>
      </c>
      <c r="C30" t="s">
        <v>93</v>
      </c>
      <c r="D30" s="129">
        <v>520.11576539999999</v>
      </c>
    </row>
    <row r="31" spans="1:4">
      <c r="A31" t="s">
        <v>202</v>
      </c>
      <c r="B31" t="s">
        <v>8</v>
      </c>
      <c r="C31" t="s">
        <v>94</v>
      </c>
      <c r="D31" s="129">
        <v>624.13891847999992</v>
      </c>
    </row>
    <row r="32" spans="1:4">
      <c r="A32" t="s">
        <v>202</v>
      </c>
      <c r="B32" t="s">
        <v>8</v>
      </c>
      <c r="C32" t="s">
        <v>95</v>
      </c>
      <c r="D32" s="129">
        <v>520.11576539999999</v>
      </c>
    </row>
    <row r="33" spans="1:4">
      <c r="A33" t="s">
        <v>202</v>
      </c>
      <c r="B33" t="s">
        <v>8</v>
      </c>
      <c r="C33" t="s">
        <v>97</v>
      </c>
      <c r="D33" s="129">
        <v>936.20837772000004</v>
      </c>
    </row>
    <row r="34" spans="1:4">
      <c r="A34" t="s">
        <v>203</v>
      </c>
      <c r="B34" t="s">
        <v>8</v>
      </c>
      <c r="C34" t="s">
        <v>93</v>
      </c>
      <c r="D34" s="129">
        <v>809.96116319999965</v>
      </c>
    </row>
    <row r="35" spans="1:4">
      <c r="A35" t="s">
        <v>203</v>
      </c>
      <c r="B35" t="s">
        <v>8</v>
      </c>
      <c r="C35" t="s">
        <v>94</v>
      </c>
      <c r="D35" s="129">
        <v>971.95339583999964</v>
      </c>
    </row>
    <row r="36" spans="1:4">
      <c r="A36" t="s">
        <v>203</v>
      </c>
      <c r="B36" t="s">
        <v>8</v>
      </c>
      <c r="C36" t="s">
        <v>95</v>
      </c>
      <c r="D36" s="129">
        <v>809.96116319999965</v>
      </c>
    </row>
    <row r="37" spans="1:4">
      <c r="A37" t="s">
        <v>203</v>
      </c>
      <c r="B37" t="s">
        <v>8</v>
      </c>
      <c r="C37" t="s">
        <v>97</v>
      </c>
      <c r="D37" s="129">
        <v>1457.9300937599994</v>
      </c>
    </row>
    <row r="38" spans="1:4">
      <c r="A38" t="s">
        <v>203</v>
      </c>
      <c r="B38" t="s">
        <v>8</v>
      </c>
      <c r="C38" t="s">
        <v>93</v>
      </c>
      <c r="D38" s="129">
        <v>679.98696480000001</v>
      </c>
    </row>
    <row r="39" spans="1:4">
      <c r="A39" t="s">
        <v>203</v>
      </c>
      <c r="B39" t="s">
        <v>8</v>
      </c>
      <c r="C39" t="s">
        <v>94</v>
      </c>
      <c r="D39" s="129">
        <v>815.98435775999997</v>
      </c>
    </row>
    <row r="40" spans="1:4">
      <c r="A40" t="s">
        <v>203</v>
      </c>
      <c r="B40" t="s">
        <v>8</v>
      </c>
      <c r="C40" t="s">
        <v>95</v>
      </c>
      <c r="D40" s="129">
        <v>679.98696480000001</v>
      </c>
    </row>
    <row r="41" spans="1:4">
      <c r="A41" t="s">
        <v>203</v>
      </c>
      <c r="B41" t="s">
        <v>8</v>
      </c>
      <c r="C41" t="s">
        <v>97</v>
      </c>
      <c r="D41" s="129">
        <v>1223.9765366399999</v>
      </c>
    </row>
    <row r="42" spans="1:4">
      <c r="A42" t="s">
        <v>204</v>
      </c>
      <c r="B42" t="s">
        <v>8</v>
      </c>
      <c r="C42" t="s">
        <v>93</v>
      </c>
      <c r="D42" s="129">
        <v>1004.849506814882</v>
      </c>
    </row>
    <row r="43" spans="1:4">
      <c r="A43" t="s">
        <v>204</v>
      </c>
      <c r="B43" t="s">
        <v>8</v>
      </c>
      <c r="C43" t="s">
        <v>94</v>
      </c>
      <c r="D43" s="129">
        <v>1205.8194081778579</v>
      </c>
    </row>
    <row r="44" spans="1:4">
      <c r="A44" t="s">
        <v>204</v>
      </c>
      <c r="B44" t="s">
        <v>8</v>
      </c>
      <c r="C44" t="s">
        <v>95</v>
      </c>
      <c r="D44" s="129">
        <v>1004.849506814882</v>
      </c>
    </row>
    <row r="45" spans="1:4">
      <c r="A45" t="s">
        <v>204</v>
      </c>
      <c r="B45" t="s">
        <v>8</v>
      </c>
      <c r="C45" t="s">
        <v>97</v>
      </c>
      <c r="D45" s="129">
        <v>1808.7291122667873</v>
      </c>
    </row>
    <row r="46" spans="1:4">
      <c r="A46" t="s">
        <v>204</v>
      </c>
      <c r="B46" t="s">
        <v>8</v>
      </c>
      <c r="C46" t="s">
        <v>93</v>
      </c>
      <c r="D46" s="129">
        <v>209.8285978441869</v>
      </c>
    </row>
    <row r="47" spans="1:4">
      <c r="A47" t="s">
        <v>204</v>
      </c>
      <c r="B47" t="s">
        <v>8</v>
      </c>
      <c r="C47" t="s">
        <v>94</v>
      </c>
      <c r="D47" s="129">
        <v>251.79431741302423</v>
      </c>
    </row>
    <row r="48" spans="1:4">
      <c r="A48" t="s">
        <v>204</v>
      </c>
      <c r="B48" t="s">
        <v>8</v>
      </c>
      <c r="C48" t="s">
        <v>95</v>
      </c>
      <c r="D48" s="129">
        <v>209.8285978441869</v>
      </c>
    </row>
    <row r="49" spans="1:4">
      <c r="A49" t="s">
        <v>204</v>
      </c>
      <c r="B49" t="s">
        <v>8</v>
      </c>
      <c r="C49" t="s">
        <v>97</v>
      </c>
      <c r="D49" s="129">
        <v>377.69147611953639</v>
      </c>
    </row>
    <row r="50" spans="1:4">
      <c r="A50" t="s">
        <v>204</v>
      </c>
      <c r="B50" t="s">
        <v>8</v>
      </c>
      <c r="C50" t="s">
        <v>93</v>
      </c>
      <c r="D50" s="129">
        <v>123.2367782451923</v>
      </c>
    </row>
    <row r="51" spans="1:4">
      <c r="A51" t="s">
        <v>204</v>
      </c>
      <c r="B51" t="s">
        <v>8</v>
      </c>
      <c r="C51" t="s">
        <v>94</v>
      </c>
      <c r="D51" s="129">
        <v>147.88413389423076</v>
      </c>
    </row>
    <row r="52" spans="1:4">
      <c r="A52" t="s">
        <v>204</v>
      </c>
      <c r="B52" t="s">
        <v>8</v>
      </c>
      <c r="C52" t="s">
        <v>95</v>
      </c>
      <c r="D52" s="129">
        <v>123.2367782451923</v>
      </c>
    </row>
    <row r="53" spans="1:4">
      <c r="A53" t="s">
        <v>204</v>
      </c>
      <c r="B53" t="s">
        <v>8</v>
      </c>
      <c r="C53" t="s">
        <v>97</v>
      </c>
      <c r="D53" s="129">
        <v>221.82620084134612</v>
      </c>
    </row>
    <row r="54" spans="1:4">
      <c r="A54" t="s">
        <v>204</v>
      </c>
      <c r="B54" t="s">
        <v>8</v>
      </c>
      <c r="C54" t="s">
        <v>93</v>
      </c>
      <c r="D54" s="129">
        <v>0</v>
      </c>
    </row>
    <row r="55" spans="1:4">
      <c r="A55" t="s">
        <v>204</v>
      </c>
      <c r="B55" t="s">
        <v>8</v>
      </c>
      <c r="C55" t="s">
        <v>94</v>
      </c>
      <c r="D55" s="129">
        <v>0</v>
      </c>
    </row>
    <row r="56" spans="1:4">
      <c r="A56" t="s">
        <v>204</v>
      </c>
      <c r="B56" t="s">
        <v>8</v>
      </c>
      <c r="C56" t="s">
        <v>95</v>
      </c>
      <c r="D56" s="129">
        <v>0</v>
      </c>
    </row>
    <row r="57" spans="1:4">
      <c r="A57" t="s">
        <v>204</v>
      </c>
      <c r="B57" t="s">
        <v>8</v>
      </c>
      <c r="C57" t="s">
        <v>97</v>
      </c>
      <c r="D57" s="129">
        <v>0</v>
      </c>
    </row>
    <row r="58" spans="1:4">
      <c r="A58" t="s">
        <v>205</v>
      </c>
      <c r="B58" t="s">
        <v>8</v>
      </c>
      <c r="C58" t="s">
        <v>93</v>
      </c>
      <c r="D58" s="129">
        <v>6.0251696623999997</v>
      </c>
    </row>
    <row r="59" spans="1:4">
      <c r="A59" t="s">
        <v>205</v>
      </c>
      <c r="B59" t="s">
        <v>8</v>
      </c>
      <c r="C59" t="s">
        <v>94</v>
      </c>
      <c r="D59" s="129">
        <v>7.230203594879999</v>
      </c>
    </row>
    <row r="60" spans="1:4">
      <c r="A60" t="s">
        <v>205</v>
      </c>
      <c r="B60" t="s">
        <v>8</v>
      </c>
      <c r="C60" t="s">
        <v>95</v>
      </c>
      <c r="D60" s="129">
        <v>6.0251696623999997</v>
      </c>
    </row>
    <row r="61" spans="1:4">
      <c r="A61" t="s">
        <v>205</v>
      </c>
      <c r="B61" t="s">
        <v>8</v>
      </c>
      <c r="C61" t="s">
        <v>97</v>
      </c>
      <c r="D61" s="129">
        <v>10.845305392319998</v>
      </c>
    </row>
    <row r="62" spans="1:4">
      <c r="A62" t="s">
        <v>205</v>
      </c>
      <c r="B62" t="s">
        <v>8</v>
      </c>
      <c r="C62" t="s">
        <v>93</v>
      </c>
      <c r="D62" s="129">
        <v>153.33120000000002</v>
      </c>
    </row>
    <row r="63" spans="1:4">
      <c r="A63" t="s">
        <v>205</v>
      </c>
      <c r="B63" t="s">
        <v>8</v>
      </c>
      <c r="C63" t="s">
        <v>94</v>
      </c>
      <c r="D63" s="129">
        <v>183.99744000000001</v>
      </c>
    </row>
    <row r="64" spans="1:4">
      <c r="A64" t="s">
        <v>205</v>
      </c>
      <c r="B64" t="s">
        <v>8</v>
      </c>
      <c r="C64" t="s">
        <v>95</v>
      </c>
      <c r="D64" s="129">
        <v>153.33120000000002</v>
      </c>
    </row>
    <row r="65" spans="1:4">
      <c r="A65" t="s">
        <v>205</v>
      </c>
      <c r="B65" t="s">
        <v>8</v>
      </c>
      <c r="C65" t="s">
        <v>97</v>
      </c>
      <c r="D65" s="129">
        <v>275.99616000000003</v>
      </c>
    </row>
    <row r="66" spans="1:4">
      <c r="A66" t="s">
        <v>206</v>
      </c>
      <c r="B66" t="s">
        <v>8</v>
      </c>
      <c r="C66" t="s">
        <v>93</v>
      </c>
      <c r="D66" s="129">
        <v>35.720805288461541</v>
      </c>
    </row>
    <row r="67" spans="1:4">
      <c r="A67" t="s">
        <v>206</v>
      </c>
      <c r="B67" t="s">
        <v>8</v>
      </c>
      <c r="C67" t="s">
        <v>94</v>
      </c>
      <c r="D67" s="129">
        <v>42.864966346153842</v>
      </c>
    </row>
    <row r="68" spans="1:4">
      <c r="A68" t="s">
        <v>206</v>
      </c>
      <c r="B68" t="s">
        <v>8</v>
      </c>
      <c r="C68" t="s">
        <v>95</v>
      </c>
      <c r="D68" s="129">
        <v>35.720805288461541</v>
      </c>
    </row>
    <row r="69" spans="1:4">
      <c r="A69" t="s">
        <v>206</v>
      </c>
      <c r="B69" t="s">
        <v>8</v>
      </c>
      <c r="C69" t="s">
        <v>97</v>
      </c>
      <c r="D69" s="129">
        <v>64.297449519230767</v>
      </c>
    </row>
    <row r="70" spans="1:4">
      <c r="A70" t="s">
        <v>206</v>
      </c>
      <c r="B70" t="s">
        <v>8</v>
      </c>
      <c r="C70" t="s">
        <v>93</v>
      </c>
      <c r="D70" s="129">
        <v>160.48643399999995</v>
      </c>
    </row>
    <row r="71" spans="1:4">
      <c r="A71" t="s">
        <v>206</v>
      </c>
      <c r="B71" t="s">
        <v>8</v>
      </c>
      <c r="C71" t="s">
        <v>94</v>
      </c>
      <c r="D71" s="129">
        <v>192.58372079999992</v>
      </c>
    </row>
    <row r="72" spans="1:4">
      <c r="A72" t="s">
        <v>206</v>
      </c>
      <c r="B72" t="s">
        <v>8</v>
      </c>
      <c r="C72" t="s">
        <v>95</v>
      </c>
      <c r="D72" s="129">
        <v>160.48643399999995</v>
      </c>
    </row>
    <row r="73" spans="1:4">
      <c r="A73" t="s">
        <v>206</v>
      </c>
      <c r="B73" t="s">
        <v>8</v>
      </c>
      <c r="C73" t="s">
        <v>97</v>
      </c>
      <c r="D73" s="129">
        <v>288.87558119999989</v>
      </c>
    </row>
    <row r="74" spans="1:4">
      <c r="A74" t="s">
        <v>206</v>
      </c>
      <c r="B74" t="s">
        <v>8</v>
      </c>
      <c r="C74" t="s">
        <v>93</v>
      </c>
      <c r="D74" s="129">
        <v>200.07308771999996</v>
      </c>
    </row>
    <row r="75" spans="1:4">
      <c r="A75" t="s">
        <v>206</v>
      </c>
      <c r="B75" t="s">
        <v>8</v>
      </c>
      <c r="C75" t="s">
        <v>94</v>
      </c>
      <c r="D75" s="129">
        <v>240.08770526399991</v>
      </c>
    </row>
    <row r="76" spans="1:4">
      <c r="A76" t="s">
        <v>206</v>
      </c>
      <c r="B76" t="s">
        <v>8</v>
      </c>
      <c r="C76" t="s">
        <v>95</v>
      </c>
      <c r="D76" s="129">
        <v>200.07308771999996</v>
      </c>
    </row>
    <row r="77" spans="1:4">
      <c r="A77" t="s">
        <v>206</v>
      </c>
      <c r="B77" t="s">
        <v>8</v>
      </c>
      <c r="C77" t="s">
        <v>97</v>
      </c>
      <c r="D77" s="129">
        <v>360.13155789599989</v>
      </c>
    </row>
    <row r="78" spans="1:4">
      <c r="A78" t="s">
        <v>206</v>
      </c>
      <c r="B78" t="s">
        <v>8</v>
      </c>
      <c r="C78" t="s">
        <v>93</v>
      </c>
      <c r="D78" s="129">
        <v>210.99144873600005</v>
      </c>
    </row>
    <row r="79" spans="1:4">
      <c r="A79" t="s">
        <v>206</v>
      </c>
      <c r="B79" t="s">
        <v>8</v>
      </c>
      <c r="C79" t="s">
        <v>94</v>
      </c>
      <c r="D79" s="129">
        <v>253.18973848319999</v>
      </c>
    </row>
    <row r="80" spans="1:4">
      <c r="A80" t="s">
        <v>206</v>
      </c>
      <c r="B80" t="s">
        <v>8</v>
      </c>
      <c r="C80" t="s">
        <v>95</v>
      </c>
      <c r="D80" s="129">
        <v>210.99144873600005</v>
      </c>
    </row>
    <row r="81" spans="1:4">
      <c r="A81" t="s">
        <v>206</v>
      </c>
      <c r="B81" t="s">
        <v>8</v>
      </c>
      <c r="C81" t="s">
        <v>97</v>
      </c>
      <c r="D81" s="129">
        <v>379.78460772480003</v>
      </c>
    </row>
    <row r="82" spans="1:4">
      <c r="A82" t="s">
        <v>206</v>
      </c>
      <c r="B82" t="s">
        <v>8</v>
      </c>
      <c r="C82" t="s">
        <v>93</v>
      </c>
      <c r="D82" s="129">
        <v>74.451385216346139</v>
      </c>
    </row>
    <row r="83" spans="1:4">
      <c r="A83" t="s">
        <v>206</v>
      </c>
      <c r="B83" t="s">
        <v>8</v>
      </c>
      <c r="C83" t="s">
        <v>94</v>
      </c>
      <c r="D83" s="129">
        <v>89.341662259615362</v>
      </c>
    </row>
    <row r="84" spans="1:4">
      <c r="A84" t="s">
        <v>206</v>
      </c>
      <c r="B84" t="s">
        <v>8</v>
      </c>
      <c r="C84" t="s">
        <v>95</v>
      </c>
      <c r="D84" s="129">
        <v>74.451385216346139</v>
      </c>
    </row>
    <row r="85" spans="1:4">
      <c r="A85" t="s">
        <v>206</v>
      </c>
      <c r="B85" t="s">
        <v>8</v>
      </c>
      <c r="C85" t="s">
        <v>97</v>
      </c>
      <c r="D85" s="129">
        <v>134.01249338942304</v>
      </c>
    </row>
    <row r="86" spans="1:4">
      <c r="A86" t="s">
        <v>206</v>
      </c>
      <c r="B86" t="s">
        <v>8</v>
      </c>
      <c r="C86" t="s">
        <v>93</v>
      </c>
      <c r="D86" s="129">
        <v>0</v>
      </c>
    </row>
    <row r="87" spans="1:4">
      <c r="A87" t="s">
        <v>206</v>
      </c>
      <c r="B87" t="s">
        <v>8</v>
      </c>
      <c r="C87" t="s">
        <v>94</v>
      </c>
      <c r="D87" s="129">
        <v>0</v>
      </c>
    </row>
    <row r="88" spans="1:4">
      <c r="A88" t="s">
        <v>206</v>
      </c>
      <c r="B88" t="s">
        <v>8</v>
      </c>
      <c r="C88" t="s">
        <v>95</v>
      </c>
      <c r="D88" s="129">
        <v>0</v>
      </c>
    </row>
    <row r="89" spans="1:4">
      <c r="A89" t="s">
        <v>206</v>
      </c>
      <c r="B89" t="s">
        <v>8</v>
      </c>
      <c r="C89" t="s">
        <v>97</v>
      </c>
      <c r="D89" s="129">
        <v>0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89"/>
  <sheetViews>
    <sheetView workbookViewId="0">
      <selection activeCell="D2" sqref="D2:D89"/>
    </sheetView>
  </sheetViews>
  <sheetFormatPr baseColWidth="10" defaultRowHeight="15"/>
  <cols>
    <col min="1" max="1" width="13.42578125" bestFit="1" customWidth="1"/>
    <col min="2" max="2" width="11.42578125" bestFit="1" customWidth="1"/>
    <col min="3" max="3" width="11" bestFit="1" customWidth="1"/>
    <col min="4" max="4" width="8" bestFit="1" customWidth="1"/>
  </cols>
  <sheetData>
    <row r="1" spans="1:4">
      <c r="A1" t="s">
        <v>364</v>
      </c>
      <c r="B1" t="s">
        <v>0</v>
      </c>
      <c r="C1" t="s">
        <v>365</v>
      </c>
      <c r="D1" t="s">
        <v>366</v>
      </c>
    </row>
    <row r="2" spans="1:4">
      <c r="A2" t="s">
        <v>190</v>
      </c>
      <c r="B2" t="s">
        <v>4</v>
      </c>
      <c r="C2" t="s">
        <v>93</v>
      </c>
      <c r="D2" s="69">
        <v>26.931253440000003</v>
      </c>
    </row>
    <row r="3" spans="1:4">
      <c r="A3" t="s">
        <v>190</v>
      </c>
      <c r="B3" t="s">
        <v>4</v>
      </c>
      <c r="C3" t="s">
        <v>94</v>
      </c>
      <c r="D3" s="69">
        <v>32.317504127999996</v>
      </c>
    </row>
    <row r="4" spans="1:4">
      <c r="A4" t="s">
        <v>190</v>
      </c>
      <c r="B4" t="s">
        <v>4</v>
      </c>
      <c r="C4" t="s">
        <v>95</v>
      </c>
      <c r="D4" s="69">
        <v>26.931253440000003</v>
      </c>
    </row>
    <row r="5" spans="1:4">
      <c r="A5" t="s">
        <v>190</v>
      </c>
      <c r="B5" t="s">
        <v>4</v>
      </c>
      <c r="C5" t="s">
        <v>97</v>
      </c>
      <c r="D5" s="69">
        <v>48.476256192000001</v>
      </c>
    </row>
    <row r="6" spans="1:4">
      <c r="A6" t="s">
        <v>190</v>
      </c>
      <c r="B6" t="s">
        <v>4</v>
      </c>
      <c r="C6" t="s">
        <v>93</v>
      </c>
      <c r="D6" s="69">
        <v>41.288332800000006</v>
      </c>
    </row>
    <row r="7" spans="1:4">
      <c r="A7" t="s">
        <v>190</v>
      </c>
      <c r="B7" t="s">
        <v>4</v>
      </c>
      <c r="C7" t="s">
        <v>94</v>
      </c>
      <c r="D7" s="69">
        <v>49.545999360000003</v>
      </c>
    </row>
    <row r="8" spans="1:4">
      <c r="A8" t="s">
        <v>190</v>
      </c>
      <c r="B8" t="s">
        <v>4</v>
      </c>
      <c r="C8" t="s">
        <v>95</v>
      </c>
      <c r="D8" s="69">
        <v>41.288332800000006</v>
      </c>
    </row>
    <row r="9" spans="1:4">
      <c r="A9" t="s">
        <v>190</v>
      </c>
      <c r="B9" t="s">
        <v>4</v>
      </c>
      <c r="C9" t="s">
        <v>97</v>
      </c>
      <c r="D9" s="69">
        <v>74.318999039999994</v>
      </c>
    </row>
    <row r="10" spans="1:4">
      <c r="A10" t="s">
        <v>202</v>
      </c>
      <c r="B10" t="s">
        <v>4</v>
      </c>
      <c r="C10" t="s">
        <v>93</v>
      </c>
      <c r="D10" s="69">
        <v>7.99383</v>
      </c>
    </row>
    <row r="11" spans="1:4">
      <c r="A11" t="s">
        <v>202</v>
      </c>
      <c r="B11" t="s">
        <v>4</v>
      </c>
      <c r="C11" t="s">
        <v>94</v>
      </c>
      <c r="D11" s="69">
        <v>9.5925959999999986</v>
      </c>
    </row>
    <row r="12" spans="1:4">
      <c r="A12" t="s">
        <v>202</v>
      </c>
      <c r="B12" t="s">
        <v>4</v>
      </c>
      <c r="C12" t="s">
        <v>95</v>
      </c>
      <c r="D12" s="69">
        <v>7.99383</v>
      </c>
    </row>
    <row r="13" spans="1:4">
      <c r="A13" t="s">
        <v>202</v>
      </c>
      <c r="B13" t="s">
        <v>4</v>
      </c>
      <c r="C13" t="s">
        <v>97</v>
      </c>
      <c r="D13" s="69">
        <v>14.388894000000001</v>
      </c>
    </row>
    <row r="14" spans="1:4">
      <c r="A14" t="s">
        <v>202</v>
      </c>
      <c r="B14" t="s">
        <v>4</v>
      </c>
      <c r="C14" t="s">
        <v>93</v>
      </c>
      <c r="D14" s="69">
        <v>84.839040000000011</v>
      </c>
    </row>
    <row r="15" spans="1:4">
      <c r="A15" t="s">
        <v>202</v>
      </c>
      <c r="B15" t="s">
        <v>4</v>
      </c>
      <c r="C15" t="s">
        <v>94</v>
      </c>
      <c r="D15" s="69">
        <v>101.806848</v>
      </c>
    </row>
    <row r="16" spans="1:4">
      <c r="A16" t="s">
        <v>202</v>
      </c>
      <c r="B16" t="s">
        <v>4</v>
      </c>
      <c r="C16" t="s">
        <v>95</v>
      </c>
      <c r="D16" s="69">
        <v>84.839040000000011</v>
      </c>
    </row>
    <row r="17" spans="1:4">
      <c r="A17" t="s">
        <v>202</v>
      </c>
      <c r="B17" t="s">
        <v>4</v>
      </c>
      <c r="C17" t="s">
        <v>97</v>
      </c>
      <c r="D17" s="69">
        <v>152.710272</v>
      </c>
    </row>
    <row r="18" spans="1:4">
      <c r="A18" t="s">
        <v>202</v>
      </c>
      <c r="B18" t="s">
        <v>4</v>
      </c>
      <c r="C18" t="s">
        <v>93</v>
      </c>
      <c r="D18" s="69">
        <v>50.815049999999999</v>
      </c>
    </row>
    <row r="19" spans="1:4">
      <c r="A19" t="s">
        <v>202</v>
      </c>
      <c r="B19" t="s">
        <v>4</v>
      </c>
      <c r="C19" t="s">
        <v>94</v>
      </c>
      <c r="D19" s="69">
        <v>60.978059999999992</v>
      </c>
    </row>
    <row r="20" spans="1:4">
      <c r="A20" t="s">
        <v>202</v>
      </c>
      <c r="B20" t="s">
        <v>4</v>
      </c>
      <c r="C20" t="s">
        <v>95</v>
      </c>
      <c r="D20" s="69">
        <v>50.815049999999999</v>
      </c>
    </row>
    <row r="21" spans="1:4">
      <c r="A21" t="s">
        <v>202</v>
      </c>
      <c r="B21" t="s">
        <v>4</v>
      </c>
      <c r="C21" t="s">
        <v>97</v>
      </c>
      <c r="D21" s="69">
        <v>91.467089999999985</v>
      </c>
    </row>
    <row r="22" spans="1:4">
      <c r="A22" t="s">
        <v>202</v>
      </c>
      <c r="B22" t="s">
        <v>4</v>
      </c>
      <c r="C22" t="s">
        <v>93</v>
      </c>
      <c r="D22" s="69">
        <v>30.05358720000001</v>
      </c>
    </row>
    <row r="23" spans="1:4">
      <c r="A23" t="s">
        <v>202</v>
      </c>
      <c r="B23" t="s">
        <v>4</v>
      </c>
      <c r="C23" t="s">
        <v>94</v>
      </c>
      <c r="D23" s="69">
        <v>36.064304640000003</v>
      </c>
    </row>
    <row r="24" spans="1:4">
      <c r="A24" t="s">
        <v>202</v>
      </c>
      <c r="B24" t="s">
        <v>4</v>
      </c>
      <c r="C24" t="s">
        <v>95</v>
      </c>
      <c r="D24" s="69">
        <v>30.05358720000001</v>
      </c>
    </row>
    <row r="25" spans="1:4">
      <c r="A25" t="s">
        <v>202</v>
      </c>
      <c r="B25" t="s">
        <v>4</v>
      </c>
      <c r="C25" t="s">
        <v>97</v>
      </c>
      <c r="D25" s="69">
        <v>54.096456960000005</v>
      </c>
    </row>
    <row r="26" spans="1:4">
      <c r="A26" t="s">
        <v>202</v>
      </c>
      <c r="B26" t="s">
        <v>4</v>
      </c>
      <c r="C26" t="s">
        <v>93</v>
      </c>
      <c r="D26" s="69">
        <v>46.998899999999992</v>
      </c>
    </row>
    <row r="27" spans="1:4">
      <c r="A27" t="s">
        <v>202</v>
      </c>
      <c r="B27" t="s">
        <v>4</v>
      </c>
      <c r="C27" t="s">
        <v>94</v>
      </c>
      <c r="D27" s="69">
        <v>56.398679999999992</v>
      </c>
    </row>
    <row r="28" spans="1:4">
      <c r="A28" t="s">
        <v>202</v>
      </c>
      <c r="B28" t="s">
        <v>4</v>
      </c>
      <c r="C28" t="s">
        <v>95</v>
      </c>
      <c r="D28" s="69">
        <v>46.998899999999992</v>
      </c>
    </row>
    <row r="29" spans="1:4">
      <c r="A29" t="s">
        <v>202</v>
      </c>
      <c r="B29" t="s">
        <v>4</v>
      </c>
      <c r="C29" t="s">
        <v>97</v>
      </c>
      <c r="D29" s="69">
        <v>84.598019999999977</v>
      </c>
    </row>
    <row r="30" spans="1:4">
      <c r="A30" t="s">
        <v>202</v>
      </c>
      <c r="B30" t="s">
        <v>4</v>
      </c>
      <c r="C30" t="s">
        <v>93</v>
      </c>
      <c r="D30" s="69">
        <v>211.47170000000003</v>
      </c>
    </row>
    <row r="31" spans="1:4">
      <c r="A31" t="s">
        <v>202</v>
      </c>
      <c r="B31" t="s">
        <v>4</v>
      </c>
      <c r="C31" t="s">
        <v>94</v>
      </c>
      <c r="D31" s="69">
        <v>253.76604</v>
      </c>
    </row>
    <row r="32" spans="1:4">
      <c r="A32" t="s">
        <v>202</v>
      </c>
      <c r="B32" t="s">
        <v>4</v>
      </c>
      <c r="C32" t="s">
        <v>95</v>
      </c>
      <c r="D32" s="69">
        <v>211.47170000000003</v>
      </c>
    </row>
    <row r="33" spans="1:4">
      <c r="A33" t="s">
        <v>202</v>
      </c>
      <c r="B33" t="s">
        <v>4</v>
      </c>
      <c r="C33" t="s">
        <v>97</v>
      </c>
      <c r="D33" s="69">
        <v>380.64906000000002</v>
      </c>
    </row>
    <row r="34" spans="1:4">
      <c r="A34" t="s">
        <v>203</v>
      </c>
      <c r="B34" t="s">
        <v>4</v>
      </c>
      <c r="C34" t="s">
        <v>93</v>
      </c>
      <c r="D34" s="69">
        <v>328.42991999999998</v>
      </c>
    </row>
    <row r="35" spans="1:4">
      <c r="A35" t="s">
        <v>203</v>
      </c>
      <c r="B35" t="s">
        <v>4</v>
      </c>
      <c r="C35" t="s">
        <v>94</v>
      </c>
      <c r="D35" s="69">
        <v>394.11590399999994</v>
      </c>
    </row>
    <row r="36" spans="1:4">
      <c r="A36" t="s">
        <v>203</v>
      </c>
      <c r="B36" t="s">
        <v>4</v>
      </c>
      <c r="C36" t="s">
        <v>95</v>
      </c>
      <c r="D36" s="69">
        <v>328.42991999999998</v>
      </c>
    </row>
    <row r="37" spans="1:4">
      <c r="A37" t="s">
        <v>203</v>
      </c>
      <c r="B37" t="s">
        <v>4</v>
      </c>
      <c r="C37" t="s">
        <v>97</v>
      </c>
      <c r="D37" s="69">
        <v>591.17385599999989</v>
      </c>
    </row>
    <row r="38" spans="1:4">
      <c r="A38" t="s">
        <v>203</v>
      </c>
      <c r="B38" t="s">
        <v>4</v>
      </c>
      <c r="C38" t="s">
        <v>93</v>
      </c>
      <c r="D38" s="69">
        <v>275.72688000000005</v>
      </c>
    </row>
    <row r="39" spans="1:4">
      <c r="A39" t="s">
        <v>203</v>
      </c>
      <c r="B39" t="s">
        <v>4</v>
      </c>
      <c r="C39" t="s">
        <v>94</v>
      </c>
      <c r="D39" s="69">
        <v>330.87225600000005</v>
      </c>
    </row>
    <row r="40" spans="1:4">
      <c r="A40" t="s">
        <v>203</v>
      </c>
      <c r="B40" t="s">
        <v>4</v>
      </c>
      <c r="C40" t="s">
        <v>95</v>
      </c>
      <c r="D40" s="69">
        <v>275.72688000000005</v>
      </c>
    </row>
    <row r="41" spans="1:4">
      <c r="A41" t="s">
        <v>203</v>
      </c>
      <c r="B41" t="s">
        <v>4</v>
      </c>
      <c r="C41" t="s">
        <v>97</v>
      </c>
      <c r="D41" s="69">
        <v>496.3083840000001</v>
      </c>
    </row>
    <row r="42" spans="1:4">
      <c r="A42" t="s">
        <v>204</v>
      </c>
      <c r="B42" t="s">
        <v>4</v>
      </c>
      <c r="C42" t="s">
        <v>93</v>
      </c>
      <c r="D42" s="69">
        <v>407.45489799954782</v>
      </c>
    </row>
    <row r="43" spans="1:4">
      <c r="A43" t="s">
        <v>204</v>
      </c>
      <c r="B43" t="s">
        <v>4</v>
      </c>
      <c r="C43" t="s">
        <v>94</v>
      </c>
      <c r="D43" s="69">
        <v>488.94587759945733</v>
      </c>
    </row>
    <row r="44" spans="1:4">
      <c r="A44" t="s">
        <v>204</v>
      </c>
      <c r="B44" t="s">
        <v>4</v>
      </c>
      <c r="C44" t="s">
        <v>95</v>
      </c>
      <c r="D44" s="69">
        <v>407.45489799954782</v>
      </c>
    </row>
    <row r="45" spans="1:4">
      <c r="A45" t="s">
        <v>204</v>
      </c>
      <c r="B45" t="s">
        <v>4</v>
      </c>
      <c r="C45" t="s">
        <v>97</v>
      </c>
      <c r="D45" s="69">
        <v>733.41881639918608</v>
      </c>
    </row>
    <row r="46" spans="1:4">
      <c r="A46" t="s">
        <v>204</v>
      </c>
      <c r="B46" t="s">
        <v>4</v>
      </c>
      <c r="C46" t="s">
        <v>93</v>
      </c>
      <c r="D46" s="69">
        <v>85.083078960740067</v>
      </c>
    </row>
    <row r="47" spans="1:4">
      <c r="A47" t="s">
        <v>204</v>
      </c>
      <c r="B47" t="s">
        <v>4</v>
      </c>
      <c r="C47" t="s">
        <v>94</v>
      </c>
      <c r="D47" s="69">
        <v>102.09969475288808</v>
      </c>
    </row>
    <row r="48" spans="1:4">
      <c r="A48" t="s">
        <v>204</v>
      </c>
      <c r="B48" t="s">
        <v>4</v>
      </c>
      <c r="C48" t="s">
        <v>95</v>
      </c>
      <c r="D48" s="69">
        <v>85.083078960740067</v>
      </c>
    </row>
    <row r="49" spans="1:4">
      <c r="A49" t="s">
        <v>204</v>
      </c>
      <c r="B49" t="s">
        <v>4</v>
      </c>
      <c r="C49" t="s">
        <v>97</v>
      </c>
      <c r="D49" s="69">
        <v>153.1495421293321</v>
      </c>
    </row>
    <row r="50" spans="1:4">
      <c r="A50" t="s">
        <v>204</v>
      </c>
      <c r="B50" t="s">
        <v>4</v>
      </c>
      <c r="C50" t="s">
        <v>93</v>
      </c>
      <c r="D50" s="69">
        <v>49.971093749999994</v>
      </c>
    </row>
    <row r="51" spans="1:4">
      <c r="A51" t="s">
        <v>204</v>
      </c>
      <c r="B51" t="s">
        <v>4</v>
      </c>
      <c r="C51" t="s">
        <v>94</v>
      </c>
      <c r="D51" s="69">
        <v>59.965312499999989</v>
      </c>
    </row>
    <row r="52" spans="1:4">
      <c r="A52" t="s">
        <v>204</v>
      </c>
      <c r="B52" t="s">
        <v>4</v>
      </c>
      <c r="C52" t="s">
        <v>95</v>
      </c>
      <c r="D52" s="69">
        <v>49.971093749999994</v>
      </c>
    </row>
    <row r="53" spans="1:4">
      <c r="A53" t="s">
        <v>204</v>
      </c>
      <c r="B53" t="s">
        <v>4</v>
      </c>
      <c r="C53" t="s">
        <v>97</v>
      </c>
      <c r="D53" s="69">
        <v>89.947968749999987</v>
      </c>
    </row>
    <row r="54" spans="1:4">
      <c r="A54" t="s">
        <v>204</v>
      </c>
      <c r="B54" t="s">
        <v>4</v>
      </c>
      <c r="C54" t="s">
        <v>93</v>
      </c>
      <c r="D54" s="69">
        <v>0</v>
      </c>
    </row>
    <row r="55" spans="1:4">
      <c r="A55" t="s">
        <v>204</v>
      </c>
      <c r="B55" t="s">
        <v>4</v>
      </c>
      <c r="C55" t="s">
        <v>94</v>
      </c>
      <c r="D55" s="69">
        <v>0</v>
      </c>
    </row>
    <row r="56" spans="1:4">
      <c r="A56" t="s">
        <v>204</v>
      </c>
      <c r="B56" t="s">
        <v>4</v>
      </c>
      <c r="C56" t="s">
        <v>95</v>
      </c>
      <c r="D56" s="69">
        <v>0</v>
      </c>
    </row>
    <row r="57" spans="1:4">
      <c r="A57" t="s">
        <v>204</v>
      </c>
      <c r="B57" t="s">
        <v>4</v>
      </c>
      <c r="C57" t="s">
        <v>97</v>
      </c>
      <c r="D57" s="69">
        <v>0</v>
      </c>
    </row>
    <row r="58" spans="1:4">
      <c r="A58" t="s">
        <v>205</v>
      </c>
      <c r="B58" t="s">
        <v>4</v>
      </c>
      <c r="C58" t="s">
        <v>93</v>
      </c>
      <c r="D58" s="69">
        <v>3.6160950400000007</v>
      </c>
    </row>
    <row r="59" spans="1:4">
      <c r="A59" t="s">
        <v>205</v>
      </c>
      <c r="B59" t="s">
        <v>4</v>
      </c>
      <c r="C59" t="s">
        <v>94</v>
      </c>
      <c r="D59" s="69">
        <v>4.3393140480000003</v>
      </c>
    </row>
    <row r="60" spans="1:4">
      <c r="A60" t="s">
        <v>205</v>
      </c>
      <c r="B60" t="s">
        <v>4</v>
      </c>
      <c r="C60" t="s">
        <v>95</v>
      </c>
      <c r="D60" s="69">
        <v>3.6160950400000007</v>
      </c>
    </row>
    <row r="61" spans="1:4">
      <c r="A61" t="s">
        <v>205</v>
      </c>
      <c r="B61" t="s">
        <v>4</v>
      </c>
      <c r="C61" t="s">
        <v>97</v>
      </c>
      <c r="D61" s="69">
        <v>6.5089710720000005</v>
      </c>
    </row>
    <row r="62" spans="1:4">
      <c r="A62" t="s">
        <v>205</v>
      </c>
      <c r="B62" t="s">
        <v>4</v>
      </c>
      <c r="C62" t="s">
        <v>93</v>
      </c>
      <c r="D62" s="69">
        <v>60.790399999999991</v>
      </c>
    </row>
    <row r="63" spans="1:4">
      <c r="A63" t="s">
        <v>205</v>
      </c>
      <c r="B63" t="s">
        <v>4</v>
      </c>
      <c r="C63" t="s">
        <v>94</v>
      </c>
      <c r="D63" s="69">
        <v>72.948479999999989</v>
      </c>
    </row>
    <row r="64" spans="1:4">
      <c r="A64" t="s">
        <v>205</v>
      </c>
      <c r="B64" t="s">
        <v>4</v>
      </c>
      <c r="C64" t="s">
        <v>95</v>
      </c>
      <c r="D64" s="69">
        <v>60.790399999999991</v>
      </c>
    </row>
    <row r="65" spans="1:4">
      <c r="A65" t="s">
        <v>205</v>
      </c>
      <c r="B65" t="s">
        <v>4</v>
      </c>
      <c r="C65" t="s">
        <v>97</v>
      </c>
      <c r="D65" s="69">
        <v>109.42271999999996</v>
      </c>
    </row>
    <row r="66" spans="1:4">
      <c r="A66" t="s">
        <v>206</v>
      </c>
      <c r="B66" t="s">
        <v>4</v>
      </c>
      <c r="C66" t="s">
        <v>93</v>
      </c>
      <c r="D66" s="69">
        <v>14.484375</v>
      </c>
    </row>
    <row r="67" spans="1:4">
      <c r="A67" t="s">
        <v>206</v>
      </c>
      <c r="B67" t="s">
        <v>4</v>
      </c>
      <c r="C67" t="s">
        <v>94</v>
      </c>
      <c r="D67" s="69">
        <v>17.381249999999998</v>
      </c>
    </row>
    <row r="68" spans="1:4">
      <c r="A68" t="s">
        <v>206</v>
      </c>
      <c r="B68" t="s">
        <v>4</v>
      </c>
      <c r="C68" t="s">
        <v>95</v>
      </c>
      <c r="D68" s="69">
        <v>14.484375</v>
      </c>
    </row>
    <row r="69" spans="1:4">
      <c r="A69" t="s">
        <v>206</v>
      </c>
      <c r="B69" t="s">
        <v>4</v>
      </c>
      <c r="C69" t="s">
        <v>97</v>
      </c>
      <c r="D69" s="69">
        <v>26.071874999999999</v>
      </c>
    </row>
    <row r="70" spans="1:4">
      <c r="A70" t="s">
        <v>206</v>
      </c>
      <c r="B70" t="s">
        <v>4</v>
      </c>
      <c r="C70" t="s">
        <v>93</v>
      </c>
      <c r="D70" s="69">
        <v>65.075400000000002</v>
      </c>
    </row>
    <row r="71" spans="1:4">
      <c r="A71" t="s">
        <v>206</v>
      </c>
      <c r="B71" t="s">
        <v>4</v>
      </c>
      <c r="C71" t="s">
        <v>94</v>
      </c>
      <c r="D71" s="69">
        <v>78.090479999999999</v>
      </c>
    </row>
    <row r="72" spans="1:4">
      <c r="A72" t="s">
        <v>206</v>
      </c>
      <c r="B72" t="s">
        <v>4</v>
      </c>
      <c r="C72" t="s">
        <v>95</v>
      </c>
      <c r="D72" s="69">
        <v>65.075400000000002</v>
      </c>
    </row>
    <row r="73" spans="1:4">
      <c r="A73" t="s">
        <v>206</v>
      </c>
      <c r="B73" t="s">
        <v>4</v>
      </c>
      <c r="C73" t="s">
        <v>97</v>
      </c>
      <c r="D73" s="69">
        <v>117.13572000000001</v>
      </c>
    </row>
    <row r="74" spans="1:4">
      <c r="A74" t="s">
        <v>206</v>
      </c>
      <c r="B74" t="s">
        <v>4</v>
      </c>
      <c r="C74" t="s">
        <v>93</v>
      </c>
      <c r="D74" s="69">
        <v>81.127332000000038</v>
      </c>
    </row>
    <row r="75" spans="1:4">
      <c r="A75" t="s">
        <v>206</v>
      </c>
      <c r="B75" t="s">
        <v>4</v>
      </c>
      <c r="C75" t="s">
        <v>94</v>
      </c>
      <c r="D75" s="69">
        <v>97.352798400000012</v>
      </c>
    </row>
    <row r="76" spans="1:4">
      <c r="A76" t="s">
        <v>206</v>
      </c>
      <c r="B76" t="s">
        <v>4</v>
      </c>
      <c r="C76" t="s">
        <v>95</v>
      </c>
      <c r="D76" s="69">
        <v>81.127332000000038</v>
      </c>
    </row>
    <row r="77" spans="1:4">
      <c r="A77" t="s">
        <v>206</v>
      </c>
      <c r="B77" t="s">
        <v>4</v>
      </c>
      <c r="C77" t="s">
        <v>97</v>
      </c>
      <c r="D77" s="69">
        <v>146.0291976</v>
      </c>
    </row>
    <row r="78" spans="1:4">
      <c r="A78" t="s">
        <v>206</v>
      </c>
      <c r="B78" t="s">
        <v>4</v>
      </c>
      <c r="C78" t="s">
        <v>93</v>
      </c>
      <c r="D78" s="69">
        <v>85.554601599999998</v>
      </c>
    </row>
    <row r="79" spans="1:4">
      <c r="A79" t="s">
        <v>206</v>
      </c>
      <c r="B79" t="s">
        <v>4</v>
      </c>
      <c r="C79" t="s">
        <v>94</v>
      </c>
      <c r="D79" s="69">
        <v>102.66552192</v>
      </c>
    </row>
    <row r="80" spans="1:4">
      <c r="A80" t="s">
        <v>206</v>
      </c>
      <c r="B80" t="s">
        <v>4</v>
      </c>
      <c r="C80" t="s">
        <v>95</v>
      </c>
      <c r="D80" s="69">
        <v>85.554601599999998</v>
      </c>
    </row>
    <row r="81" spans="1:4">
      <c r="A81" t="s">
        <v>206</v>
      </c>
      <c r="B81" t="s">
        <v>4</v>
      </c>
      <c r="C81" t="s">
        <v>97</v>
      </c>
      <c r="D81" s="69">
        <v>153.99828287999998</v>
      </c>
    </row>
    <row r="82" spans="1:4">
      <c r="A82" t="s">
        <v>206</v>
      </c>
      <c r="B82" t="s">
        <v>4</v>
      </c>
      <c r="C82" t="s">
        <v>93</v>
      </c>
      <c r="D82" s="69">
        <v>29.419406250000005</v>
      </c>
    </row>
    <row r="83" spans="1:4">
      <c r="A83" t="s">
        <v>206</v>
      </c>
      <c r="B83" t="s">
        <v>4</v>
      </c>
      <c r="C83" t="s">
        <v>94</v>
      </c>
      <c r="D83" s="69">
        <v>35.303287500000003</v>
      </c>
    </row>
    <row r="84" spans="1:4">
      <c r="A84" t="s">
        <v>206</v>
      </c>
      <c r="B84" t="s">
        <v>4</v>
      </c>
      <c r="C84" t="s">
        <v>95</v>
      </c>
      <c r="D84" s="69">
        <v>29.419406250000005</v>
      </c>
    </row>
    <row r="85" spans="1:4">
      <c r="A85" t="s">
        <v>206</v>
      </c>
      <c r="B85" t="s">
        <v>4</v>
      </c>
      <c r="C85" t="s">
        <v>97</v>
      </c>
      <c r="D85" s="69">
        <v>52.954931250000001</v>
      </c>
    </row>
    <row r="86" spans="1:4">
      <c r="A86" t="s">
        <v>206</v>
      </c>
      <c r="B86" t="s">
        <v>4</v>
      </c>
      <c r="C86" t="s">
        <v>93</v>
      </c>
      <c r="D86" s="69">
        <v>0</v>
      </c>
    </row>
    <row r="87" spans="1:4">
      <c r="A87" t="s">
        <v>206</v>
      </c>
      <c r="B87" t="s">
        <v>4</v>
      </c>
      <c r="C87" t="s">
        <v>94</v>
      </c>
      <c r="D87" s="69">
        <v>0</v>
      </c>
    </row>
    <row r="88" spans="1:4">
      <c r="A88" t="s">
        <v>206</v>
      </c>
      <c r="B88" t="s">
        <v>4</v>
      </c>
      <c r="C88" t="s">
        <v>95</v>
      </c>
      <c r="D88" s="69">
        <v>0</v>
      </c>
    </row>
    <row r="89" spans="1:4">
      <c r="A89" t="s">
        <v>206</v>
      </c>
      <c r="B89" t="s">
        <v>4</v>
      </c>
      <c r="C89" t="s">
        <v>97</v>
      </c>
      <c r="D89" s="69">
        <v>0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89"/>
  <sheetViews>
    <sheetView workbookViewId="0">
      <selection activeCell="D2" sqref="D2:D89"/>
    </sheetView>
  </sheetViews>
  <sheetFormatPr baseColWidth="10" defaultRowHeight="15"/>
  <cols>
    <col min="1" max="1" width="13.42578125" bestFit="1" customWidth="1"/>
    <col min="2" max="3" width="11" bestFit="1" customWidth="1"/>
    <col min="4" max="4" width="9.42578125" bestFit="1" customWidth="1"/>
  </cols>
  <sheetData>
    <row r="1" spans="1:4">
      <c r="A1" t="s">
        <v>364</v>
      </c>
      <c r="B1" t="s">
        <v>0</v>
      </c>
      <c r="C1" t="s">
        <v>365</v>
      </c>
      <c r="D1" t="s">
        <v>366</v>
      </c>
    </row>
    <row r="2" spans="1:4">
      <c r="A2" t="s">
        <v>190</v>
      </c>
      <c r="B2" t="s">
        <v>15</v>
      </c>
      <c r="C2" t="s">
        <v>93</v>
      </c>
      <c r="D2" s="129">
        <v>72.83278928352</v>
      </c>
    </row>
    <row r="3" spans="1:4">
      <c r="A3" t="s">
        <v>190</v>
      </c>
      <c r="B3" t="s">
        <v>15</v>
      </c>
      <c r="C3" t="s">
        <v>94</v>
      </c>
      <c r="D3" s="129">
        <v>87.399347140223981</v>
      </c>
    </row>
    <row r="4" spans="1:4">
      <c r="A4" t="s">
        <v>190</v>
      </c>
      <c r="B4" t="s">
        <v>15</v>
      </c>
      <c r="C4" t="s">
        <v>95</v>
      </c>
      <c r="D4" s="129">
        <v>72.83278928352</v>
      </c>
    </row>
    <row r="5" spans="1:4">
      <c r="A5" t="s">
        <v>190</v>
      </c>
      <c r="B5" t="s">
        <v>15</v>
      </c>
      <c r="C5" t="s">
        <v>97</v>
      </c>
      <c r="D5" s="129">
        <v>131.09902071033599</v>
      </c>
    </row>
    <row r="6" spans="1:4">
      <c r="A6" t="s">
        <v>190</v>
      </c>
      <c r="B6" t="s">
        <v>15</v>
      </c>
      <c r="C6" t="s">
        <v>93</v>
      </c>
      <c r="D6" s="129">
        <v>111.66002538239999</v>
      </c>
    </row>
    <row r="7" spans="1:4">
      <c r="A7" t="s">
        <v>190</v>
      </c>
      <c r="B7" t="s">
        <v>15</v>
      </c>
      <c r="C7" t="s">
        <v>94</v>
      </c>
      <c r="D7" s="129">
        <v>133.99203045887998</v>
      </c>
    </row>
    <row r="8" spans="1:4">
      <c r="A8" t="s">
        <v>190</v>
      </c>
      <c r="B8" t="s">
        <v>15</v>
      </c>
      <c r="C8" t="s">
        <v>95</v>
      </c>
      <c r="D8" s="129">
        <v>111.66002538239999</v>
      </c>
    </row>
    <row r="9" spans="1:4">
      <c r="A9" t="s">
        <v>190</v>
      </c>
      <c r="B9" t="s">
        <v>15</v>
      </c>
      <c r="C9" t="s">
        <v>97</v>
      </c>
      <c r="D9" s="129">
        <v>200.98804568832</v>
      </c>
    </row>
    <row r="10" spans="1:4">
      <c r="A10" t="s">
        <v>202</v>
      </c>
      <c r="B10" t="s">
        <v>15</v>
      </c>
      <c r="C10" t="s">
        <v>93</v>
      </c>
      <c r="D10" s="129">
        <v>21.618486390000001</v>
      </c>
    </row>
    <row r="11" spans="1:4">
      <c r="A11" t="s">
        <v>202</v>
      </c>
      <c r="B11" t="s">
        <v>15</v>
      </c>
      <c r="C11" t="s">
        <v>94</v>
      </c>
      <c r="D11" s="129">
        <v>25.942183667999998</v>
      </c>
    </row>
    <row r="12" spans="1:4">
      <c r="A12" t="s">
        <v>202</v>
      </c>
      <c r="B12" t="s">
        <v>15</v>
      </c>
      <c r="C12" t="s">
        <v>95</v>
      </c>
      <c r="D12" s="129">
        <v>21.618486390000001</v>
      </c>
    </row>
    <row r="13" spans="1:4">
      <c r="A13" t="s">
        <v>202</v>
      </c>
      <c r="B13" t="s">
        <v>15</v>
      </c>
      <c r="C13" t="s">
        <v>97</v>
      </c>
      <c r="D13" s="129">
        <v>38.913275501999998</v>
      </c>
    </row>
    <row r="14" spans="1:4">
      <c r="A14" t="s">
        <v>202</v>
      </c>
      <c r="B14" t="s">
        <v>15</v>
      </c>
      <c r="C14" t="s">
        <v>93</v>
      </c>
      <c r="D14" s="129">
        <v>229.43840832000009</v>
      </c>
    </row>
    <row r="15" spans="1:4">
      <c r="A15" t="s">
        <v>202</v>
      </c>
      <c r="B15" t="s">
        <v>15</v>
      </c>
      <c r="C15" t="s">
        <v>94</v>
      </c>
      <c r="D15" s="129">
        <v>275.32608998400008</v>
      </c>
    </row>
    <row r="16" spans="1:4">
      <c r="A16" t="s">
        <v>202</v>
      </c>
      <c r="B16" t="s">
        <v>15</v>
      </c>
      <c r="C16" t="s">
        <v>95</v>
      </c>
      <c r="D16" s="129">
        <v>229.43840832000009</v>
      </c>
    </row>
    <row r="17" spans="1:4">
      <c r="A17" t="s">
        <v>202</v>
      </c>
      <c r="B17" t="s">
        <v>15</v>
      </c>
      <c r="C17" t="s">
        <v>97</v>
      </c>
      <c r="D17" s="129">
        <v>412.98913497600006</v>
      </c>
    </row>
    <row r="18" spans="1:4">
      <c r="A18" t="s">
        <v>202</v>
      </c>
      <c r="B18" t="s">
        <v>15</v>
      </c>
      <c r="C18" t="s">
        <v>93</v>
      </c>
      <c r="D18" s="129">
        <v>137.42404664999998</v>
      </c>
    </row>
    <row r="19" spans="1:4">
      <c r="A19" t="s">
        <v>202</v>
      </c>
      <c r="B19" t="s">
        <v>15</v>
      </c>
      <c r="C19" t="s">
        <v>94</v>
      </c>
      <c r="D19" s="129">
        <v>164.90885597999997</v>
      </c>
    </row>
    <row r="20" spans="1:4">
      <c r="A20" t="s">
        <v>202</v>
      </c>
      <c r="B20" t="s">
        <v>15</v>
      </c>
      <c r="C20" t="s">
        <v>95</v>
      </c>
      <c r="D20" s="129">
        <v>137.42404664999998</v>
      </c>
    </row>
    <row r="21" spans="1:4">
      <c r="A21" t="s">
        <v>202</v>
      </c>
      <c r="B21" t="s">
        <v>15</v>
      </c>
      <c r="C21" t="s">
        <v>97</v>
      </c>
      <c r="D21" s="129">
        <v>247.36328396999991</v>
      </c>
    </row>
    <row r="22" spans="1:4">
      <c r="A22" t="s">
        <v>202</v>
      </c>
      <c r="B22" t="s">
        <v>15</v>
      </c>
      <c r="C22" t="s">
        <v>93</v>
      </c>
      <c r="D22" s="129">
        <v>81.276817977600018</v>
      </c>
    </row>
    <row r="23" spans="1:4">
      <c r="A23" t="s">
        <v>202</v>
      </c>
      <c r="B23" t="s">
        <v>15</v>
      </c>
      <c r="C23" t="s">
        <v>94</v>
      </c>
      <c r="D23" s="129">
        <v>97.532181573120013</v>
      </c>
    </row>
    <row r="24" spans="1:4">
      <c r="A24" t="s">
        <v>202</v>
      </c>
      <c r="B24" t="s">
        <v>15</v>
      </c>
      <c r="C24" t="s">
        <v>95</v>
      </c>
      <c r="D24" s="129">
        <v>81.276817977600018</v>
      </c>
    </row>
    <row r="25" spans="1:4">
      <c r="A25" t="s">
        <v>202</v>
      </c>
      <c r="B25" t="s">
        <v>15</v>
      </c>
      <c r="C25" t="s">
        <v>97</v>
      </c>
      <c r="D25" s="129">
        <v>146.29827235968003</v>
      </c>
    </row>
    <row r="26" spans="1:4">
      <c r="A26" t="s">
        <v>202</v>
      </c>
      <c r="B26" t="s">
        <v>15</v>
      </c>
      <c r="C26" t="s">
        <v>93</v>
      </c>
      <c r="D26" s="129">
        <v>127.10366370000004</v>
      </c>
    </row>
    <row r="27" spans="1:4">
      <c r="A27" t="s">
        <v>202</v>
      </c>
      <c r="B27" t="s">
        <v>15</v>
      </c>
      <c r="C27" t="s">
        <v>94</v>
      </c>
      <c r="D27" s="129">
        <v>152.52439644</v>
      </c>
    </row>
    <row r="28" spans="1:4">
      <c r="A28" t="s">
        <v>202</v>
      </c>
      <c r="B28" t="s">
        <v>15</v>
      </c>
      <c r="C28" t="s">
        <v>95</v>
      </c>
      <c r="D28" s="129">
        <v>127.10366370000004</v>
      </c>
    </row>
    <row r="29" spans="1:4">
      <c r="A29" t="s">
        <v>202</v>
      </c>
      <c r="B29" t="s">
        <v>15</v>
      </c>
      <c r="C29" t="s">
        <v>97</v>
      </c>
      <c r="D29" s="129">
        <v>228.78659465999999</v>
      </c>
    </row>
    <row r="30" spans="1:4">
      <c r="A30" t="s">
        <v>202</v>
      </c>
      <c r="B30" t="s">
        <v>15</v>
      </c>
      <c r="C30" t="s">
        <v>93</v>
      </c>
      <c r="D30" s="129">
        <v>477.33005407999991</v>
      </c>
    </row>
    <row r="31" spans="1:4">
      <c r="A31" t="s">
        <v>202</v>
      </c>
      <c r="B31" t="s">
        <v>15</v>
      </c>
      <c r="C31" t="s">
        <v>94</v>
      </c>
      <c r="D31" s="129">
        <v>572.79606489599985</v>
      </c>
    </row>
    <row r="32" spans="1:4">
      <c r="A32" t="s">
        <v>202</v>
      </c>
      <c r="B32" t="s">
        <v>15</v>
      </c>
      <c r="C32" t="s">
        <v>95</v>
      </c>
      <c r="D32" s="129">
        <v>477.33005407999991</v>
      </c>
    </row>
    <row r="33" spans="1:4">
      <c r="A33" t="s">
        <v>202</v>
      </c>
      <c r="B33" t="s">
        <v>15</v>
      </c>
      <c r="C33" t="s">
        <v>97</v>
      </c>
      <c r="D33" s="129">
        <v>859.19409734399983</v>
      </c>
    </row>
    <row r="34" spans="1:4">
      <c r="A34" t="s">
        <v>203</v>
      </c>
      <c r="B34" t="s">
        <v>15</v>
      </c>
      <c r="C34" t="s">
        <v>93</v>
      </c>
      <c r="D34" s="129">
        <v>888.20474736000017</v>
      </c>
    </row>
    <row r="35" spans="1:4">
      <c r="A35" t="s">
        <v>203</v>
      </c>
      <c r="B35" t="s">
        <v>15</v>
      </c>
      <c r="C35" t="s">
        <v>94</v>
      </c>
      <c r="D35" s="129">
        <v>1065.8456968320002</v>
      </c>
    </row>
    <row r="36" spans="1:4">
      <c r="A36" t="s">
        <v>203</v>
      </c>
      <c r="B36" t="s">
        <v>15</v>
      </c>
      <c r="C36" t="s">
        <v>95</v>
      </c>
      <c r="D36" s="129">
        <v>888.20474736000017</v>
      </c>
    </row>
    <row r="37" spans="1:4">
      <c r="A37" t="s">
        <v>203</v>
      </c>
      <c r="B37" t="s">
        <v>15</v>
      </c>
      <c r="C37" t="s">
        <v>97</v>
      </c>
      <c r="D37" s="129">
        <v>1598.7685452480002</v>
      </c>
    </row>
    <row r="38" spans="1:4">
      <c r="A38" t="s">
        <v>203</v>
      </c>
      <c r="B38" t="s">
        <v>15</v>
      </c>
      <c r="C38" t="s">
        <v>93</v>
      </c>
      <c r="D38" s="129">
        <v>745.67482703999997</v>
      </c>
    </row>
    <row r="39" spans="1:4">
      <c r="A39" t="s">
        <v>203</v>
      </c>
      <c r="B39" t="s">
        <v>15</v>
      </c>
      <c r="C39" t="s">
        <v>94</v>
      </c>
      <c r="D39" s="129">
        <v>894.80979244800005</v>
      </c>
    </row>
    <row r="40" spans="1:4">
      <c r="A40" t="s">
        <v>203</v>
      </c>
      <c r="B40" t="s">
        <v>15</v>
      </c>
      <c r="C40" t="s">
        <v>95</v>
      </c>
      <c r="D40" s="129">
        <v>745.67482703999997</v>
      </c>
    </row>
    <row r="41" spans="1:4">
      <c r="A41" t="s">
        <v>203</v>
      </c>
      <c r="B41" t="s">
        <v>15</v>
      </c>
      <c r="C41" t="s">
        <v>97</v>
      </c>
      <c r="D41" s="129">
        <v>1342.214688672</v>
      </c>
    </row>
    <row r="42" spans="1:4">
      <c r="A42" t="s">
        <v>204</v>
      </c>
      <c r="B42" t="s">
        <v>15</v>
      </c>
      <c r="C42" t="s">
        <v>93</v>
      </c>
      <c r="D42" s="129">
        <v>130.91257533570084</v>
      </c>
    </row>
    <row r="43" spans="1:4">
      <c r="A43" t="s">
        <v>204</v>
      </c>
      <c r="B43" t="s">
        <v>15</v>
      </c>
      <c r="C43" t="s">
        <v>94</v>
      </c>
      <c r="D43" s="129">
        <v>157.09509040284098</v>
      </c>
    </row>
    <row r="44" spans="1:4">
      <c r="A44" t="s">
        <v>204</v>
      </c>
      <c r="B44" t="s">
        <v>15</v>
      </c>
      <c r="C44" t="s">
        <v>95</v>
      </c>
      <c r="D44" s="129">
        <v>130.91257533570084</v>
      </c>
    </row>
    <row r="45" spans="1:4">
      <c r="A45" t="s">
        <v>204</v>
      </c>
      <c r="B45" t="s">
        <v>15</v>
      </c>
      <c r="C45" t="s">
        <v>97</v>
      </c>
      <c r="D45" s="129">
        <v>235.6426356042615</v>
      </c>
    </row>
    <row r="46" spans="1:4">
      <c r="A46" t="s">
        <v>204</v>
      </c>
      <c r="B46" t="s">
        <v>15</v>
      </c>
      <c r="C46" t="s">
        <v>93</v>
      </c>
      <c r="D46" s="129">
        <v>0</v>
      </c>
    </row>
    <row r="47" spans="1:4">
      <c r="A47" t="s">
        <v>204</v>
      </c>
      <c r="B47" t="s">
        <v>15</v>
      </c>
      <c r="C47" t="s">
        <v>94</v>
      </c>
      <c r="D47" s="129">
        <v>0</v>
      </c>
    </row>
    <row r="48" spans="1:4">
      <c r="A48" t="s">
        <v>204</v>
      </c>
      <c r="B48" t="s">
        <v>15</v>
      </c>
      <c r="C48" t="s">
        <v>95</v>
      </c>
      <c r="D48" s="129">
        <v>0</v>
      </c>
    </row>
    <row r="49" spans="1:4">
      <c r="A49" t="s">
        <v>204</v>
      </c>
      <c r="B49" t="s">
        <v>15</v>
      </c>
      <c r="C49" t="s">
        <v>97</v>
      </c>
      <c r="D49" s="129">
        <v>0</v>
      </c>
    </row>
    <row r="50" spans="1:4">
      <c r="A50" t="s">
        <v>204</v>
      </c>
      <c r="B50" t="s">
        <v>15</v>
      </c>
      <c r="C50" t="s">
        <v>93</v>
      </c>
      <c r="D50" s="129">
        <v>0</v>
      </c>
    </row>
    <row r="51" spans="1:4">
      <c r="A51" t="s">
        <v>204</v>
      </c>
      <c r="B51" t="s">
        <v>15</v>
      </c>
      <c r="C51" t="s">
        <v>94</v>
      </c>
      <c r="D51" s="129">
        <v>0</v>
      </c>
    </row>
    <row r="52" spans="1:4">
      <c r="A52" t="s">
        <v>204</v>
      </c>
      <c r="B52" t="s">
        <v>15</v>
      </c>
      <c r="C52" t="s">
        <v>95</v>
      </c>
      <c r="D52" s="129">
        <v>0</v>
      </c>
    </row>
    <row r="53" spans="1:4">
      <c r="A53" t="s">
        <v>204</v>
      </c>
      <c r="B53" t="s">
        <v>15</v>
      </c>
      <c r="C53" t="s">
        <v>97</v>
      </c>
      <c r="D53" s="129">
        <v>0</v>
      </c>
    </row>
    <row r="54" spans="1:4">
      <c r="A54" t="s">
        <v>204</v>
      </c>
      <c r="B54" t="s">
        <v>15</v>
      </c>
      <c r="C54" t="s">
        <v>93</v>
      </c>
      <c r="D54" s="129">
        <v>542.26509943349674</v>
      </c>
    </row>
    <row r="55" spans="1:4">
      <c r="A55" t="s">
        <v>204</v>
      </c>
      <c r="B55" t="s">
        <v>15</v>
      </c>
      <c r="C55" t="s">
        <v>94</v>
      </c>
      <c r="D55" s="129">
        <v>650.71811932019602</v>
      </c>
    </row>
    <row r="56" spans="1:4">
      <c r="A56" t="s">
        <v>204</v>
      </c>
      <c r="B56" t="s">
        <v>15</v>
      </c>
      <c r="C56" t="s">
        <v>95</v>
      </c>
      <c r="D56" s="129">
        <v>542.26509943349674</v>
      </c>
    </row>
    <row r="57" spans="1:4">
      <c r="A57" t="s">
        <v>204</v>
      </c>
      <c r="B57" t="s">
        <v>15</v>
      </c>
      <c r="C57" t="s">
        <v>97</v>
      </c>
      <c r="D57" s="129">
        <v>976.07717898029409</v>
      </c>
    </row>
    <row r="58" spans="1:4">
      <c r="A58" t="s">
        <v>205</v>
      </c>
      <c r="B58" t="s">
        <v>15</v>
      </c>
      <c r="C58" t="s">
        <v>93</v>
      </c>
      <c r="D58" s="129">
        <v>7.8222343180800014</v>
      </c>
    </row>
    <row r="59" spans="1:4">
      <c r="A59" t="s">
        <v>205</v>
      </c>
      <c r="B59" t="s">
        <v>15</v>
      </c>
      <c r="C59" t="s">
        <v>94</v>
      </c>
      <c r="D59" s="129">
        <v>9.3866811816960016</v>
      </c>
    </row>
    <row r="60" spans="1:4">
      <c r="A60" t="s">
        <v>205</v>
      </c>
      <c r="B60" t="s">
        <v>15</v>
      </c>
      <c r="C60" t="s">
        <v>95</v>
      </c>
      <c r="D60" s="129">
        <v>7.8222343180800014</v>
      </c>
    </row>
    <row r="61" spans="1:4">
      <c r="A61" t="s">
        <v>205</v>
      </c>
      <c r="B61" t="s">
        <v>15</v>
      </c>
      <c r="C61" t="s">
        <v>97</v>
      </c>
      <c r="D61" s="129">
        <v>14.080021772544001</v>
      </c>
    </row>
    <row r="62" spans="1:4">
      <c r="A62" t="s">
        <v>205</v>
      </c>
      <c r="B62" t="s">
        <v>15</v>
      </c>
      <c r="C62" t="s">
        <v>93</v>
      </c>
      <c r="D62" s="129">
        <v>393.66991839999997</v>
      </c>
    </row>
    <row r="63" spans="1:4">
      <c r="A63" t="s">
        <v>205</v>
      </c>
      <c r="B63" t="s">
        <v>15</v>
      </c>
      <c r="C63" t="s">
        <v>94</v>
      </c>
      <c r="D63" s="129">
        <v>472.40390208000002</v>
      </c>
    </row>
    <row r="64" spans="1:4">
      <c r="A64" t="s">
        <v>205</v>
      </c>
      <c r="B64" t="s">
        <v>15</v>
      </c>
      <c r="C64" t="s">
        <v>95</v>
      </c>
      <c r="D64" s="129">
        <v>393.66991839999997</v>
      </c>
    </row>
    <row r="65" spans="1:4">
      <c r="A65" t="s">
        <v>205</v>
      </c>
      <c r="B65" t="s">
        <v>15</v>
      </c>
      <c r="C65" t="s">
        <v>97</v>
      </c>
      <c r="D65" s="129">
        <v>708.60585312000001</v>
      </c>
    </row>
    <row r="66" spans="1:4">
      <c r="A66" t="s">
        <v>206</v>
      </c>
      <c r="B66" t="s">
        <v>15</v>
      </c>
      <c r="C66" t="s">
        <v>93</v>
      </c>
      <c r="D66" s="129">
        <v>0</v>
      </c>
    </row>
    <row r="67" spans="1:4">
      <c r="A67" t="s">
        <v>206</v>
      </c>
      <c r="B67" t="s">
        <v>15</v>
      </c>
      <c r="C67" t="s">
        <v>94</v>
      </c>
      <c r="D67" s="129">
        <v>0</v>
      </c>
    </row>
    <row r="68" spans="1:4">
      <c r="A68" t="s">
        <v>206</v>
      </c>
      <c r="B68" t="s">
        <v>15</v>
      </c>
      <c r="C68" t="s">
        <v>95</v>
      </c>
      <c r="D68" s="129">
        <v>0</v>
      </c>
    </row>
    <row r="69" spans="1:4">
      <c r="A69" t="s">
        <v>206</v>
      </c>
      <c r="B69" t="s">
        <v>15</v>
      </c>
      <c r="C69" t="s">
        <v>97</v>
      </c>
      <c r="D69" s="129">
        <v>0</v>
      </c>
    </row>
    <row r="70" spans="1:4">
      <c r="A70" t="s">
        <v>206</v>
      </c>
      <c r="B70" t="s">
        <v>15</v>
      </c>
      <c r="C70" t="s">
        <v>93</v>
      </c>
      <c r="D70" s="129">
        <v>175.98968820000002</v>
      </c>
    </row>
    <row r="71" spans="1:4">
      <c r="A71" t="s">
        <v>206</v>
      </c>
      <c r="B71" t="s">
        <v>15</v>
      </c>
      <c r="C71" t="s">
        <v>94</v>
      </c>
      <c r="D71" s="129">
        <v>211.18762584000001</v>
      </c>
    </row>
    <row r="72" spans="1:4">
      <c r="A72" t="s">
        <v>206</v>
      </c>
      <c r="B72" t="s">
        <v>15</v>
      </c>
      <c r="C72" t="s">
        <v>95</v>
      </c>
      <c r="D72" s="129">
        <v>175.98968820000002</v>
      </c>
    </row>
    <row r="73" spans="1:4">
      <c r="A73" t="s">
        <v>206</v>
      </c>
      <c r="B73" t="s">
        <v>15</v>
      </c>
      <c r="C73" t="s">
        <v>97</v>
      </c>
      <c r="D73" s="129">
        <v>316.78143876000001</v>
      </c>
    </row>
    <row r="74" spans="1:4">
      <c r="A74" t="s">
        <v>206</v>
      </c>
      <c r="B74" t="s">
        <v>15</v>
      </c>
      <c r="C74" t="s">
        <v>93</v>
      </c>
      <c r="D74" s="129">
        <v>219.40047795600003</v>
      </c>
    </row>
    <row r="75" spans="1:4">
      <c r="A75" t="s">
        <v>206</v>
      </c>
      <c r="B75" t="s">
        <v>15</v>
      </c>
      <c r="C75" t="s">
        <v>94</v>
      </c>
      <c r="D75" s="129">
        <v>263.28057354720005</v>
      </c>
    </row>
    <row r="76" spans="1:4">
      <c r="A76" t="s">
        <v>206</v>
      </c>
      <c r="B76" t="s">
        <v>15</v>
      </c>
      <c r="C76" t="s">
        <v>95</v>
      </c>
      <c r="D76" s="129">
        <v>219.40047795600003</v>
      </c>
    </row>
    <row r="77" spans="1:4">
      <c r="A77" t="s">
        <v>206</v>
      </c>
      <c r="B77" t="s">
        <v>15</v>
      </c>
      <c r="C77" t="s">
        <v>97</v>
      </c>
      <c r="D77" s="129">
        <v>394.9208603208001</v>
      </c>
    </row>
    <row r="78" spans="1:4">
      <c r="A78" t="s">
        <v>206</v>
      </c>
      <c r="B78" t="s">
        <v>15</v>
      </c>
      <c r="C78" t="s">
        <v>93</v>
      </c>
      <c r="D78" s="129">
        <v>231.3735706528</v>
      </c>
    </row>
    <row r="79" spans="1:4">
      <c r="A79" t="s">
        <v>206</v>
      </c>
      <c r="B79" t="s">
        <v>15</v>
      </c>
      <c r="C79" t="s">
        <v>94</v>
      </c>
      <c r="D79" s="129">
        <v>277.64828478335994</v>
      </c>
    </row>
    <row r="80" spans="1:4">
      <c r="A80" t="s">
        <v>206</v>
      </c>
      <c r="B80" t="s">
        <v>15</v>
      </c>
      <c r="C80" t="s">
        <v>95</v>
      </c>
      <c r="D80" s="129">
        <v>231.3735706528</v>
      </c>
    </row>
    <row r="81" spans="1:4">
      <c r="A81" t="s">
        <v>206</v>
      </c>
      <c r="B81" t="s">
        <v>15</v>
      </c>
      <c r="C81" t="s">
        <v>97</v>
      </c>
      <c r="D81" s="129">
        <v>416.47242717504002</v>
      </c>
    </row>
    <row r="82" spans="1:4">
      <c r="A82" t="s">
        <v>206</v>
      </c>
      <c r="B82" t="s">
        <v>15</v>
      </c>
      <c r="C82" t="s">
        <v>93</v>
      </c>
      <c r="D82" s="129">
        <v>82.261831004016074</v>
      </c>
    </row>
    <row r="83" spans="1:4">
      <c r="A83" t="s">
        <v>206</v>
      </c>
      <c r="B83" t="s">
        <v>15</v>
      </c>
      <c r="C83" t="s">
        <v>94</v>
      </c>
      <c r="D83" s="129">
        <v>98.714197204819286</v>
      </c>
    </row>
    <row r="84" spans="1:4">
      <c r="A84" t="s">
        <v>206</v>
      </c>
      <c r="B84" t="s">
        <v>15</v>
      </c>
      <c r="C84" t="s">
        <v>95</v>
      </c>
      <c r="D84" s="129">
        <v>82.261831004016074</v>
      </c>
    </row>
    <row r="85" spans="1:4">
      <c r="A85" t="s">
        <v>206</v>
      </c>
      <c r="B85" t="s">
        <v>15</v>
      </c>
      <c r="C85" t="s">
        <v>97</v>
      </c>
      <c r="D85" s="129">
        <v>148.07129580722892</v>
      </c>
    </row>
    <row r="86" spans="1:4">
      <c r="A86" t="s">
        <v>206</v>
      </c>
      <c r="B86" t="s">
        <v>15</v>
      </c>
      <c r="C86" t="s">
        <v>93</v>
      </c>
      <c r="D86" s="129">
        <v>0</v>
      </c>
    </row>
    <row r="87" spans="1:4">
      <c r="A87" t="s">
        <v>206</v>
      </c>
      <c r="B87" t="s">
        <v>15</v>
      </c>
      <c r="C87" t="s">
        <v>94</v>
      </c>
      <c r="D87" s="129">
        <v>0</v>
      </c>
    </row>
    <row r="88" spans="1:4">
      <c r="A88" t="s">
        <v>206</v>
      </c>
      <c r="B88" t="s">
        <v>15</v>
      </c>
      <c r="C88" t="s">
        <v>95</v>
      </c>
      <c r="D88" s="129">
        <v>0</v>
      </c>
    </row>
    <row r="89" spans="1:4">
      <c r="A89" t="s">
        <v>206</v>
      </c>
      <c r="B89" t="s">
        <v>15</v>
      </c>
      <c r="C89" t="s">
        <v>97</v>
      </c>
      <c r="D89" s="129">
        <v>0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89"/>
  <sheetViews>
    <sheetView workbookViewId="0">
      <selection activeCell="D2" sqref="D2:D89"/>
    </sheetView>
  </sheetViews>
  <sheetFormatPr baseColWidth="10" defaultRowHeight="15"/>
  <cols>
    <col min="1" max="1" width="13.42578125" bestFit="1" customWidth="1"/>
    <col min="2" max="2" width="12.85546875" bestFit="1" customWidth="1"/>
    <col min="3" max="3" width="11" bestFit="1" customWidth="1"/>
    <col min="4" max="4" width="9.42578125" bestFit="1" customWidth="1"/>
  </cols>
  <sheetData>
    <row r="1" spans="1:4">
      <c r="A1" t="s">
        <v>364</v>
      </c>
      <c r="B1" t="s">
        <v>0</v>
      </c>
      <c r="C1" t="s">
        <v>365</v>
      </c>
      <c r="D1" t="s">
        <v>366</v>
      </c>
    </row>
    <row r="2" spans="1:4">
      <c r="A2" t="s">
        <v>190</v>
      </c>
      <c r="B2" t="s">
        <v>373</v>
      </c>
      <c r="C2" t="s">
        <v>93</v>
      </c>
      <c r="D2" s="129">
        <v>173.44121932199999</v>
      </c>
    </row>
    <row r="3" spans="1:4">
      <c r="A3" t="s">
        <v>190</v>
      </c>
      <c r="B3" t="s">
        <v>373</v>
      </c>
      <c r="C3" t="s">
        <v>94</v>
      </c>
      <c r="D3" s="129">
        <v>208.12946318639996</v>
      </c>
    </row>
    <row r="4" spans="1:4">
      <c r="A4" t="s">
        <v>190</v>
      </c>
      <c r="B4" t="s">
        <v>373</v>
      </c>
      <c r="C4" t="s">
        <v>95</v>
      </c>
      <c r="D4" s="129">
        <v>173.44121932199999</v>
      </c>
    </row>
    <row r="5" spans="1:4">
      <c r="A5" t="s">
        <v>190</v>
      </c>
      <c r="B5" t="s">
        <v>373</v>
      </c>
      <c r="C5" t="s">
        <v>97</v>
      </c>
      <c r="D5" s="129">
        <v>312.19419477959997</v>
      </c>
    </row>
    <row r="6" spans="1:4">
      <c r="A6" t="s">
        <v>190</v>
      </c>
      <c r="B6" t="s">
        <v>373</v>
      </c>
      <c r="C6" t="s">
        <v>93</v>
      </c>
      <c r="D6" s="129">
        <v>265.90291464000001</v>
      </c>
    </row>
    <row r="7" spans="1:4">
      <c r="A7" t="s">
        <v>190</v>
      </c>
      <c r="B7" t="s">
        <v>373</v>
      </c>
      <c r="C7" t="s">
        <v>94</v>
      </c>
      <c r="D7" s="129">
        <v>319.08349756799998</v>
      </c>
    </row>
    <row r="8" spans="1:4">
      <c r="A8" t="s">
        <v>190</v>
      </c>
      <c r="B8" t="s">
        <v>373</v>
      </c>
      <c r="C8" t="s">
        <v>95</v>
      </c>
      <c r="D8" s="129">
        <v>265.90291464000001</v>
      </c>
    </row>
    <row r="9" spans="1:4">
      <c r="A9" t="s">
        <v>190</v>
      </c>
      <c r="B9" t="s">
        <v>373</v>
      </c>
      <c r="C9" t="s">
        <v>97</v>
      </c>
      <c r="D9" s="129">
        <v>478.62524635199998</v>
      </c>
    </row>
    <row r="10" spans="1:4">
      <c r="A10" t="s">
        <v>202</v>
      </c>
      <c r="B10" t="s">
        <v>373</v>
      </c>
      <c r="C10" t="s">
        <v>93</v>
      </c>
      <c r="D10" s="129">
        <v>51.4814368125</v>
      </c>
    </row>
    <row r="11" spans="1:4">
      <c r="A11" t="s">
        <v>202</v>
      </c>
      <c r="B11" t="s">
        <v>373</v>
      </c>
      <c r="C11" t="s">
        <v>94</v>
      </c>
      <c r="D11" s="129">
        <v>61.777724175000003</v>
      </c>
    </row>
    <row r="12" spans="1:4">
      <c r="A12" t="s">
        <v>202</v>
      </c>
      <c r="B12" t="s">
        <v>373</v>
      </c>
      <c r="C12" t="s">
        <v>95</v>
      </c>
      <c r="D12" s="129">
        <v>51.4814368125</v>
      </c>
    </row>
    <row r="13" spans="1:4">
      <c r="A13" t="s">
        <v>202</v>
      </c>
      <c r="B13" t="s">
        <v>373</v>
      </c>
      <c r="C13" t="s">
        <v>97</v>
      </c>
      <c r="D13" s="129">
        <v>92.666586262500005</v>
      </c>
    </row>
    <row r="14" spans="1:4">
      <c r="A14" t="s">
        <v>202</v>
      </c>
      <c r="B14" t="s">
        <v>373</v>
      </c>
      <c r="C14" t="s">
        <v>93</v>
      </c>
      <c r="D14" s="129">
        <v>546.37585200000012</v>
      </c>
    </row>
    <row r="15" spans="1:4">
      <c r="A15" t="s">
        <v>202</v>
      </c>
      <c r="B15" t="s">
        <v>373</v>
      </c>
      <c r="C15" t="s">
        <v>94</v>
      </c>
      <c r="D15" s="129">
        <v>655.6510224000001</v>
      </c>
    </row>
    <row r="16" spans="1:4">
      <c r="A16" t="s">
        <v>202</v>
      </c>
      <c r="B16" t="s">
        <v>373</v>
      </c>
      <c r="C16" t="s">
        <v>95</v>
      </c>
      <c r="D16" s="129">
        <v>546.37585200000012</v>
      </c>
    </row>
    <row r="17" spans="1:4">
      <c r="A17" t="s">
        <v>202</v>
      </c>
      <c r="B17" t="s">
        <v>373</v>
      </c>
      <c r="C17" t="s">
        <v>97</v>
      </c>
      <c r="D17" s="129">
        <v>983.47653360000015</v>
      </c>
    </row>
    <row r="18" spans="1:4">
      <c r="A18" t="s">
        <v>202</v>
      </c>
      <c r="B18" t="s">
        <v>373</v>
      </c>
      <c r="C18" t="s">
        <v>93</v>
      </c>
      <c r="D18" s="129">
        <v>327.25636968749996</v>
      </c>
    </row>
    <row r="19" spans="1:4">
      <c r="A19" t="s">
        <v>202</v>
      </c>
      <c r="B19" t="s">
        <v>373</v>
      </c>
      <c r="C19" t="s">
        <v>94</v>
      </c>
      <c r="D19" s="129">
        <v>392.70764362499995</v>
      </c>
    </row>
    <row r="20" spans="1:4">
      <c r="A20" t="s">
        <v>202</v>
      </c>
      <c r="B20" t="s">
        <v>373</v>
      </c>
      <c r="C20" t="s">
        <v>95</v>
      </c>
      <c r="D20" s="129">
        <v>327.25636968749996</v>
      </c>
    </row>
    <row r="21" spans="1:4">
      <c r="A21" t="s">
        <v>202</v>
      </c>
      <c r="B21" t="s">
        <v>373</v>
      </c>
      <c r="C21" t="s">
        <v>97</v>
      </c>
      <c r="D21" s="129">
        <v>589.06146543749992</v>
      </c>
    </row>
    <row r="22" spans="1:4">
      <c r="A22" t="s">
        <v>202</v>
      </c>
      <c r="B22" t="s">
        <v>373</v>
      </c>
      <c r="C22" t="s">
        <v>93</v>
      </c>
      <c r="D22" s="129">
        <v>193.54950636000004</v>
      </c>
    </row>
    <row r="23" spans="1:4">
      <c r="A23" t="s">
        <v>202</v>
      </c>
      <c r="B23" t="s">
        <v>373</v>
      </c>
      <c r="C23" t="s">
        <v>94</v>
      </c>
      <c r="D23" s="129">
        <v>232.25940763200003</v>
      </c>
    </row>
    <row r="24" spans="1:4">
      <c r="A24" t="s">
        <v>202</v>
      </c>
      <c r="B24" t="s">
        <v>373</v>
      </c>
      <c r="C24" t="s">
        <v>95</v>
      </c>
      <c r="D24" s="129">
        <v>193.54950636000004</v>
      </c>
    </row>
    <row r="25" spans="1:4">
      <c r="A25" t="s">
        <v>202</v>
      </c>
      <c r="B25" t="s">
        <v>373</v>
      </c>
      <c r="C25" t="s">
        <v>97</v>
      </c>
      <c r="D25" s="129">
        <v>348.38911144800005</v>
      </c>
    </row>
    <row r="26" spans="1:4">
      <c r="A26" t="s">
        <v>202</v>
      </c>
      <c r="B26" t="s">
        <v>373</v>
      </c>
      <c r="C26" t="s">
        <v>93</v>
      </c>
      <c r="D26" s="129">
        <v>302.679804375</v>
      </c>
    </row>
    <row r="27" spans="1:4">
      <c r="A27" t="s">
        <v>202</v>
      </c>
      <c r="B27" t="s">
        <v>373</v>
      </c>
      <c r="C27" t="s">
        <v>94</v>
      </c>
      <c r="D27" s="129">
        <v>363.21576525</v>
      </c>
    </row>
    <row r="28" spans="1:4">
      <c r="A28" t="s">
        <v>202</v>
      </c>
      <c r="B28" t="s">
        <v>373</v>
      </c>
      <c r="C28" t="s">
        <v>95</v>
      </c>
      <c r="D28" s="129">
        <v>302.679804375</v>
      </c>
    </row>
    <row r="29" spans="1:4">
      <c r="A29" t="s">
        <v>202</v>
      </c>
      <c r="B29" t="s">
        <v>373</v>
      </c>
      <c r="C29" t="s">
        <v>97</v>
      </c>
      <c r="D29" s="129">
        <v>544.82364787500001</v>
      </c>
    </row>
    <row r="30" spans="1:4">
      <c r="A30" t="s">
        <v>202</v>
      </c>
      <c r="B30" t="s">
        <v>373</v>
      </c>
      <c r="C30" t="s">
        <v>93</v>
      </c>
      <c r="D30" s="129">
        <v>1136.6955379999995</v>
      </c>
    </row>
    <row r="31" spans="1:4">
      <c r="A31" t="s">
        <v>202</v>
      </c>
      <c r="B31" t="s">
        <v>373</v>
      </c>
      <c r="C31" t="s">
        <v>94</v>
      </c>
      <c r="D31" s="129">
        <v>1364.0346455999995</v>
      </c>
    </row>
    <row r="32" spans="1:4">
      <c r="A32" t="s">
        <v>202</v>
      </c>
      <c r="B32" t="s">
        <v>373</v>
      </c>
      <c r="C32" t="s">
        <v>95</v>
      </c>
      <c r="D32" s="129">
        <v>1136.6955379999995</v>
      </c>
    </row>
    <row r="33" spans="1:4">
      <c r="A33" t="s">
        <v>202</v>
      </c>
      <c r="B33" t="s">
        <v>373</v>
      </c>
      <c r="C33" t="s">
        <v>97</v>
      </c>
      <c r="D33" s="129">
        <v>2046.0519683999992</v>
      </c>
    </row>
    <row r="34" spans="1:4">
      <c r="A34" t="s">
        <v>203</v>
      </c>
      <c r="B34" t="s">
        <v>373</v>
      </c>
      <c r="C34" t="s">
        <v>93</v>
      </c>
      <c r="D34" s="129">
        <v>2115.1368210000001</v>
      </c>
    </row>
    <row r="35" spans="1:4">
      <c r="A35" t="s">
        <v>203</v>
      </c>
      <c r="B35" t="s">
        <v>373</v>
      </c>
      <c r="C35" t="s">
        <v>94</v>
      </c>
      <c r="D35" s="129">
        <v>2538.1641851999998</v>
      </c>
    </row>
    <row r="36" spans="1:4">
      <c r="A36" t="s">
        <v>203</v>
      </c>
      <c r="B36" t="s">
        <v>373</v>
      </c>
      <c r="C36" t="s">
        <v>95</v>
      </c>
      <c r="D36" s="129">
        <v>2115.1368210000001</v>
      </c>
    </row>
    <row r="37" spans="1:4">
      <c r="A37" t="s">
        <v>203</v>
      </c>
      <c r="B37" t="s">
        <v>373</v>
      </c>
      <c r="C37" t="s">
        <v>97</v>
      </c>
      <c r="D37" s="129">
        <v>3807.2462777999999</v>
      </c>
    </row>
    <row r="38" spans="1:4">
      <c r="A38" t="s">
        <v>203</v>
      </c>
      <c r="B38" t="s">
        <v>373</v>
      </c>
      <c r="C38" t="s">
        <v>93</v>
      </c>
      <c r="D38" s="129">
        <v>1775.7215189999999</v>
      </c>
    </row>
    <row r="39" spans="1:4">
      <c r="A39" t="s">
        <v>203</v>
      </c>
      <c r="B39" t="s">
        <v>373</v>
      </c>
      <c r="C39" t="s">
        <v>94</v>
      </c>
      <c r="D39" s="129">
        <v>2130.8658227999999</v>
      </c>
    </row>
    <row r="40" spans="1:4">
      <c r="A40" t="s">
        <v>203</v>
      </c>
      <c r="B40" t="s">
        <v>373</v>
      </c>
      <c r="C40" t="s">
        <v>95</v>
      </c>
      <c r="D40" s="129">
        <v>1775.7215189999999</v>
      </c>
    </row>
    <row r="41" spans="1:4">
      <c r="A41" t="s">
        <v>203</v>
      </c>
      <c r="B41" t="s">
        <v>373</v>
      </c>
      <c r="C41" t="s">
        <v>97</v>
      </c>
      <c r="D41" s="129">
        <v>3196.2987341999997</v>
      </c>
    </row>
    <row r="42" spans="1:4">
      <c r="A42" t="s">
        <v>204</v>
      </c>
      <c r="B42" t="s">
        <v>373</v>
      </c>
      <c r="C42" t="s">
        <v>93</v>
      </c>
      <c r="D42" s="129">
        <v>311.75020089399186</v>
      </c>
    </row>
    <row r="43" spans="1:4">
      <c r="A43" t="s">
        <v>204</v>
      </c>
      <c r="B43" t="s">
        <v>373</v>
      </c>
      <c r="C43" t="s">
        <v>94</v>
      </c>
      <c r="D43" s="129">
        <v>374.1002410727902</v>
      </c>
    </row>
    <row r="44" spans="1:4">
      <c r="A44" t="s">
        <v>204</v>
      </c>
      <c r="B44" t="s">
        <v>373</v>
      </c>
      <c r="C44" t="s">
        <v>95</v>
      </c>
      <c r="D44" s="129">
        <v>311.75020089399186</v>
      </c>
    </row>
    <row r="45" spans="1:4">
      <c r="A45" t="s">
        <v>204</v>
      </c>
      <c r="B45" t="s">
        <v>373</v>
      </c>
      <c r="C45" t="s">
        <v>97</v>
      </c>
      <c r="D45" s="129">
        <v>561.15036160918532</v>
      </c>
    </row>
    <row r="46" spans="1:4">
      <c r="A46" t="s">
        <v>204</v>
      </c>
      <c r="B46" t="s">
        <v>373</v>
      </c>
      <c r="C46" t="s">
        <v>93</v>
      </c>
      <c r="D46" s="129">
        <v>0</v>
      </c>
    </row>
    <row r="47" spans="1:4">
      <c r="A47" t="s">
        <v>204</v>
      </c>
      <c r="B47" t="s">
        <v>373</v>
      </c>
      <c r="C47" t="s">
        <v>94</v>
      </c>
      <c r="D47" s="129">
        <v>0</v>
      </c>
    </row>
    <row r="48" spans="1:4">
      <c r="A48" t="s">
        <v>204</v>
      </c>
      <c r="B48" t="s">
        <v>373</v>
      </c>
      <c r="C48" t="s">
        <v>95</v>
      </c>
      <c r="D48" s="129">
        <v>0</v>
      </c>
    </row>
    <row r="49" spans="1:4">
      <c r="A49" t="s">
        <v>204</v>
      </c>
      <c r="B49" t="s">
        <v>373</v>
      </c>
      <c r="C49" t="s">
        <v>97</v>
      </c>
      <c r="D49" s="129">
        <v>0</v>
      </c>
    </row>
    <row r="50" spans="1:4">
      <c r="A50" t="s">
        <v>204</v>
      </c>
      <c r="B50" t="s">
        <v>373</v>
      </c>
      <c r="C50" t="s">
        <v>93</v>
      </c>
      <c r="D50" s="129">
        <v>0</v>
      </c>
    </row>
    <row r="51" spans="1:4">
      <c r="A51" t="s">
        <v>204</v>
      </c>
      <c r="B51" t="s">
        <v>373</v>
      </c>
      <c r="C51" t="s">
        <v>94</v>
      </c>
      <c r="D51" s="129">
        <v>0</v>
      </c>
    </row>
    <row r="52" spans="1:4">
      <c r="A52" t="s">
        <v>204</v>
      </c>
      <c r="B52" t="s">
        <v>373</v>
      </c>
      <c r="C52" t="s">
        <v>95</v>
      </c>
      <c r="D52" s="129">
        <v>0</v>
      </c>
    </row>
    <row r="53" spans="1:4">
      <c r="A53" t="s">
        <v>204</v>
      </c>
      <c r="B53" t="s">
        <v>373</v>
      </c>
      <c r="C53" t="s">
        <v>97</v>
      </c>
      <c r="D53" s="129">
        <v>0</v>
      </c>
    </row>
    <row r="54" spans="1:4">
      <c r="A54" t="s">
        <v>204</v>
      </c>
      <c r="B54" t="s">
        <v>373</v>
      </c>
      <c r="C54" t="s">
        <v>93</v>
      </c>
      <c r="D54" s="129">
        <v>1291.3293719315559</v>
      </c>
    </row>
    <row r="55" spans="1:4">
      <c r="A55" t="s">
        <v>204</v>
      </c>
      <c r="B55" t="s">
        <v>373</v>
      </c>
      <c r="C55" t="s">
        <v>94</v>
      </c>
      <c r="D55" s="129">
        <v>1549.5952463178671</v>
      </c>
    </row>
    <row r="56" spans="1:4">
      <c r="A56" t="s">
        <v>204</v>
      </c>
      <c r="B56" t="s">
        <v>373</v>
      </c>
      <c r="C56" t="s">
        <v>95</v>
      </c>
      <c r="D56" s="129">
        <v>1291.3293719315559</v>
      </c>
    </row>
    <row r="57" spans="1:4">
      <c r="A57" t="s">
        <v>204</v>
      </c>
      <c r="B57" t="s">
        <v>373</v>
      </c>
      <c r="C57" t="s">
        <v>97</v>
      </c>
      <c r="D57" s="129">
        <v>2324.392869476801</v>
      </c>
    </row>
    <row r="58" spans="1:4">
      <c r="A58" t="s">
        <v>205</v>
      </c>
      <c r="B58" t="s">
        <v>373</v>
      </c>
      <c r="C58" t="s">
        <v>93</v>
      </c>
      <c r="D58" s="129">
        <v>18.627569688000005</v>
      </c>
    </row>
    <row r="59" spans="1:4">
      <c r="A59" t="s">
        <v>205</v>
      </c>
      <c r="B59" t="s">
        <v>373</v>
      </c>
      <c r="C59" t="s">
        <v>94</v>
      </c>
      <c r="D59" s="129">
        <v>22.353083625600004</v>
      </c>
    </row>
    <row r="60" spans="1:4">
      <c r="A60" t="s">
        <v>205</v>
      </c>
      <c r="B60" t="s">
        <v>373</v>
      </c>
      <c r="C60" t="s">
        <v>95</v>
      </c>
      <c r="D60" s="129">
        <v>18.627569688000005</v>
      </c>
    </row>
    <row r="61" spans="1:4">
      <c r="A61" t="s">
        <v>205</v>
      </c>
      <c r="B61" t="s">
        <v>373</v>
      </c>
      <c r="C61" t="s">
        <v>97</v>
      </c>
      <c r="D61" s="129">
        <v>33.529625438400004</v>
      </c>
    </row>
    <row r="62" spans="1:4">
      <c r="A62" t="s">
        <v>205</v>
      </c>
      <c r="B62" t="s">
        <v>373</v>
      </c>
      <c r="C62" t="s">
        <v>93</v>
      </c>
      <c r="D62" s="129">
        <v>937.47049000000015</v>
      </c>
    </row>
    <row r="63" spans="1:4">
      <c r="A63" t="s">
        <v>205</v>
      </c>
      <c r="B63" t="s">
        <v>373</v>
      </c>
      <c r="C63" t="s">
        <v>94</v>
      </c>
      <c r="D63" s="129">
        <v>1124.964588</v>
      </c>
    </row>
    <row r="64" spans="1:4">
      <c r="A64" t="s">
        <v>205</v>
      </c>
      <c r="B64" t="s">
        <v>373</v>
      </c>
      <c r="C64" t="s">
        <v>95</v>
      </c>
      <c r="D64" s="129">
        <v>937.47049000000015</v>
      </c>
    </row>
    <row r="65" spans="1:4">
      <c r="A65" t="s">
        <v>205</v>
      </c>
      <c r="B65" t="s">
        <v>373</v>
      </c>
      <c r="C65" t="s">
        <v>97</v>
      </c>
      <c r="D65" s="129">
        <v>1687.446882</v>
      </c>
    </row>
    <row r="66" spans="1:4">
      <c r="A66" t="s">
        <v>206</v>
      </c>
      <c r="B66" t="s">
        <v>373</v>
      </c>
      <c r="C66" t="s">
        <v>93</v>
      </c>
      <c r="D66" s="129">
        <v>0</v>
      </c>
    </row>
    <row r="67" spans="1:4">
      <c r="A67" t="s">
        <v>206</v>
      </c>
      <c r="B67" t="s">
        <v>373</v>
      </c>
      <c r="C67" t="s">
        <v>94</v>
      </c>
      <c r="D67" s="129">
        <v>0</v>
      </c>
    </row>
    <row r="68" spans="1:4">
      <c r="A68" t="s">
        <v>206</v>
      </c>
      <c r="B68" t="s">
        <v>373</v>
      </c>
      <c r="C68" t="s">
        <v>95</v>
      </c>
      <c r="D68" s="129">
        <v>0</v>
      </c>
    </row>
    <row r="69" spans="1:4">
      <c r="A69" t="s">
        <v>206</v>
      </c>
      <c r="B69" t="s">
        <v>373</v>
      </c>
      <c r="C69" t="s">
        <v>97</v>
      </c>
      <c r="D69" s="129">
        <v>0</v>
      </c>
    </row>
    <row r="70" spans="1:4">
      <c r="A70" t="s">
        <v>206</v>
      </c>
      <c r="B70" t="s">
        <v>373</v>
      </c>
      <c r="C70" t="s">
        <v>93</v>
      </c>
      <c r="D70" s="129">
        <v>419.09511375000005</v>
      </c>
    </row>
    <row r="71" spans="1:4">
      <c r="A71" t="s">
        <v>206</v>
      </c>
      <c r="B71" t="s">
        <v>373</v>
      </c>
      <c r="C71" t="s">
        <v>94</v>
      </c>
      <c r="D71" s="129">
        <v>502.91413649999998</v>
      </c>
    </row>
    <row r="72" spans="1:4">
      <c r="A72" t="s">
        <v>206</v>
      </c>
      <c r="B72" t="s">
        <v>373</v>
      </c>
      <c r="C72" t="s">
        <v>95</v>
      </c>
      <c r="D72" s="129">
        <v>419.09511375000005</v>
      </c>
    </row>
    <row r="73" spans="1:4">
      <c r="A73" t="s">
        <v>206</v>
      </c>
      <c r="B73" t="s">
        <v>373</v>
      </c>
      <c r="C73" t="s">
        <v>97</v>
      </c>
      <c r="D73" s="129">
        <v>754.37120474999995</v>
      </c>
    </row>
    <row r="74" spans="1:4">
      <c r="A74" t="s">
        <v>206</v>
      </c>
      <c r="B74" t="s">
        <v>373</v>
      </c>
      <c r="C74" t="s">
        <v>93</v>
      </c>
      <c r="D74" s="129">
        <v>522.47190847500008</v>
      </c>
    </row>
    <row r="75" spans="1:4">
      <c r="A75" t="s">
        <v>206</v>
      </c>
      <c r="B75" t="s">
        <v>373</v>
      </c>
      <c r="C75" t="s">
        <v>94</v>
      </c>
      <c r="D75" s="129">
        <v>626.96629017000009</v>
      </c>
    </row>
    <row r="76" spans="1:4">
      <c r="A76" t="s">
        <v>206</v>
      </c>
      <c r="B76" t="s">
        <v>373</v>
      </c>
      <c r="C76" t="s">
        <v>95</v>
      </c>
      <c r="D76" s="129">
        <v>522.47190847500008</v>
      </c>
    </row>
    <row r="77" spans="1:4">
      <c r="A77" t="s">
        <v>206</v>
      </c>
      <c r="B77" t="s">
        <v>373</v>
      </c>
      <c r="C77" t="s">
        <v>97</v>
      </c>
      <c r="D77" s="129">
        <v>940.44943525500003</v>
      </c>
    </row>
    <row r="78" spans="1:4">
      <c r="A78" t="s">
        <v>206</v>
      </c>
      <c r="B78" t="s">
        <v>373</v>
      </c>
      <c r="C78" t="s">
        <v>93</v>
      </c>
      <c r="D78" s="129">
        <v>550.98417357999995</v>
      </c>
    </row>
    <row r="79" spans="1:4">
      <c r="A79" t="s">
        <v>206</v>
      </c>
      <c r="B79" t="s">
        <v>373</v>
      </c>
      <c r="C79" t="s">
        <v>94</v>
      </c>
      <c r="D79" s="129">
        <v>661.18100829599996</v>
      </c>
    </row>
    <row r="80" spans="1:4">
      <c r="A80" t="s">
        <v>206</v>
      </c>
      <c r="B80" t="s">
        <v>373</v>
      </c>
      <c r="C80" t="s">
        <v>95</v>
      </c>
      <c r="D80" s="129">
        <v>550.98417357999995</v>
      </c>
    </row>
    <row r="81" spans="1:4">
      <c r="A81" t="s">
        <v>206</v>
      </c>
      <c r="B81" t="s">
        <v>373</v>
      </c>
      <c r="C81" t="s">
        <v>97</v>
      </c>
      <c r="D81" s="129">
        <v>991.77151244399988</v>
      </c>
    </row>
    <row r="82" spans="1:4">
      <c r="A82" t="s">
        <v>206</v>
      </c>
      <c r="B82" t="s">
        <v>373</v>
      </c>
      <c r="C82" t="s">
        <v>93</v>
      </c>
      <c r="D82" s="129">
        <v>195.89517871485947</v>
      </c>
    </row>
    <row r="83" spans="1:4">
      <c r="A83" t="s">
        <v>206</v>
      </c>
      <c r="B83" t="s">
        <v>373</v>
      </c>
      <c r="C83" t="s">
        <v>94</v>
      </c>
      <c r="D83" s="129">
        <v>235.07421445783137</v>
      </c>
    </row>
    <row r="84" spans="1:4">
      <c r="A84" t="s">
        <v>206</v>
      </c>
      <c r="B84" t="s">
        <v>373</v>
      </c>
      <c r="C84" t="s">
        <v>95</v>
      </c>
      <c r="D84" s="129">
        <v>195.89517871485947</v>
      </c>
    </row>
    <row r="85" spans="1:4">
      <c r="A85" t="s">
        <v>206</v>
      </c>
      <c r="B85" t="s">
        <v>373</v>
      </c>
      <c r="C85" t="s">
        <v>97</v>
      </c>
      <c r="D85" s="129">
        <v>352.61132168674703</v>
      </c>
    </row>
    <row r="86" spans="1:4">
      <c r="A86" t="s">
        <v>206</v>
      </c>
      <c r="B86" t="s">
        <v>373</v>
      </c>
      <c r="C86" t="s">
        <v>93</v>
      </c>
      <c r="D86" s="129">
        <v>0</v>
      </c>
    </row>
    <row r="87" spans="1:4">
      <c r="A87" t="s">
        <v>206</v>
      </c>
      <c r="B87" t="s">
        <v>373</v>
      </c>
      <c r="C87" t="s">
        <v>94</v>
      </c>
      <c r="D87" s="129">
        <v>0</v>
      </c>
    </row>
    <row r="88" spans="1:4">
      <c r="A88" t="s">
        <v>206</v>
      </c>
      <c r="B88" t="s">
        <v>373</v>
      </c>
      <c r="C88" t="s">
        <v>95</v>
      </c>
      <c r="D88" s="129">
        <v>0</v>
      </c>
    </row>
    <row r="89" spans="1:4">
      <c r="A89" t="s">
        <v>206</v>
      </c>
      <c r="B89" t="s">
        <v>373</v>
      </c>
      <c r="C89" t="s">
        <v>97</v>
      </c>
      <c r="D89" s="129">
        <v>0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89"/>
  <sheetViews>
    <sheetView workbookViewId="0">
      <selection activeCell="D2" sqref="D2:D89"/>
    </sheetView>
  </sheetViews>
  <sheetFormatPr baseColWidth="10" defaultRowHeight="15"/>
  <cols>
    <col min="1" max="1" width="13.42578125" bestFit="1" customWidth="1"/>
    <col min="2" max="2" width="11.85546875" bestFit="1" customWidth="1"/>
    <col min="3" max="3" width="11" bestFit="1" customWidth="1"/>
    <col min="4" max="4" width="9.42578125" bestFit="1" customWidth="1"/>
  </cols>
  <sheetData>
    <row r="1" spans="1:4">
      <c r="A1" t="s">
        <v>364</v>
      </c>
      <c r="B1" t="s">
        <v>0</v>
      </c>
      <c r="C1" t="s">
        <v>365</v>
      </c>
      <c r="D1" t="s">
        <v>366</v>
      </c>
    </row>
    <row r="2" spans="1:4">
      <c r="A2" t="s">
        <v>190</v>
      </c>
      <c r="B2" t="s">
        <v>12</v>
      </c>
      <c r="C2" t="s">
        <v>93</v>
      </c>
      <c r="D2" s="129">
        <v>40.527614399999997</v>
      </c>
    </row>
    <row r="3" spans="1:4">
      <c r="A3" t="s">
        <v>190</v>
      </c>
      <c r="B3" t="s">
        <v>12</v>
      </c>
      <c r="C3" t="s">
        <v>94</v>
      </c>
      <c r="D3" s="129">
        <v>48.63313728</v>
      </c>
    </row>
    <row r="4" spans="1:4">
      <c r="A4" t="s">
        <v>190</v>
      </c>
      <c r="B4" t="s">
        <v>12</v>
      </c>
      <c r="C4" t="s">
        <v>95</v>
      </c>
      <c r="D4" s="129">
        <v>40.527614399999997</v>
      </c>
    </row>
    <row r="5" spans="1:4">
      <c r="A5" t="s">
        <v>190</v>
      </c>
      <c r="B5" t="s">
        <v>12</v>
      </c>
      <c r="C5" t="s">
        <v>97</v>
      </c>
      <c r="D5" s="129">
        <v>72.94970592</v>
      </c>
    </row>
    <row r="6" spans="1:4">
      <c r="A6" t="s">
        <v>190</v>
      </c>
      <c r="B6" t="s">
        <v>12</v>
      </c>
      <c r="C6" t="s">
        <v>93</v>
      </c>
      <c r="D6" s="129">
        <v>62.132928000000007</v>
      </c>
    </row>
    <row r="7" spans="1:4">
      <c r="A7" t="s">
        <v>190</v>
      </c>
      <c r="B7" t="s">
        <v>12</v>
      </c>
      <c r="C7" t="s">
        <v>94</v>
      </c>
      <c r="D7" s="129">
        <v>74.559513600000002</v>
      </c>
    </row>
    <row r="8" spans="1:4">
      <c r="A8" t="s">
        <v>190</v>
      </c>
      <c r="B8" t="s">
        <v>12</v>
      </c>
      <c r="C8" t="s">
        <v>95</v>
      </c>
      <c r="D8" s="129">
        <v>62.132928000000007</v>
      </c>
    </row>
    <row r="9" spans="1:4">
      <c r="A9" t="s">
        <v>190</v>
      </c>
      <c r="B9" t="s">
        <v>12</v>
      </c>
      <c r="C9" t="s">
        <v>97</v>
      </c>
      <c r="D9" s="129">
        <v>111.8392704</v>
      </c>
    </row>
    <row r="10" spans="1:4">
      <c r="A10" t="s">
        <v>202</v>
      </c>
      <c r="B10" t="s">
        <v>12</v>
      </c>
      <c r="C10" t="s">
        <v>93</v>
      </c>
      <c r="D10" s="129">
        <v>12.02955</v>
      </c>
    </row>
    <row r="11" spans="1:4">
      <c r="A11" t="s">
        <v>202</v>
      </c>
      <c r="B11" t="s">
        <v>12</v>
      </c>
      <c r="C11" t="s">
        <v>94</v>
      </c>
      <c r="D11" s="129">
        <v>14.435460000000001</v>
      </c>
    </row>
    <row r="12" spans="1:4">
      <c r="A12" t="s">
        <v>202</v>
      </c>
      <c r="B12" t="s">
        <v>12</v>
      </c>
      <c r="C12" t="s">
        <v>95</v>
      </c>
      <c r="D12" s="129">
        <v>12.02955</v>
      </c>
    </row>
    <row r="13" spans="1:4">
      <c r="A13" t="s">
        <v>202</v>
      </c>
      <c r="B13" t="s">
        <v>12</v>
      </c>
      <c r="C13" t="s">
        <v>97</v>
      </c>
      <c r="D13" s="129">
        <v>21.653189999999999</v>
      </c>
    </row>
    <row r="14" spans="1:4">
      <c r="A14" t="s">
        <v>202</v>
      </c>
      <c r="B14" t="s">
        <v>12</v>
      </c>
      <c r="C14" t="s">
        <v>93</v>
      </c>
      <c r="D14" s="129">
        <v>127.6704</v>
      </c>
    </row>
    <row r="15" spans="1:4">
      <c r="A15" t="s">
        <v>202</v>
      </c>
      <c r="B15" t="s">
        <v>12</v>
      </c>
      <c r="C15" t="s">
        <v>94</v>
      </c>
      <c r="D15" s="129">
        <v>153.20447999999999</v>
      </c>
    </row>
    <row r="16" spans="1:4">
      <c r="A16" t="s">
        <v>202</v>
      </c>
      <c r="B16" t="s">
        <v>12</v>
      </c>
      <c r="C16" t="s">
        <v>95</v>
      </c>
      <c r="D16" s="129">
        <v>127.6704</v>
      </c>
    </row>
    <row r="17" spans="1:4">
      <c r="A17" t="s">
        <v>202</v>
      </c>
      <c r="B17" t="s">
        <v>12</v>
      </c>
      <c r="C17" t="s">
        <v>97</v>
      </c>
      <c r="D17" s="129">
        <v>229.80672000000001</v>
      </c>
    </row>
    <row r="18" spans="1:4">
      <c r="A18" t="s">
        <v>202</v>
      </c>
      <c r="B18" t="s">
        <v>12</v>
      </c>
      <c r="C18" t="s">
        <v>93</v>
      </c>
      <c r="D18" s="129">
        <v>76.469250000000002</v>
      </c>
    </row>
    <row r="19" spans="1:4">
      <c r="A19" t="s">
        <v>202</v>
      </c>
      <c r="B19" t="s">
        <v>12</v>
      </c>
      <c r="C19" t="s">
        <v>94</v>
      </c>
      <c r="D19" s="129">
        <v>91.763099999999994</v>
      </c>
    </row>
    <row r="20" spans="1:4">
      <c r="A20" t="s">
        <v>202</v>
      </c>
      <c r="B20" t="s">
        <v>12</v>
      </c>
      <c r="C20" t="s">
        <v>95</v>
      </c>
      <c r="D20" s="129">
        <v>76.469250000000002</v>
      </c>
    </row>
    <row r="21" spans="1:4">
      <c r="A21" t="s">
        <v>202</v>
      </c>
      <c r="B21" t="s">
        <v>12</v>
      </c>
      <c r="C21" t="s">
        <v>97</v>
      </c>
      <c r="D21" s="129">
        <v>137.64464999999998</v>
      </c>
    </row>
    <row r="22" spans="1:4">
      <c r="A22" t="s">
        <v>202</v>
      </c>
      <c r="B22" t="s">
        <v>12</v>
      </c>
      <c r="C22" t="s">
        <v>93</v>
      </c>
      <c r="D22" s="129">
        <v>45.226272000000009</v>
      </c>
    </row>
    <row r="23" spans="1:4">
      <c r="A23" t="s">
        <v>202</v>
      </c>
      <c r="B23" t="s">
        <v>12</v>
      </c>
      <c r="C23" t="s">
        <v>94</v>
      </c>
      <c r="D23" s="129">
        <v>54.271526400000006</v>
      </c>
    </row>
    <row r="24" spans="1:4">
      <c r="A24" t="s">
        <v>202</v>
      </c>
      <c r="B24" t="s">
        <v>12</v>
      </c>
      <c r="C24" t="s">
        <v>95</v>
      </c>
      <c r="D24" s="129">
        <v>45.226272000000009</v>
      </c>
    </row>
    <row r="25" spans="1:4">
      <c r="A25" t="s">
        <v>202</v>
      </c>
      <c r="B25" t="s">
        <v>12</v>
      </c>
      <c r="C25" t="s">
        <v>97</v>
      </c>
      <c r="D25" s="129">
        <v>81.407289600000013</v>
      </c>
    </row>
    <row r="26" spans="1:4">
      <c r="A26" t="s">
        <v>202</v>
      </c>
      <c r="B26" t="s">
        <v>12</v>
      </c>
      <c r="C26" t="s">
        <v>93</v>
      </c>
      <c r="D26" s="129">
        <v>70.726500000000016</v>
      </c>
    </row>
    <row r="27" spans="1:4">
      <c r="A27" t="s">
        <v>202</v>
      </c>
      <c r="B27" t="s">
        <v>12</v>
      </c>
      <c r="C27" t="s">
        <v>94</v>
      </c>
      <c r="D27" s="129">
        <v>84.871799999999993</v>
      </c>
    </row>
    <row r="28" spans="1:4">
      <c r="A28" t="s">
        <v>202</v>
      </c>
      <c r="B28" t="s">
        <v>12</v>
      </c>
      <c r="C28" t="s">
        <v>95</v>
      </c>
      <c r="D28" s="129">
        <v>70.726500000000016</v>
      </c>
    </row>
    <row r="29" spans="1:4">
      <c r="A29" t="s">
        <v>202</v>
      </c>
      <c r="B29" t="s">
        <v>12</v>
      </c>
      <c r="C29" t="s">
        <v>97</v>
      </c>
      <c r="D29" s="129">
        <v>127.3077</v>
      </c>
    </row>
    <row r="30" spans="1:4">
      <c r="A30" t="s">
        <v>202</v>
      </c>
      <c r="B30" t="s">
        <v>12</v>
      </c>
      <c r="C30" t="s">
        <v>93</v>
      </c>
      <c r="D30" s="129">
        <v>316.83850000000001</v>
      </c>
    </row>
    <row r="31" spans="1:4">
      <c r="A31" t="s">
        <v>202</v>
      </c>
      <c r="B31" t="s">
        <v>12</v>
      </c>
      <c r="C31" t="s">
        <v>94</v>
      </c>
      <c r="D31" s="129">
        <v>380.20620000000002</v>
      </c>
    </row>
    <row r="32" spans="1:4">
      <c r="A32" t="s">
        <v>202</v>
      </c>
      <c r="B32" t="s">
        <v>12</v>
      </c>
      <c r="C32" t="s">
        <v>95</v>
      </c>
      <c r="D32" s="129">
        <v>316.83850000000001</v>
      </c>
    </row>
    <row r="33" spans="1:4">
      <c r="A33" t="s">
        <v>202</v>
      </c>
      <c r="B33" t="s">
        <v>12</v>
      </c>
      <c r="C33" t="s">
        <v>97</v>
      </c>
      <c r="D33" s="129">
        <v>570.30929999999989</v>
      </c>
    </row>
    <row r="34" spans="1:4">
      <c r="A34" t="s">
        <v>203</v>
      </c>
      <c r="B34" t="s">
        <v>12</v>
      </c>
      <c r="C34" t="s">
        <v>93</v>
      </c>
      <c r="D34" s="129">
        <v>494.23919999999993</v>
      </c>
    </row>
    <row r="35" spans="1:4">
      <c r="A35" t="s">
        <v>203</v>
      </c>
      <c r="B35" t="s">
        <v>12</v>
      </c>
      <c r="C35" t="s">
        <v>94</v>
      </c>
      <c r="D35" s="129">
        <v>593.08703999999989</v>
      </c>
    </row>
    <row r="36" spans="1:4">
      <c r="A36" t="s">
        <v>203</v>
      </c>
      <c r="B36" t="s">
        <v>12</v>
      </c>
      <c r="C36" t="s">
        <v>95</v>
      </c>
      <c r="D36" s="129">
        <v>494.23919999999993</v>
      </c>
    </row>
    <row r="37" spans="1:4">
      <c r="A37" t="s">
        <v>203</v>
      </c>
      <c r="B37" t="s">
        <v>12</v>
      </c>
      <c r="C37" t="s">
        <v>97</v>
      </c>
      <c r="D37" s="129">
        <v>889.63055999999972</v>
      </c>
    </row>
    <row r="38" spans="1:4">
      <c r="A38" t="s">
        <v>203</v>
      </c>
      <c r="B38" t="s">
        <v>12</v>
      </c>
      <c r="C38" t="s">
        <v>93</v>
      </c>
      <c r="D38" s="129">
        <v>414.92880000000008</v>
      </c>
    </row>
    <row r="39" spans="1:4">
      <c r="A39" t="s">
        <v>203</v>
      </c>
      <c r="B39" t="s">
        <v>12</v>
      </c>
      <c r="C39" t="s">
        <v>94</v>
      </c>
      <c r="D39" s="129">
        <v>497.91456000000011</v>
      </c>
    </row>
    <row r="40" spans="1:4">
      <c r="A40" t="s">
        <v>203</v>
      </c>
      <c r="B40" t="s">
        <v>12</v>
      </c>
      <c r="C40" t="s">
        <v>95</v>
      </c>
      <c r="D40" s="129">
        <v>414.92880000000008</v>
      </c>
    </row>
    <row r="41" spans="1:4">
      <c r="A41" t="s">
        <v>203</v>
      </c>
      <c r="B41" t="s">
        <v>12</v>
      </c>
      <c r="C41" t="s">
        <v>97</v>
      </c>
      <c r="D41" s="129">
        <v>746.87184000000002</v>
      </c>
    </row>
    <row r="42" spans="1:4">
      <c r="A42" t="s">
        <v>204</v>
      </c>
      <c r="B42" t="s">
        <v>12</v>
      </c>
      <c r="C42" t="s">
        <v>93</v>
      </c>
      <c r="D42" s="129">
        <v>613.16028339737795</v>
      </c>
    </row>
    <row r="43" spans="1:4">
      <c r="A43" t="s">
        <v>204</v>
      </c>
      <c r="B43" t="s">
        <v>12</v>
      </c>
      <c r="C43" t="s">
        <v>94</v>
      </c>
      <c r="D43" s="129">
        <v>735.79234007685341</v>
      </c>
    </row>
    <row r="44" spans="1:4">
      <c r="A44" t="s">
        <v>204</v>
      </c>
      <c r="B44" t="s">
        <v>12</v>
      </c>
      <c r="C44" t="s">
        <v>95</v>
      </c>
      <c r="D44" s="129">
        <v>613.16028339737795</v>
      </c>
    </row>
    <row r="45" spans="1:4">
      <c r="A45" t="s">
        <v>204</v>
      </c>
      <c r="B45" t="s">
        <v>12</v>
      </c>
      <c r="C45" t="s">
        <v>97</v>
      </c>
      <c r="D45" s="129">
        <v>1103.6885101152802</v>
      </c>
    </row>
    <row r="46" spans="1:4">
      <c r="A46" t="s">
        <v>204</v>
      </c>
      <c r="B46" t="s">
        <v>12</v>
      </c>
      <c r="C46" t="s">
        <v>93</v>
      </c>
      <c r="D46" s="129">
        <v>128.03764309625936</v>
      </c>
    </row>
    <row r="47" spans="1:4">
      <c r="A47" t="s">
        <v>204</v>
      </c>
      <c r="B47" t="s">
        <v>12</v>
      </c>
      <c r="C47" t="s">
        <v>94</v>
      </c>
      <c r="D47" s="129">
        <v>153.64517171551122</v>
      </c>
    </row>
    <row r="48" spans="1:4">
      <c r="A48" t="s">
        <v>204</v>
      </c>
      <c r="B48" t="s">
        <v>12</v>
      </c>
      <c r="C48" t="s">
        <v>95</v>
      </c>
      <c r="D48" s="129">
        <v>128.03764309625936</v>
      </c>
    </row>
    <row r="49" spans="1:4">
      <c r="A49" t="s">
        <v>204</v>
      </c>
      <c r="B49" t="s">
        <v>12</v>
      </c>
      <c r="C49" t="s">
        <v>97</v>
      </c>
      <c r="D49" s="129">
        <v>230.46775757326679</v>
      </c>
    </row>
    <row r="50" spans="1:4">
      <c r="A50" t="s">
        <v>204</v>
      </c>
      <c r="B50" t="s">
        <v>12</v>
      </c>
      <c r="C50" t="s">
        <v>93</v>
      </c>
      <c r="D50" s="129">
        <v>75.199218749999986</v>
      </c>
    </row>
    <row r="51" spans="1:4">
      <c r="A51" t="s">
        <v>204</v>
      </c>
      <c r="B51" t="s">
        <v>12</v>
      </c>
      <c r="C51" t="s">
        <v>94</v>
      </c>
      <c r="D51" s="129">
        <v>90.239062499999989</v>
      </c>
    </row>
    <row r="52" spans="1:4">
      <c r="A52" t="s">
        <v>204</v>
      </c>
      <c r="B52" t="s">
        <v>12</v>
      </c>
      <c r="C52" t="s">
        <v>95</v>
      </c>
      <c r="D52" s="129">
        <v>75.199218749999986</v>
      </c>
    </row>
    <row r="53" spans="1:4">
      <c r="A53" t="s">
        <v>204</v>
      </c>
      <c r="B53" t="s">
        <v>12</v>
      </c>
      <c r="C53" t="s">
        <v>97</v>
      </c>
      <c r="D53" s="129">
        <v>135.35859374999998</v>
      </c>
    </row>
    <row r="54" spans="1:4">
      <c r="A54" t="s">
        <v>204</v>
      </c>
      <c r="B54" t="s">
        <v>12</v>
      </c>
      <c r="C54" t="s">
        <v>93</v>
      </c>
      <c r="D54" s="129">
        <v>0</v>
      </c>
    </row>
    <row r="55" spans="1:4">
      <c r="A55" t="s">
        <v>204</v>
      </c>
      <c r="B55" t="s">
        <v>12</v>
      </c>
      <c r="C55" t="s">
        <v>94</v>
      </c>
      <c r="D55" s="129">
        <v>0</v>
      </c>
    </row>
    <row r="56" spans="1:4">
      <c r="A56" t="s">
        <v>204</v>
      </c>
      <c r="B56" t="s">
        <v>12</v>
      </c>
      <c r="C56" t="s">
        <v>95</v>
      </c>
      <c r="D56" s="129">
        <v>0</v>
      </c>
    </row>
    <row r="57" spans="1:4">
      <c r="A57" t="s">
        <v>204</v>
      </c>
      <c r="B57" t="s">
        <v>12</v>
      </c>
      <c r="C57" t="s">
        <v>97</v>
      </c>
      <c r="D57" s="129">
        <v>0</v>
      </c>
    </row>
    <row r="58" spans="1:4">
      <c r="A58" t="s">
        <v>205</v>
      </c>
      <c r="B58" t="s">
        <v>12</v>
      </c>
      <c r="C58" t="s">
        <v>93</v>
      </c>
      <c r="D58" s="129">
        <v>4.7048648000000011</v>
      </c>
    </row>
    <row r="59" spans="1:4">
      <c r="A59" t="s">
        <v>205</v>
      </c>
      <c r="B59" t="s">
        <v>12</v>
      </c>
      <c r="C59" t="s">
        <v>94</v>
      </c>
      <c r="D59" s="129">
        <v>5.6458377600000009</v>
      </c>
    </row>
    <row r="60" spans="1:4">
      <c r="A60" t="s">
        <v>205</v>
      </c>
      <c r="B60" t="s">
        <v>12</v>
      </c>
      <c r="C60" t="s">
        <v>95</v>
      </c>
      <c r="D60" s="129">
        <v>4.7048648000000011</v>
      </c>
    </row>
    <row r="61" spans="1:4">
      <c r="A61" t="s">
        <v>205</v>
      </c>
      <c r="B61" t="s">
        <v>12</v>
      </c>
      <c r="C61" t="s">
        <v>97</v>
      </c>
      <c r="D61" s="129">
        <v>8.4687566400000005</v>
      </c>
    </row>
    <row r="62" spans="1:4">
      <c r="A62" t="s">
        <v>205</v>
      </c>
      <c r="B62" t="s">
        <v>12</v>
      </c>
      <c r="C62" t="s">
        <v>93</v>
      </c>
      <c r="D62" s="129">
        <v>94.864000000000004</v>
      </c>
    </row>
    <row r="63" spans="1:4">
      <c r="A63" t="s">
        <v>205</v>
      </c>
      <c r="B63" t="s">
        <v>12</v>
      </c>
      <c r="C63" t="s">
        <v>94</v>
      </c>
      <c r="D63" s="129">
        <v>113.8368</v>
      </c>
    </row>
    <row r="64" spans="1:4">
      <c r="A64" t="s">
        <v>205</v>
      </c>
      <c r="B64" t="s">
        <v>12</v>
      </c>
      <c r="C64" t="s">
        <v>95</v>
      </c>
      <c r="D64" s="129">
        <v>94.864000000000004</v>
      </c>
    </row>
    <row r="65" spans="1:4">
      <c r="A65" t="s">
        <v>205</v>
      </c>
      <c r="B65" t="s">
        <v>12</v>
      </c>
      <c r="C65" t="s">
        <v>97</v>
      </c>
      <c r="D65" s="129">
        <v>170.7552</v>
      </c>
    </row>
    <row r="66" spans="1:4">
      <c r="A66" t="s">
        <v>206</v>
      </c>
      <c r="B66" t="s">
        <v>12</v>
      </c>
      <c r="C66" t="s">
        <v>93</v>
      </c>
      <c r="D66" s="129">
        <v>21.796875</v>
      </c>
    </row>
    <row r="67" spans="1:4">
      <c r="A67" t="s">
        <v>206</v>
      </c>
      <c r="B67" t="s">
        <v>12</v>
      </c>
      <c r="C67" t="s">
        <v>94</v>
      </c>
      <c r="D67" s="129">
        <v>26.15625</v>
      </c>
    </row>
    <row r="68" spans="1:4">
      <c r="A68" t="s">
        <v>206</v>
      </c>
      <c r="B68" t="s">
        <v>12</v>
      </c>
      <c r="C68" t="s">
        <v>95</v>
      </c>
      <c r="D68" s="129">
        <v>21.796875</v>
      </c>
    </row>
    <row r="69" spans="1:4">
      <c r="A69" t="s">
        <v>206</v>
      </c>
      <c r="B69" t="s">
        <v>12</v>
      </c>
      <c r="C69" t="s">
        <v>97</v>
      </c>
      <c r="D69" s="129">
        <v>39.234375</v>
      </c>
    </row>
    <row r="70" spans="1:4">
      <c r="A70" t="s">
        <v>206</v>
      </c>
      <c r="B70" t="s">
        <v>12</v>
      </c>
      <c r="C70" t="s">
        <v>93</v>
      </c>
      <c r="D70" s="129">
        <v>97.929000000000002</v>
      </c>
    </row>
    <row r="71" spans="1:4">
      <c r="A71" t="s">
        <v>206</v>
      </c>
      <c r="B71" t="s">
        <v>12</v>
      </c>
      <c r="C71" t="s">
        <v>94</v>
      </c>
      <c r="D71" s="129">
        <v>117.51479999999999</v>
      </c>
    </row>
    <row r="72" spans="1:4">
      <c r="A72" t="s">
        <v>206</v>
      </c>
      <c r="B72" t="s">
        <v>12</v>
      </c>
      <c r="C72" t="s">
        <v>95</v>
      </c>
      <c r="D72" s="129">
        <v>97.929000000000002</v>
      </c>
    </row>
    <row r="73" spans="1:4">
      <c r="A73" t="s">
        <v>206</v>
      </c>
      <c r="B73" t="s">
        <v>12</v>
      </c>
      <c r="C73" t="s">
        <v>97</v>
      </c>
      <c r="D73" s="129">
        <v>176.2722</v>
      </c>
    </row>
    <row r="74" spans="1:4">
      <c r="A74" t="s">
        <v>206</v>
      </c>
      <c r="B74" t="s">
        <v>12</v>
      </c>
      <c r="C74" t="s">
        <v>93</v>
      </c>
      <c r="D74" s="129">
        <v>122.08482000000002</v>
      </c>
    </row>
    <row r="75" spans="1:4">
      <c r="A75" t="s">
        <v>206</v>
      </c>
      <c r="B75" t="s">
        <v>12</v>
      </c>
      <c r="C75" t="s">
        <v>94</v>
      </c>
      <c r="D75" s="129">
        <v>146.50178399999999</v>
      </c>
    </row>
    <row r="76" spans="1:4">
      <c r="A76" t="s">
        <v>206</v>
      </c>
      <c r="B76" t="s">
        <v>12</v>
      </c>
      <c r="C76" t="s">
        <v>95</v>
      </c>
      <c r="D76" s="129">
        <v>122.08482000000002</v>
      </c>
    </row>
    <row r="77" spans="1:4">
      <c r="A77" t="s">
        <v>206</v>
      </c>
      <c r="B77" t="s">
        <v>12</v>
      </c>
      <c r="C77" t="s">
        <v>97</v>
      </c>
      <c r="D77" s="129">
        <v>219.75267600000001</v>
      </c>
    </row>
    <row r="78" spans="1:4">
      <c r="A78" t="s">
        <v>206</v>
      </c>
      <c r="B78" t="s">
        <v>12</v>
      </c>
      <c r="C78" t="s">
        <v>93</v>
      </c>
      <c r="D78" s="129">
        <v>128.74721600000001</v>
      </c>
    </row>
    <row r="79" spans="1:4">
      <c r="A79" t="s">
        <v>206</v>
      </c>
      <c r="B79" t="s">
        <v>12</v>
      </c>
      <c r="C79" t="s">
        <v>94</v>
      </c>
      <c r="D79" s="129">
        <v>154.49665920000001</v>
      </c>
    </row>
    <row r="80" spans="1:4">
      <c r="A80" t="s">
        <v>206</v>
      </c>
      <c r="B80" t="s">
        <v>12</v>
      </c>
      <c r="C80" t="s">
        <v>95</v>
      </c>
      <c r="D80" s="129">
        <v>128.74721600000001</v>
      </c>
    </row>
    <row r="81" spans="1:4">
      <c r="A81" t="s">
        <v>206</v>
      </c>
      <c r="B81" t="s">
        <v>12</v>
      </c>
      <c r="C81" t="s">
        <v>97</v>
      </c>
      <c r="D81" s="129">
        <v>231.74498879999999</v>
      </c>
    </row>
    <row r="82" spans="1:4">
      <c r="A82" t="s">
        <v>206</v>
      </c>
      <c r="B82" t="s">
        <v>12</v>
      </c>
      <c r="C82" t="s">
        <v>93</v>
      </c>
      <c r="D82" s="129">
        <v>45.213281250000001</v>
      </c>
    </row>
    <row r="83" spans="1:4">
      <c r="A83" t="s">
        <v>206</v>
      </c>
      <c r="B83" t="s">
        <v>12</v>
      </c>
      <c r="C83" t="s">
        <v>94</v>
      </c>
      <c r="D83" s="129">
        <v>54.255937499999995</v>
      </c>
    </row>
    <row r="84" spans="1:4">
      <c r="A84" t="s">
        <v>206</v>
      </c>
      <c r="B84" t="s">
        <v>12</v>
      </c>
      <c r="C84" t="s">
        <v>95</v>
      </c>
      <c r="D84" s="129">
        <v>45.213281250000001</v>
      </c>
    </row>
    <row r="85" spans="1:4">
      <c r="A85" t="s">
        <v>206</v>
      </c>
      <c r="B85" t="s">
        <v>12</v>
      </c>
      <c r="C85" t="s">
        <v>97</v>
      </c>
      <c r="D85" s="129">
        <v>81.383906249999995</v>
      </c>
    </row>
    <row r="86" spans="1:4">
      <c r="A86" t="s">
        <v>206</v>
      </c>
      <c r="B86" t="s">
        <v>12</v>
      </c>
      <c r="C86" t="s">
        <v>93</v>
      </c>
      <c r="D86" s="129">
        <v>0</v>
      </c>
    </row>
    <row r="87" spans="1:4">
      <c r="A87" t="s">
        <v>206</v>
      </c>
      <c r="B87" t="s">
        <v>12</v>
      </c>
      <c r="C87" t="s">
        <v>94</v>
      </c>
      <c r="D87" s="129">
        <v>0</v>
      </c>
    </row>
    <row r="88" spans="1:4">
      <c r="A88" t="s">
        <v>206</v>
      </c>
      <c r="B88" t="s">
        <v>12</v>
      </c>
      <c r="C88" t="s">
        <v>95</v>
      </c>
      <c r="D88" s="129">
        <v>0</v>
      </c>
    </row>
    <row r="89" spans="1:4">
      <c r="A89" t="s">
        <v>206</v>
      </c>
      <c r="B89" t="s">
        <v>12</v>
      </c>
      <c r="C89" t="s">
        <v>97</v>
      </c>
      <c r="D89" s="129">
        <v>0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81"/>
  <sheetViews>
    <sheetView workbookViewId="0">
      <selection activeCell="D81" sqref="D66:D81"/>
    </sheetView>
  </sheetViews>
  <sheetFormatPr baseColWidth="10" defaultRowHeight="15"/>
  <cols>
    <col min="1" max="1" width="16.42578125" bestFit="1" customWidth="1"/>
    <col min="2" max="2" width="22.42578125" bestFit="1" customWidth="1"/>
    <col min="3" max="4" width="8" bestFit="1" customWidth="1"/>
  </cols>
  <sheetData>
    <row r="1" spans="1:7">
      <c r="A1" t="s">
        <v>0</v>
      </c>
      <c r="B1" t="s">
        <v>364</v>
      </c>
      <c r="C1" t="s">
        <v>365</v>
      </c>
      <c r="D1" t="s">
        <v>366</v>
      </c>
    </row>
    <row r="2" spans="1:7">
      <c r="A2" t="s">
        <v>8</v>
      </c>
      <c r="B2" t="s">
        <v>131</v>
      </c>
      <c r="C2" t="s">
        <v>96</v>
      </c>
      <c r="D2" s="2">
        <v>15291.574702168849</v>
      </c>
      <c r="F2" t="s">
        <v>131</v>
      </c>
      <c r="G2" t="s">
        <v>470</v>
      </c>
    </row>
    <row r="3" spans="1:7">
      <c r="A3" t="s">
        <v>8</v>
      </c>
      <c r="B3" t="s">
        <v>131</v>
      </c>
      <c r="C3" t="s">
        <v>97</v>
      </c>
      <c r="D3" s="2">
        <v>17821.932317931991</v>
      </c>
    </row>
    <row r="4" spans="1:7">
      <c r="A4" t="s">
        <v>8</v>
      </c>
      <c r="B4" t="s">
        <v>131</v>
      </c>
      <c r="C4" t="s">
        <v>98</v>
      </c>
      <c r="D4" s="2">
        <v>18262.830508290375</v>
      </c>
    </row>
    <row r="5" spans="1:7">
      <c r="A5" t="s">
        <v>8</v>
      </c>
      <c r="B5" t="s">
        <v>131</v>
      </c>
      <c r="C5" t="s">
        <v>99</v>
      </c>
      <c r="D5" s="2">
        <v>0</v>
      </c>
    </row>
    <row r="6" spans="1:7">
      <c r="A6" t="s">
        <v>8</v>
      </c>
      <c r="B6" t="s">
        <v>350</v>
      </c>
      <c r="C6" t="s">
        <v>96</v>
      </c>
      <c r="D6" s="2">
        <v>835.47066521089619</v>
      </c>
    </row>
    <row r="7" spans="1:7">
      <c r="A7" t="s">
        <v>8</v>
      </c>
      <c r="B7" t="s">
        <v>350</v>
      </c>
      <c r="C7" t="s">
        <v>97</v>
      </c>
      <c r="D7" s="2">
        <v>1654.3973568532595</v>
      </c>
    </row>
    <row r="8" spans="1:7">
      <c r="A8" t="s">
        <v>8</v>
      </c>
      <c r="B8" t="s">
        <v>350</v>
      </c>
      <c r="C8" t="s">
        <v>98</v>
      </c>
      <c r="D8" s="2">
        <v>1638.0171850032277</v>
      </c>
    </row>
    <row r="9" spans="1:7">
      <c r="A9" t="s">
        <v>8</v>
      </c>
      <c r="B9" t="s">
        <v>350</v>
      </c>
      <c r="C9" t="s">
        <v>99</v>
      </c>
      <c r="D9" s="2">
        <v>0</v>
      </c>
    </row>
    <row r="10" spans="1:7">
      <c r="A10" t="s">
        <v>8</v>
      </c>
      <c r="B10" t="s">
        <v>349</v>
      </c>
      <c r="C10" t="s">
        <v>96</v>
      </c>
      <c r="D10" s="2">
        <v>1500</v>
      </c>
    </row>
    <row r="11" spans="1:7">
      <c r="A11" t="s">
        <v>8</v>
      </c>
      <c r="B11" t="s">
        <v>349</v>
      </c>
      <c r="C11" t="s">
        <v>97</v>
      </c>
      <c r="D11" s="2">
        <v>1500</v>
      </c>
    </row>
    <row r="12" spans="1:7">
      <c r="A12" t="s">
        <v>8</v>
      </c>
      <c r="B12" t="s">
        <v>349</v>
      </c>
      <c r="C12" t="s">
        <v>98</v>
      </c>
      <c r="D12" s="2">
        <v>1500</v>
      </c>
    </row>
    <row r="13" spans="1:7">
      <c r="A13" t="s">
        <v>8</v>
      </c>
      <c r="B13" t="s">
        <v>349</v>
      </c>
      <c r="C13" t="s">
        <v>99</v>
      </c>
      <c r="D13" s="2">
        <v>0</v>
      </c>
    </row>
    <row r="14" spans="1:7">
      <c r="A14" t="s">
        <v>8</v>
      </c>
      <c r="B14" t="s">
        <v>351</v>
      </c>
      <c r="C14" t="s">
        <v>96</v>
      </c>
      <c r="D14" s="2">
        <v>0</v>
      </c>
    </row>
    <row r="15" spans="1:7">
      <c r="A15" t="s">
        <v>8</v>
      </c>
      <c r="B15" t="s">
        <v>351</v>
      </c>
      <c r="C15" t="s">
        <v>97</v>
      </c>
      <c r="D15" s="2">
        <v>0</v>
      </c>
    </row>
    <row r="16" spans="1:7">
      <c r="A16" t="s">
        <v>8</v>
      </c>
      <c r="B16" t="s">
        <v>351</v>
      </c>
      <c r="C16" t="s">
        <v>98</v>
      </c>
      <c r="D16" s="2">
        <v>0</v>
      </c>
    </row>
    <row r="17" spans="1:4">
      <c r="A17" t="s">
        <v>8</v>
      </c>
      <c r="B17" t="s">
        <v>351</v>
      </c>
      <c r="C17" t="s">
        <v>99</v>
      </c>
      <c r="D17" s="2">
        <v>0</v>
      </c>
    </row>
    <row r="18" spans="1:4">
      <c r="A18" t="s">
        <v>12</v>
      </c>
      <c r="B18" t="s">
        <v>131</v>
      </c>
      <c r="C18" t="s">
        <v>96</v>
      </c>
      <c r="D18" s="2">
        <v>8107.5339587155568</v>
      </c>
    </row>
    <row r="19" spans="1:4">
      <c r="A19" t="s">
        <v>12</v>
      </c>
      <c r="B19" t="s">
        <v>131</v>
      </c>
      <c r="C19" t="s">
        <v>97</v>
      </c>
      <c r="D19" s="2">
        <v>16199.055663933945</v>
      </c>
    </row>
    <row r="20" spans="1:4">
      <c r="A20" t="s">
        <v>12</v>
      </c>
      <c r="B20" t="s">
        <v>131</v>
      </c>
      <c r="C20" t="s">
        <v>98</v>
      </c>
      <c r="D20" s="2">
        <v>10918.296719701837</v>
      </c>
    </row>
    <row r="21" spans="1:4">
      <c r="A21" t="s">
        <v>12</v>
      </c>
      <c r="B21" t="s">
        <v>131</v>
      </c>
      <c r="C21" t="s">
        <v>99</v>
      </c>
      <c r="D21" s="2">
        <v>0</v>
      </c>
    </row>
    <row r="22" spans="1:4">
      <c r="A22" t="s">
        <v>12</v>
      </c>
      <c r="B22" t="s">
        <v>350</v>
      </c>
      <c r="C22" t="s">
        <v>96</v>
      </c>
      <c r="D22" s="2">
        <v>513.24302247795015</v>
      </c>
    </row>
    <row r="23" spans="1:4">
      <c r="A23" t="s">
        <v>12</v>
      </c>
      <c r="B23" t="s">
        <v>350</v>
      </c>
      <c r="C23" t="s">
        <v>97</v>
      </c>
      <c r="D23" s="2">
        <v>1016.32281678802</v>
      </c>
    </row>
    <row r="24" spans="1:4">
      <c r="A24" t="s">
        <v>12</v>
      </c>
      <c r="B24" t="s">
        <v>350</v>
      </c>
      <c r="C24" t="s">
        <v>98</v>
      </c>
      <c r="D24" s="2">
        <v>1006.2602146416043</v>
      </c>
    </row>
    <row r="25" spans="1:4">
      <c r="A25" t="s">
        <v>12</v>
      </c>
      <c r="B25" t="s">
        <v>350</v>
      </c>
      <c r="C25" t="s">
        <v>99</v>
      </c>
      <c r="D25" s="2">
        <v>0</v>
      </c>
    </row>
    <row r="26" spans="1:4">
      <c r="A26" t="s">
        <v>12</v>
      </c>
      <c r="B26" t="s">
        <v>349</v>
      </c>
      <c r="C26" t="s">
        <v>96</v>
      </c>
      <c r="D26" s="2">
        <v>1500</v>
      </c>
    </row>
    <row r="27" spans="1:4">
      <c r="A27" t="s">
        <v>12</v>
      </c>
      <c r="B27" t="s">
        <v>349</v>
      </c>
      <c r="C27" t="s">
        <v>97</v>
      </c>
      <c r="D27" s="2">
        <v>750</v>
      </c>
    </row>
    <row r="28" spans="1:4">
      <c r="A28" t="s">
        <v>12</v>
      </c>
      <c r="B28" t="s">
        <v>349</v>
      </c>
      <c r="C28" t="s">
        <v>98</v>
      </c>
      <c r="D28" s="2">
        <v>750</v>
      </c>
    </row>
    <row r="29" spans="1:4">
      <c r="A29" t="s">
        <v>12</v>
      </c>
      <c r="B29" t="s">
        <v>349</v>
      </c>
      <c r="C29" t="s">
        <v>99</v>
      </c>
      <c r="D29" s="2">
        <v>0</v>
      </c>
    </row>
    <row r="30" spans="1:4">
      <c r="A30" t="s">
        <v>12</v>
      </c>
      <c r="B30" t="s">
        <v>351</v>
      </c>
      <c r="C30" t="s">
        <v>96</v>
      </c>
      <c r="D30" s="2">
        <v>719.99460942424571</v>
      </c>
    </row>
    <row r="31" spans="1:4">
      <c r="A31" t="s">
        <v>12</v>
      </c>
      <c r="B31" t="s">
        <v>351</v>
      </c>
      <c r="C31" t="s">
        <v>97</v>
      </c>
      <c r="D31" s="2">
        <v>712.86594992499579</v>
      </c>
    </row>
    <row r="32" spans="1:4">
      <c r="A32" t="s">
        <v>12</v>
      </c>
      <c r="B32" t="s">
        <v>351</v>
      </c>
      <c r="C32" t="s">
        <v>98</v>
      </c>
      <c r="D32" s="2">
        <v>705.80787121286721</v>
      </c>
    </row>
    <row r="33" spans="1:4">
      <c r="A33" t="s">
        <v>12</v>
      </c>
      <c r="B33" t="s">
        <v>351</v>
      </c>
      <c r="C33" t="s">
        <v>99</v>
      </c>
      <c r="D33" s="2">
        <v>0</v>
      </c>
    </row>
    <row r="34" spans="1:4">
      <c r="A34" t="s">
        <v>4</v>
      </c>
      <c r="B34" t="s">
        <v>131</v>
      </c>
      <c r="C34" t="s">
        <v>96</v>
      </c>
      <c r="D34" s="2">
        <v>2762.3631479938786</v>
      </c>
    </row>
    <row r="35" spans="1:4">
      <c r="A35" t="s">
        <v>4</v>
      </c>
      <c r="B35" t="s">
        <v>131</v>
      </c>
      <c r="C35" t="s">
        <v>97</v>
      </c>
      <c r="D35" s="2">
        <v>13059.423615311871</v>
      </c>
    </row>
    <row r="36" spans="1:4">
      <c r="A36" t="s">
        <v>4</v>
      </c>
      <c r="B36" t="s">
        <v>131</v>
      </c>
      <c r="C36" t="s">
        <v>98</v>
      </c>
      <c r="D36" s="2">
        <v>5443.3135017013419</v>
      </c>
    </row>
    <row r="37" spans="1:4">
      <c r="A37" t="s">
        <v>4</v>
      </c>
      <c r="B37" t="s">
        <v>131</v>
      </c>
      <c r="C37" t="s">
        <v>99</v>
      </c>
      <c r="D37" s="2">
        <v>0</v>
      </c>
    </row>
    <row r="38" spans="1:4">
      <c r="A38" t="s">
        <v>4</v>
      </c>
      <c r="B38" t="s">
        <v>350</v>
      </c>
      <c r="C38" t="s">
        <v>96</v>
      </c>
      <c r="D38" s="2">
        <v>229.18322454479036</v>
      </c>
    </row>
    <row r="39" spans="1:4">
      <c r="A39" t="s">
        <v>4</v>
      </c>
      <c r="B39" t="s">
        <v>350</v>
      </c>
      <c r="C39" t="s">
        <v>97</v>
      </c>
      <c r="D39" s="2">
        <v>453.82816741542649</v>
      </c>
    </row>
    <row r="40" spans="1:4">
      <c r="A40" t="s">
        <v>4</v>
      </c>
      <c r="B40" t="s">
        <v>350</v>
      </c>
      <c r="C40" t="s">
        <v>98</v>
      </c>
      <c r="D40" s="2">
        <v>449.33481922319464</v>
      </c>
    </row>
    <row r="41" spans="1:4">
      <c r="A41" t="s">
        <v>4</v>
      </c>
      <c r="B41" t="s">
        <v>350</v>
      </c>
      <c r="C41" t="s">
        <v>99</v>
      </c>
      <c r="D41" s="2">
        <v>0</v>
      </c>
    </row>
    <row r="42" spans="1:4">
      <c r="A42" t="s">
        <v>4</v>
      </c>
      <c r="B42" t="s">
        <v>349</v>
      </c>
      <c r="C42" t="s">
        <v>96</v>
      </c>
      <c r="D42" s="2">
        <v>300</v>
      </c>
    </row>
    <row r="43" spans="1:4">
      <c r="A43" t="s">
        <v>4</v>
      </c>
      <c r="B43" t="s">
        <v>349</v>
      </c>
      <c r="C43" t="s">
        <v>97</v>
      </c>
      <c r="D43" s="2">
        <v>600</v>
      </c>
    </row>
    <row r="44" spans="1:4">
      <c r="A44" t="s">
        <v>4</v>
      </c>
      <c r="B44" t="s">
        <v>349</v>
      </c>
      <c r="C44" t="s">
        <v>98</v>
      </c>
      <c r="D44" s="2">
        <v>600</v>
      </c>
    </row>
    <row r="45" spans="1:4">
      <c r="A45" t="s">
        <v>4</v>
      </c>
      <c r="B45" t="s">
        <v>349</v>
      </c>
      <c r="C45" t="s">
        <v>99</v>
      </c>
      <c r="D45" s="2">
        <v>0</v>
      </c>
    </row>
    <row r="46" spans="1:4">
      <c r="A46" t="s">
        <v>4</v>
      </c>
      <c r="B46" t="s">
        <v>351</v>
      </c>
      <c r="C46" t="s">
        <v>96</v>
      </c>
      <c r="D46" s="2">
        <v>3104.8513302034426</v>
      </c>
    </row>
    <row r="47" spans="1:4">
      <c r="A47" t="s">
        <v>4</v>
      </c>
      <c r="B47" t="s">
        <v>351</v>
      </c>
      <c r="C47" t="s">
        <v>97</v>
      </c>
      <c r="D47" s="2">
        <v>3104.8513302034426</v>
      </c>
    </row>
    <row r="48" spans="1:4">
      <c r="A48" t="s">
        <v>4</v>
      </c>
      <c r="B48" t="s">
        <v>351</v>
      </c>
      <c r="C48" t="s">
        <v>98</v>
      </c>
      <c r="D48" s="2">
        <v>2992.4585218702864</v>
      </c>
    </row>
    <row r="49" spans="1:4">
      <c r="A49" t="s">
        <v>4</v>
      </c>
      <c r="B49" t="s">
        <v>351</v>
      </c>
      <c r="C49" t="s">
        <v>99</v>
      </c>
      <c r="D49" s="2">
        <v>0</v>
      </c>
    </row>
    <row r="50" spans="1:4">
      <c r="A50" t="s">
        <v>373</v>
      </c>
      <c r="B50" t="s">
        <v>131</v>
      </c>
      <c r="C50" t="s">
        <v>96</v>
      </c>
      <c r="D50" s="2">
        <v>0</v>
      </c>
    </row>
    <row r="51" spans="1:4">
      <c r="A51" t="s">
        <v>373</v>
      </c>
      <c r="B51" t="s">
        <v>131</v>
      </c>
      <c r="C51" t="s">
        <v>97</v>
      </c>
      <c r="D51" s="2">
        <v>34680.599474924609</v>
      </c>
    </row>
    <row r="52" spans="1:4">
      <c r="A52" t="s">
        <v>373</v>
      </c>
      <c r="B52" t="s">
        <v>131</v>
      </c>
      <c r="C52" t="s">
        <v>98</v>
      </c>
      <c r="D52" s="2">
        <v>27783.560016674248</v>
      </c>
    </row>
    <row r="53" spans="1:4">
      <c r="A53" t="s">
        <v>373</v>
      </c>
      <c r="B53" t="s">
        <v>131</v>
      </c>
      <c r="C53" t="s">
        <v>99</v>
      </c>
      <c r="D53" s="2">
        <v>0</v>
      </c>
    </row>
    <row r="54" spans="1:4">
      <c r="A54" t="s">
        <v>373</v>
      </c>
      <c r="B54" t="s">
        <v>350</v>
      </c>
      <c r="C54" t="s">
        <v>96</v>
      </c>
      <c r="D54" s="2">
        <v>392.54939167445542</v>
      </c>
    </row>
    <row r="55" spans="1:4">
      <c r="A55" t="s">
        <v>373</v>
      </c>
      <c r="B55" t="s">
        <v>350</v>
      </c>
      <c r="C55" t="s">
        <v>97</v>
      </c>
      <c r="D55" s="2">
        <v>777.31905899397077</v>
      </c>
    </row>
    <row r="56" spans="1:4">
      <c r="A56" t="s">
        <v>373</v>
      </c>
      <c r="B56" t="s">
        <v>350</v>
      </c>
      <c r="C56" t="s">
        <v>98</v>
      </c>
      <c r="D56" s="2">
        <v>769.61648907916174</v>
      </c>
    </row>
    <row r="57" spans="1:4">
      <c r="A57" t="s">
        <v>373</v>
      </c>
      <c r="B57" t="s">
        <v>350</v>
      </c>
      <c r="C57" t="s">
        <v>99</v>
      </c>
      <c r="D57" s="2">
        <v>0</v>
      </c>
    </row>
    <row r="58" spans="1:4">
      <c r="A58" t="s">
        <v>373</v>
      </c>
      <c r="B58" t="s">
        <v>349</v>
      </c>
      <c r="C58" t="s">
        <v>96</v>
      </c>
      <c r="D58" s="2">
        <v>0</v>
      </c>
    </row>
    <row r="59" spans="1:4">
      <c r="A59" t="s">
        <v>373</v>
      </c>
      <c r="B59" t="s">
        <v>349</v>
      </c>
      <c r="C59" t="s">
        <v>97</v>
      </c>
      <c r="D59" s="2">
        <v>0</v>
      </c>
    </row>
    <row r="60" spans="1:4">
      <c r="A60" t="s">
        <v>373</v>
      </c>
      <c r="B60" t="s">
        <v>349</v>
      </c>
      <c r="C60" t="s">
        <v>98</v>
      </c>
      <c r="D60" s="2">
        <v>0</v>
      </c>
    </row>
    <row r="61" spans="1:4">
      <c r="A61" t="s">
        <v>373</v>
      </c>
      <c r="B61" t="s">
        <v>349</v>
      </c>
      <c r="C61" t="s">
        <v>99</v>
      </c>
      <c r="D61" s="2">
        <v>0</v>
      </c>
    </row>
    <row r="62" spans="1:4">
      <c r="A62" t="s">
        <v>373</v>
      </c>
      <c r="B62" t="s">
        <v>351</v>
      </c>
      <c r="C62" t="s">
        <v>96</v>
      </c>
      <c r="D62" s="2">
        <v>0</v>
      </c>
    </row>
    <row r="63" spans="1:4">
      <c r="A63" t="s">
        <v>373</v>
      </c>
      <c r="B63" t="s">
        <v>351</v>
      </c>
      <c r="C63" t="s">
        <v>97</v>
      </c>
      <c r="D63" s="2">
        <v>0</v>
      </c>
    </row>
    <row r="64" spans="1:4">
      <c r="A64" t="s">
        <v>373</v>
      </c>
      <c r="B64" t="s">
        <v>351</v>
      </c>
      <c r="C64" t="s">
        <v>98</v>
      </c>
      <c r="D64" s="2">
        <v>0</v>
      </c>
    </row>
    <row r="65" spans="1:4">
      <c r="A65" t="s">
        <v>373</v>
      </c>
      <c r="B65" t="s">
        <v>351</v>
      </c>
      <c r="C65" t="s">
        <v>99</v>
      </c>
      <c r="D65" s="2">
        <v>0</v>
      </c>
    </row>
    <row r="66" spans="1:4">
      <c r="A66" t="s">
        <v>15</v>
      </c>
      <c r="B66" t="s">
        <v>131</v>
      </c>
      <c r="C66" t="s">
        <v>96</v>
      </c>
      <c r="D66" s="2">
        <v>26098.239928221843</v>
      </c>
    </row>
    <row r="67" spans="1:4">
      <c r="A67" t="s">
        <v>15</v>
      </c>
      <c r="B67" t="s">
        <v>131</v>
      </c>
      <c r="C67" t="s">
        <v>97</v>
      </c>
      <c r="D67" s="2">
        <v>12165.500394556195</v>
      </c>
    </row>
    <row r="68" spans="1:4">
      <c r="A68" t="s">
        <v>15</v>
      </c>
      <c r="B68" t="s">
        <v>131</v>
      </c>
      <c r="C68" t="s">
        <v>98</v>
      </c>
      <c r="D68" s="2">
        <v>0</v>
      </c>
    </row>
    <row r="69" spans="1:4">
      <c r="A69" t="s">
        <v>15</v>
      </c>
      <c r="B69" t="s">
        <v>131</v>
      </c>
      <c r="C69" t="s">
        <v>99</v>
      </c>
      <c r="D69" s="2">
        <v>0</v>
      </c>
    </row>
    <row r="70" spans="1:4">
      <c r="A70" t="s">
        <v>15</v>
      </c>
      <c r="B70" t="s">
        <v>350</v>
      </c>
      <c r="C70" t="s">
        <v>96</v>
      </c>
      <c r="D70" s="2">
        <v>386.70691737316957</v>
      </c>
    </row>
    <row r="71" spans="1:4">
      <c r="A71" t="s">
        <v>15</v>
      </c>
      <c r="B71" t="s">
        <v>350</v>
      </c>
      <c r="C71" t="s">
        <v>97</v>
      </c>
      <c r="D71" s="2">
        <v>765.75627202607848</v>
      </c>
    </row>
    <row r="72" spans="1:4">
      <c r="A72" t="s">
        <v>15</v>
      </c>
      <c r="B72" t="s">
        <v>350</v>
      </c>
      <c r="C72" t="s">
        <v>98</v>
      </c>
      <c r="D72" s="2">
        <v>758.1745267584937</v>
      </c>
    </row>
    <row r="73" spans="1:4">
      <c r="A73" t="s">
        <v>15</v>
      </c>
      <c r="B73" t="s">
        <v>350</v>
      </c>
      <c r="C73" t="s">
        <v>99</v>
      </c>
      <c r="D73" s="2">
        <v>0</v>
      </c>
    </row>
    <row r="74" spans="1:4">
      <c r="A74" t="s">
        <v>15</v>
      </c>
      <c r="B74" t="s">
        <v>349</v>
      </c>
      <c r="C74" t="s">
        <v>96</v>
      </c>
      <c r="D74" s="2">
        <v>0</v>
      </c>
    </row>
    <row r="75" spans="1:4">
      <c r="A75" t="s">
        <v>15</v>
      </c>
      <c r="B75" t="s">
        <v>349</v>
      </c>
      <c r="C75" t="s">
        <v>97</v>
      </c>
      <c r="D75" s="2">
        <v>0</v>
      </c>
    </row>
    <row r="76" spans="1:4">
      <c r="A76" t="s">
        <v>15</v>
      </c>
      <c r="B76" t="s">
        <v>349</v>
      </c>
      <c r="C76" t="s">
        <v>98</v>
      </c>
      <c r="D76" s="2">
        <v>0</v>
      </c>
    </row>
    <row r="77" spans="1:4">
      <c r="A77" t="s">
        <v>15</v>
      </c>
      <c r="B77" t="s">
        <v>349</v>
      </c>
      <c r="C77" t="s">
        <v>99</v>
      </c>
      <c r="D77" s="2">
        <v>0</v>
      </c>
    </row>
    <row r="78" spans="1:4">
      <c r="A78" t="s">
        <v>15</v>
      </c>
      <c r="B78" t="s">
        <v>351</v>
      </c>
      <c r="C78" t="s">
        <v>96</v>
      </c>
      <c r="D78" s="2">
        <v>0</v>
      </c>
    </row>
    <row r="79" spans="1:4">
      <c r="A79" t="s">
        <v>15</v>
      </c>
      <c r="B79" t="s">
        <v>351</v>
      </c>
      <c r="C79" t="s">
        <v>97</v>
      </c>
      <c r="D79" s="2">
        <v>0</v>
      </c>
    </row>
    <row r="80" spans="1:4">
      <c r="A80" t="s">
        <v>15</v>
      </c>
      <c r="B80" t="s">
        <v>351</v>
      </c>
      <c r="C80" t="s">
        <v>98</v>
      </c>
      <c r="D80" s="2">
        <v>0</v>
      </c>
    </row>
    <row r="81" spans="1:4">
      <c r="A81" t="s">
        <v>15</v>
      </c>
      <c r="B81" t="s">
        <v>351</v>
      </c>
      <c r="C81" t="s">
        <v>99</v>
      </c>
      <c r="D81" s="2">
        <v>0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117"/>
  <sheetViews>
    <sheetView topLeftCell="A86" zoomScale="80" zoomScaleNormal="80" workbookViewId="0">
      <selection activeCell="K113" sqref="K113"/>
    </sheetView>
  </sheetViews>
  <sheetFormatPr baseColWidth="10" defaultRowHeight="15"/>
  <cols>
    <col min="1" max="1" width="18.28515625" bestFit="1" customWidth="1"/>
    <col min="2" max="2" width="12" bestFit="1" customWidth="1"/>
    <col min="3" max="3" width="21.7109375" bestFit="1" customWidth="1"/>
    <col min="4" max="4" width="18.140625" bestFit="1" customWidth="1"/>
    <col min="5" max="5" width="11.42578125" bestFit="1" customWidth="1"/>
    <col min="6" max="6" width="11.28515625" bestFit="1" customWidth="1"/>
    <col min="7" max="7" width="13.140625" bestFit="1" customWidth="1"/>
    <col min="8" max="8" width="10" bestFit="1" customWidth="1"/>
    <col min="9" max="9" width="12.140625" bestFit="1" customWidth="1"/>
    <col min="10" max="10" width="13.140625" bestFit="1" customWidth="1"/>
    <col min="11" max="11" width="8.85546875" bestFit="1" customWidth="1"/>
    <col min="12" max="12" width="15.42578125" bestFit="1" customWidth="1"/>
    <col min="13" max="13" width="13.140625" bestFit="1" customWidth="1"/>
    <col min="14" max="14" width="12.140625" bestFit="1" customWidth="1"/>
    <col min="15" max="17" width="10" bestFit="1" customWidth="1"/>
    <col min="18" max="18" width="10.42578125" bestFit="1" customWidth="1"/>
    <col min="19" max="19" width="10" bestFit="1" customWidth="1"/>
    <col min="20" max="20" width="12" bestFit="1" customWidth="1"/>
    <col min="21" max="21" width="10.42578125" customWidth="1"/>
    <col min="22" max="22" width="16.42578125" bestFit="1" customWidth="1"/>
    <col min="23" max="23" width="20.140625" bestFit="1" customWidth="1"/>
    <col min="24" max="24" width="16.42578125" bestFit="1" customWidth="1"/>
    <col min="25" max="26" width="14.140625" bestFit="1" customWidth="1"/>
    <col min="27" max="27" width="10.42578125" bestFit="1" customWidth="1"/>
    <col min="28" max="28" width="10.42578125" customWidth="1"/>
    <col min="29" max="29" width="21.42578125" bestFit="1" customWidth="1"/>
    <col min="30" max="30" width="14.7109375" bestFit="1" customWidth="1"/>
    <col min="31" max="31" width="21.140625" bestFit="1" customWidth="1"/>
    <col min="32" max="32" width="18.7109375" bestFit="1" customWidth="1"/>
    <col min="33" max="33" width="21.42578125" bestFit="1" customWidth="1"/>
    <col min="34" max="34" width="22" bestFit="1" customWidth="1"/>
    <col min="35" max="35" width="16.42578125" bestFit="1" customWidth="1"/>
    <col min="36" max="36" width="21.85546875" bestFit="1" customWidth="1"/>
    <col min="37" max="37" width="16.42578125" bestFit="1" customWidth="1"/>
    <col min="38" max="38" width="28.7109375" bestFit="1" customWidth="1"/>
    <col min="39" max="39" width="29.42578125" bestFit="1" customWidth="1"/>
    <col min="40" max="40" width="17.7109375" bestFit="1" customWidth="1"/>
    <col min="41" max="41" width="12.85546875" bestFit="1" customWidth="1"/>
    <col min="42" max="42" width="13.7109375" bestFit="1" customWidth="1"/>
    <col min="43" max="43" width="12" bestFit="1" customWidth="1"/>
    <col min="44" max="44" width="17.42578125" bestFit="1" customWidth="1"/>
    <col min="45" max="45" width="19.85546875" bestFit="1" customWidth="1"/>
    <col min="46" max="46" width="20.42578125" bestFit="1" customWidth="1"/>
    <col min="47" max="48" width="33.42578125" bestFit="1" customWidth="1"/>
    <col min="49" max="49" width="32.28515625" bestFit="1" customWidth="1"/>
    <col min="50" max="50" width="42.140625" bestFit="1" customWidth="1"/>
    <col min="51" max="51" width="31.140625" bestFit="1" customWidth="1"/>
    <col min="52" max="53" width="12" bestFit="1" customWidth="1"/>
    <col min="54" max="54" width="21.28515625" bestFit="1" customWidth="1"/>
    <col min="55" max="55" width="20.7109375" bestFit="1" customWidth="1"/>
    <col min="56" max="56" width="19.140625" bestFit="1" customWidth="1"/>
    <col min="57" max="57" width="29.85546875" bestFit="1" customWidth="1"/>
    <col min="58" max="58" width="18.85546875" bestFit="1" customWidth="1"/>
    <col min="59" max="59" width="22.28515625" bestFit="1" customWidth="1"/>
    <col min="60" max="60" width="33.85546875" bestFit="1" customWidth="1"/>
    <col min="61" max="61" width="21.85546875" bestFit="1" customWidth="1"/>
    <col min="62" max="63" width="18.42578125" bestFit="1" customWidth="1"/>
    <col min="64" max="64" width="21.28515625" bestFit="1" customWidth="1"/>
    <col min="65" max="65" width="12" bestFit="1" customWidth="1"/>
    <col min="66" max="66" width="17.28515625" bestFit="1" customWidth="1"/>
    <col min="67" max="67" width="13.140625" bestFit="1" customWidth="1"/>
    <col min="68" max="68" width="12" bestFit="1" customWidth="1"/>
    <col min="69" max="69" width="18.140625" bestFit="1" customWidth="1"/>
    <col min="70" max="70" width="20.7109375" bestFit="1" customWidth="1"/>
    <col min="71" max="71" width="12.28515625" bestFit="1" customWidth="1"/>
    <col min="72" max="72" width="12.140625" bestFit="1" customWidth="1"/>
    <col min="73" max="77" width="12" bestFit="1" customWidth="1"/>
    <col min="78" max="78" width="19.42578125" bestFit="1" customWidth="1"/>
    <col min="79" max="79" width="22.28515625" bestFit="1" customWidth="1"/>
    <col min="80" max="80" width="19" bestFit="1" customWidth="1"/>
    <col min="81" max="81" width="12" bestFit="1" customWidth="1"/>
    <col min="82" max="82" width="12.42578125" bestFit="1" customWidth="1"/>
    <col min="83" max="83" width="13.140625" bestFit="1" customWidth="1"/>
    <col min="84" max="84" width="12" bestFit="1" customWidth="1"/>
    <col min="85" max="85" width="14.42578125" bestFit="1" customWidth="1"/>
    <col min="86" max="86" width="15" bestFit="1" customWidth="1"/>
    <col min="87" max="87" width="18.42578125" bestFit="1" customWidth="1"/>
    <col min="88" max="88" width="20" bestFit="1" customWidth="1"/>
    <col min="89" max="89" width="12" bestFit="1" customWidth="1"/>
    <col min="90" max="90" width="17" bestFit="1" customWidth="1"/>
    <col min="91" max="91" width="17.42578125" bestFit="1" customWidth="1"/>
    <col min="92" max="92" width="13.140625" bestFit="1" customWidth="1"/>
    <col min="93" max="93" width="21.42578125" bestFit="1" customWidth="1"/>
    <col min="94" max="94" width="21" bestFit="1" customWidth="1"/>
    <col min="95" max="95" width="24.140625" bestFit="1" customWidth="1"/>
    <col min="96" max="96" width="22.42578125" bestFit="1" customWidth="1"/>
    <col min="97" max="97" width="18.85546875" bestFit="1" customWidth="1"/>
    <col min="98" max="98" width="15.28515625" bestFit="1" customWidth="1"/>
    <col min="99" max="99" width="22" bestFit="1" customWidth="1"/>
    <col min="100" max="100" width="22.42578125" bestFit="1" customWidth="1"/>
    <col min="101" max="101" width="28.7109375" bestFit="1" customWidth="1"/>
    <col min="102" max="102" width="22" bestFit="1" customWidth="1"/>
    <col min="103" max="103" width="12" bestFit="1" customWidth="1"/>
    <col min="104" max="104" width="50.42578125" bestFit="1" customWidth="1"/>
    <col min="105" max="105" width="42.42578125" bestFit="1" customWidth="1"/>
    <col min="106" max="106" width="40.85546875" bestFit="1" customWidth="1"/>
    <col min="107" max="107" width="43.42578125" bestFit="1" customWidth="1"/>
    <col min="108" max="108" width="42.42578125" bestFit="1" customWidth="1"/>
    <col min="109" max="109" width="36.85546875" bestFit="1" customWidth="1"/>
    <col min="110" max="110" width="35.85546875" bestFit="1" customWidth="1"/>
    <col min="111" max="111" width="15" bestFit="1" customWidth="1"/>
    <col min="112" max="112" width="12.42578125" bestFit="1" customWidth="1"/>
    <col min="113" max="113" width="12.28515625" bestFit="1" customWidth="1"/>
    <col min="114" max="114" width="10.85546875" bestFit="1" customWidth="1"/>
    <col min="115" max="115" width="16.42578125" bestFit="1" customWidth="1"/>
  </cols>
  <sheetData>
    <row r="1" spans="1:32">
      <c r="A1" t="s">
        <v>0</v>
      </c>
      <c r="B1" t="s">
        <v>3</v>
      </c>
      <c r="C1" t="s">
        <v>379</v>
      </c>
      <c r="D1" t="s">
        <v>43</v>
      </c>
      <c r="E1" t="s">
        <v>380</v>
      </c>
      <c r="F1" t="s">
        <v>105</v>
      </c>
      <c r="G1" t="s">
        <v>41</v>
      </c>
      <c r="H1" t="s">
        <v>381</v>
      </c>
      <c r="I1" t="s">
        <v>382</v>
      </c>
      <c r="J1" t="s">
        <v>385</v>
      </c>
      <c r="K1" t="s">
        <v>85</v>
      </c>
      <c r="L1" t="s">
        <v>386</v>
      </c>
      <c r="M1" t="s">
        <v>387</v>
      </c>
      <c r="N1" t="s">
        <v>131</v>
      </c>
      <c r="O1" t="s">
        <v>323</v>
      </c>
      <c r="P1" t="s">
        <v>321</v>
      </c>
      <c r="Q1" t="s">
        <v>322</v>
      </c>
      <c r="R1" t="s">
        <v>186</v>
      </c>
      <c r="S1" t="s">
        <v>188</v>
      </c>
      <c r="V1" t="s">
        <v>87</v>
      </c>
      <c r="W1">
        <v>1220.3795072428463</v>
      </c>
      <c r="X1">
        <v>1232.5833023152748</v>
      </c>
      <c r="Y1">
        <v>1244.9091353384274</v>
      </c>
      <c r="Z1">
        <v>1257.3582266918118</v>
      </c>
    </row>
    <row r="2" spans="1:32">
      <c r="A2" t="s">
        <v>4</v>
      </c>
      <c r="B2" t="s">
        <v>5</v>
      </c>
      <c r="C2" t="s">
        <v>126</v>
      </c>
      <c r="D2" t="s">
        <v>41</v>
      </c>
      <c r="E2" s="69">
        <v>99950</v>
      </c>
      <c r="F2" s="25">
        <v>9.9127659574468083</v>
      </c>
      <c r="G2">
        <f>+COSECHA[[#This Row],[KG]]/300</f>
        <v>83.291666666666671</v>
      </c>
      <c r="H2">
        <f>+IFERROR(COSECHA[[#This Row],[KG uva]]/COUNTIFS(COSECHA[Finca],COSECHA[[#This Row],[Finca]],COSECHA[Variedad],COSECHA[[#This Row],[Variedad]],COSECHA[Tipo de Cosecha],COSECHA[[#This Row],[Tipo de Cosecha]]),0)</f>
        <v>24987.5</v>
      </c>
      <c r="K2" t="s">
        <v>96</v>
      </c>
      <c r="L2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409170.3125</v>
      </c>
      <c r="M2">
        <f>+IFERROR(INDEX(Tabla2[Precio Jornal],MATCH(COSECHA[[#This Row],[Mes]],Tabla2[Mes],0))*COSECHA[[#This Row],[Jornales]],0)</f>
        <v>218910.54957446808</v>
      </c>
      <c r="N2" s="2">
        <f>+COSECHA[[#This Row],[Jornales $]]+SUM(COSECHA[[#This Row],[PA]:[EE III]])</f>
        <v>873583.04957446817</v>
      </c>
      <c r="O2" s="2">
        <f>+IF(COSECHA[[#This Row],[Finca]]="Puente Alto",INDEX(Tabla2[kg pa],MATCH(COSECHA[[#This Row],[Mes]],Tabla2[Mes],0))*COSECHA[[#This Row],[KG]],"")</f>
        <v>654672.50000000012</v>
      </c>
      <c r="P2" s="2"/>
      <c r="Q2" s="2"/>
      <c r="R2" s="2"/>
      <c r="S2" s="2"/>
      <c r="T2" s="2"/>
      <c r="U2" t="s">
        <v>0</v>
      </c>
      <c r="V2" t="s">
        <v>364</v>
      </c>
      <c r="W2" t="s">
        <v>96</v>
      </c>
      <c r="X2" t="s">
        <v>97</v>
      </c>
      <c r="Y2" t="s">
        <v>98</v>
      </c>
      <c r="Z2" t="s">
        <v>99</v>
      </c>
      <c r="AC2" s="130">
        <f>+SUM(W3:Z3,W11:Z11)/(66+25)</f>
        <v>798.25755816921219</v>
      </c>
    </row>
    <row r="3" spans="1:32">
      <c r="A3" t="s">
        <v>4</v>
      </c>
      <c r="B3" t="s">
        <v>5</v>
      </c>
      <c r="C3" t="s">
        <v>127</v>
      </c>
      <c r="D3" t="s">
        <v>41</v>
      </c>
      <c r="E3" s="69">
        <v>99950</v>
      </c>
      <c r="F3" s="25">
        <v>9.9127659574468083</v>
      </c>
      <c r="G3">
        <f>+COSECHA[[#This Row],[KG]]/300</f>
        <v>83.291666666666671</v>
      </c>
      <c r="H3">
        <f>+IFERROR(COSECHA[[#This Row],[KG uva]]/COUNTIFS(COSECHA[Finca],COSECHA[[#This Row],[Finca]],COSECHA[Variedad],COSECHA[[#This Row],[Variedad]],COSECHA[Tipo de Cosecha],COSECHA[[#This Row],[Tipo de Cosecha]]),0)</f>
        <v>24987.5</v>
      </c>
      <c r="K3" t="s">
        <v>96</v>
      </c>
      <c r="L3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409170.3125</v>
      </c>
      <c r="M3">
        <f>+IFERROR(INDEX(Tabla2[Precio Jornal],MATCH(COSECHA[[#This Row],[Mes]],Tabla2[Mes],0))*COSECHA[[#This Row],[Jornales]],0)</f>
        <v>218910.54957446808</v>
      </c>
      <c r="N3" s="2">
        <f>+COSECHA[[#This Row],[Jornales $]]+SUM(COSECHA[[#This Row],[PA]:[EE III]])</f>
        <v>873583.04957446817</v>
      </c>
      <c r="O3" s="2">
        <f>+IF(COSECHA[[#This Row],[Finca]]="Puente Alto",INDEX(Tabla2[kg pa],MATCH(COSECHA[[#This Row],[Mes]],Tabla2[Mes],0))*COSECHA[[#This Row],[KG]],"")</f>
        <v>654672.50000000012</v>
      </c>
      <c r="P3" s="2"/>
      <c r="Q3" s="2"/>
      <c r="R3" s="2"/>
      <c r="S3" s="2"/>
      <c r="T3" s="2"/>
      <c r="U3" t="s">
        <v>8</v>
      </c>
      <c r="V3" t="s">
        <v>131</v>
      </c>
      <c r="W3" s="104">
        <f>+SUMIFS(COSECHA[Cosecha],COSECHA[Finca],$U$3,COSECHA[Mes],W$2)/W$1</f>
        <v>15291.574702168849</v>
      </c>
      <c r="X3" s="104">
        <f>+SUMIFS(COSECHA[Cosecha],COSECHA[Finca],$U$3,COSECHA[Mes],X$2)/X$1</f>
        <v>17821.932317931991</v>
      </c>
      <c r="Y3" s="104">
        <f>+SUMIFS(COSECHA[Cosecha],COSECHA[Finca],$U$3,COSECHA[Mes],Y$2)/Y$1</f>
        <v>18262.830508290375</v>
      </c>
      <c r="Z3" s="104">
        <f>+SUMIFS(COSECHA[Cosecha],COSECHA[Finca],$U$3,COSECHA[Mes],Z$2)/Z$1</f>
        <v>0</v>
      </c>
      <c r="AB3">
        <f>+SUM(Cosechas[[#This Row],[Enero]:[Abril]])/66.04</f>
        <v>777.95786687448833</v>
      </c>
      <c r="AC3" s="130">
        <f>+SUM(W3:Y3,W7:Y7,W11:Y11)/133.13</f>
        <v>810.23303639863013</v>
      </c>
    </row>
    <row r="4" spans="1:32">
      <c r="A4" t="s">
        <v>4</v>
      </c>
      <c r="B4" t="s">
        <v>5</v>
      </c>
      <c r="C4" t="s">
        <v>128</v>
      </c>
      <c r="D4" t="s">
        <v>41</v>
      </c>
      <c r="E4" s="69">
        <v>99950</v>
      </c>
      <c r="F4" s="25">
        <v>9.9127659574468083</v>
      </c>
      <c r="G4">
        <f>+COSECHA[[#This Row],[KG]]/300</f>
        <v>83.291666666666671</v>
      </c>
      <c r="H4">
        <f>+IFERROR(COSECHA[[#This Row],[KG uva]]/COUNTIFS(COSECHA[Finca],COSECHA[[#This Row],[Finca]],COSECHA[Variedad],COSECHA[[#This Row],[Variedad]],COSECHA[Tipo de Cosecha],COSECHA[[#This Row],[Tipo de Cosecha]]),0)</f>
        <v>24987.5</v>
      </c>
      <c r="K4" t="s">
        <v>96</v>
      </c>
      <c r="L4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409170.3125</v>
      </c>
      <c r="M4">
        <f>+IFERROR(INDEX(Tabla2[Precio Jornal],MATCH(COSECHA[[#This Row],[Mes]],Tabla2[Mes],0))*COSECHA[[#This Row],[Jornales]],0)</f>
        <v>218910.54957446808</v>
      </c>
      <c r="N4" s="2">
        <f>+COSECHA[[#This Row],[Jornales $]]+SUM(COSECHA[[#This Row],[PA]:[EE III]])</f>
        <v>873583.04957446817</v>
      </c>
      <c r="O4" s="2">
        <f>+IF(COSECHA[[#This Row],[Finca]]="Puente Alto",INDEX(Tabla2[kg pa],MATCH(COSECHA[[#This Row],[Mes]],Tabla2[Mes],0))*COSECHA[[#This Row],[KG]],"")</f>
        <v>654672.50000000012</v>
      </c>
      <c r="P4" s="2"/>
      <c r="Q4" s="2"/>
      <c r="R4" s="2"/>
      <c r="S4" s="2"/>
      <c r="T4" s="2"/>
      <c r="U4" t="s">
        <v>8</v>
      </c>
      <c r="V4" t="s">
        <v>350</v>
      </c>
      <c r="W4" s="19">
        <f>+(SUMIFS(TablaGeneral[Resumen de Jornales tractoristas de Cosecha],TablaGeneral[Finca],$U$3)*10*INDEX(Tabla2[Combustible],MATCH(W$2,Tabla2[Mes],0))*0.2)/W1</f>
        <v>717.49949243016044</v>
      </c>
      <c r="X4" s="19">
        <f>+(SUMIFS(TablaGeneral[Resumen de Jornales tractoristas de Cosecha],TablaGeneral[Finca],$U$3)*10*INDEX(Tabla2[Combustible],MATCH(X$2,Tabla2[Mes],0))*0.2)/X1</f>
        <v>717.49949243016044</v>
      </c>
      <c r="Y4" s="19">
        <f>+(SUMIFS(TablaGeneral[Resumen de Jornales tractoristas de Cosecha],TablaGeneral[Finca],$U$3)*10*INDEX(Tabla2[Combustible],MATCH(Y$2,Tabla2[Mes],0))*0.2)/Y1</f>
        <v>717.49949243016044</v>
      </c>
      <c r="Z4" s="2">
        <v>0</v>
      </c>
      <c r="AB4">
        <f>+SUM(Cosechas[[#This Row],[Enero]:[Abril]])/66.04</f>
        <v>32.593859438075121</v>
      </c>
      <c r="AC4">
        <f>+AB15</f>
        <v>1117.6267577670219</v>
      </c>
    </row>
    <row r="5" spans="1:32">
      <c r="A5" t="s">
        <v>4</v>
      </c>
      <c r="B5" t="s">
        <v>5</v>
      </c>
      <c r="C5" t="s">
        <v>129</v>
      </c>
      <c r="D5" t="s">
        <v>41</v>
      </c>
      <c r="E5" s="69">
        <v>99950</v>
      </c>
      <c r="F5" s="25">
        <v>4.3339534883720932</v>
      </c>
      <c r="G5">
        <f>+COSECHA[[#This Row],[KG]]/300</f>
        <v>83.291666666666671</v>
      </c>
      <c r="H5">
        <f>+IFERROR(COSECHA[[#This Row],[KG uva]]/COUNTIFS(COSECHA[Finca],COSECHA[[#This Row],[Finca]],COSECHA[Variedad],COSECHA[[#This Row],[Variedad]],COSECHA[Tipo de Cosecha],COSECHA[[#This Row],[Tipo de Cosecha]]),0)</f>
        <v>24987.5</v>
      </c>
      <c r="K5" t="s">
        <v>96</v>
      </c>
      <c r="L5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409170.3125</v>
      </c>
      <c r="M5">
        <f>+IFERROR(INDEX(Tabla2[Precio Jornal],MATCH(COSECHA[[#This Row],[Mes]],Tabla2[Mes],0))*COSECHA[[#This Row],[Jornales]],0)</f>
        <v>95709.72865116279</v>
      </c>
      <c r="N5" s="2">
        <f>+COSECHA[[#This Row],[Jornales $]]+SUM(COSECHA[[#This Row],[PA]:[EE III]])</f>
        <v>750382.22865116294</v>
      </c>
      <c r="O5" s="2">
        <f>+IF(COSECHA[[#This Row],[Finca]]="Puente Alto",INDEX(Tabla2[kg pa],MATCH(COSECHA[[#This Row],[Mes]],Tabla2[Mes],0))*COSECHA[[#This Row],[KG]],"")</f>
        <v>654672.50000000012</v>
      </c>
      <c r="P5" s="2"/>
      <c r="Q5" s="2"/>
      <c r="R5" s="2"/>
      <c r="S5" s="2"/>
      <c r="T5" s="2"/>
      <c r="U5" t="s">
        <v>8</v>
      </c>
      <c r="V5" t="s">
        <v>349</v>
      </c>
      <c r="W5" s="2">
        <v>1500</v>
      </c>
      <c r="X5" s="2">
        <v>1500</v>
      </c>
      <c r="Y5" s="2">
        <v>1500</v>
      </c>
      <c r="Z5" s="2">
        <v>0</v>
      </c>
      <c r="AB5">
        <f>+SUM(Cosechas[[#This Row],[Enero]:[Abril]])/66.04</f>
        <v>68.140520896426395</v>
      </c>
    </row>
    <row r="6" spans="1:32">
      <c r="A6" t="s">
        <v>4</v>
      </c>
      <c r="B6" t="s">
        <v>6</v>
      </c>
      <c r="C6" t="s">
        <v>126</v>
      </c>
      <c r="D6" t="s">
        <v>41</v>
      </c>
      <c r="E6" s="69">
        <v>522280</v>
      </c>
      <c r="F6" s="25">
        <v>25.955319148936173</v>
      </c>
      <c r="G6">
        <f>+COSECHA[[#This Row],[KG]]/300</f>
        <v>435.23333333333335</v>
      </c>
      <c r="H6">
        <f>+IFERROR(COSECHA[[#This Row],[KG uva]]/COUNTIFS(COSECHA[Finca],COSECHA[[#This Row],[Finca]],COSECHA[Variedad],COSECHA[[#This Row],[Variedad]],COSECHA[Tipo de Cosecha],COSECHA[[#This Row],[Tipo de Cosecha]]),0)</f>
        <v>130570</v>
      </c>
      <c r="K6" t="s">
        <v>97</v>
      </c>
      <c r="L6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2202125.2393056019</v>
      </c>
      <c r="M6">
        <f>+IFERROR(INDEX(Tabla2[Precio Jornal],MATCH(COSECHA[[#This Row],[Mes]],Tabla2[Mes],0))*COSECHA[[#This Row],[Jornales]],0)</f>
        <v>582805.92723404267</v>
      </c>
      <c r="N6" s="2">
        <f>+COSECHA[[#This Row],[Jornales $]]+SUM(COSECHA[[#This Row],[PA]:[EE III]])</f>
        <v>4106206.3101230059</v>
      </c>
      <c r="O6" s="2">
        <f>+IF(COSECHA[[#This Row],[Finca]]="Puente Alto",INDEX(Tabla2[kg pa],MATCH(COSECHA[[#This Row],[Mes]],Tabla2[Mes],0))*COSECHA[[#This Row],[KG]],"")</f>
        <v>3523400.3828889634</v>
      </c>
      <c r="P6" s="2"/>
      <c r="Q6" s="2"/>
      <c r="R6" s="2"/>
      <c r="S6" s="2"/>
      <c r="T6" s="2"/>
      <c r="U6" t="s">
        <v>8</v>
      </c>
      <c r="V6" t="s">
        <v>351</v>
      </c>
      <c r="W6">
        <v>0</v>
      </c>
      <c r="X6">
        <v>0</v>
      </c>
      <c r="Y6">
        <v>0</v>
      </c>
      <c r="Z6">
        <v>0</v>
      </c>
    </row>
    <row r="7" spans="1:32">
      <c r="A7" t="s">
        <v>4</v>
      </c>
      <c r="B7" t="s">
        <v>6</v>
      </c>
      <c r="C7" t="s">
        <v>127</v>
      </c>
      <c r="D7" t="s">
        <v>41</v>
      </c>
      <c r="E7" s="69">
        <v>522280</v>
      </c>
      <c r="F7" s="25">
        <v>25.955319148936173</v>
      </c>
      <c r="G7">
        <f>+COSECHA[[#This Row],[KG]]/300</f>
        <v>435.23333333333335</v>
      </c>
      <c r="H7">
        <f>+IFERROR(COSECHA[[#This Row],[KG uva]]/COUNTIFS(COSECHA[Finca],COSECHA[[#This Row],[Finca]],COSECHA[Variedad],COSECHA[[#This Row],[Variedad]],COSECHA[Tipo de Cosecha],COSECHA[[#This Row],[Tipo de Cosecha]]),0)</f>
        <v>130570</v>
      </c>
      <c r="K7" t="s">
        <v>97</v>
      </c>
      <c r="L7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2202125.2393056019</v>
      </c>
      <c r="M7">
        <f>+IFERROR(INDEX(Tabla2[Precio Jornal],MATCH(COSECHA[[#This Row],[Mes]],Tabla2[Mes],0))*COSECHA[[#This Row],[Jornales]],0)</f>
        <v>582805.92723404267</v>
      </c>
      <c r="N7" s="2">
        <f>+COSECHA[[#This Row],[Jornales $]]+SUM(COSECHA[[#This Row],[PA]:[EE III]])</f>
        <v>4106206.3101230059</v>
      </c>
      <c r="O7" s="2">
        <f>+IF(COSECHA[[#This Row],[Finca]]="Puente Alto",INDEX(Tabla2[kg pa],MATCH(COSECHA[[#This Row],[Mes]],Tabla2[Mes],0))*COSECHA[[#This Row],[KG]],"")</f>
        <v>3523400.3828889634</v>
      </c>
      <c r="P7" s="2"/>
      <c r="Q7" s="2"/>
      <c r="R7" s="2"/>
      <c r="S7" s="2"/>
      <c r="T7" s="2"/>
      <c r="U7" s="2" t="s">
        <v>12</v>
      </c>
      <c r="V7" t="s">
        <v>131</v>
      </c>
      <c r="W7" s="104">
        <f>+SUMIFS(COSECHA[Cosecha],COSECHA[Finca],$U$7,COSECHA[Mes],W$2)/W$1</f>
        <v>8107.5339587155568</v>
      </c>
      <c r="X7" s="104">
        <f>+SUMIFS(COSECHA[Cosecha],COSECHA[Finca],$U$7,COSECHA[Mes],X$2)/X$1</f>
        <v>16199.055663933945</v>
      </c>
      <c r="Y7" s="104">
        <f>+SUMIFS(COSECHA[Cosecha],COSECHA[Finca],$U$7,COSECHA[Mes],Y$2)/Y$1</f>
        <v>10918.296719701837</v>
      </c>
      <c r="Z7" s="104">
        <f>+SUMIFS(COSECHA[Cosecha],COSECHA[Finca],$U$7,COSECHA[Mes],Z$2)/Z$1</f>
        <v>0</v>
      </c>
      <c r="AB7">
        <f>+SUM(Cosechas[[#This Row],[Enero]:[Abril]])/40.5</f>
        <v>869.7502800580578</v>
      </c>
    </row>
    <row r="8" spans="1:32">
      <c r="A8" t="s">
        <v>4</v>
      </c>
      <c r="B8" t="s">
        <v>6</v>
      </c>
      <c r="C8" t="s">
        <v>128</v>
      </c>
      <c r="D8" t="s">
        <v>41</v>
      </c>
      <c r="E8" s="69">
        <v>522280</v>
      </c>
      <c r="F8" s="25">
        <v>25.955319148936173</v>
      </c>
      <c r="G8">
        <f>+COSECHA[[#This Row],[KG]]/300</f>
        <v>435.23333333333335</v>
      </c>
      <c r="H8">
        <f>+IFERROR(COSECHA[[#This Row],[KG uva]]/COUNTIFS(COSECHA[Finca],COSECHA[[#This Row],[Finca]],COSECHA[Variedad],COSECHA[[#This Row],[Variedad]],COSECHA[Tipo de Cosecha],COSECHA[[#This Row],[Tipo de Cosecha]]),0)</f>
        <v>130570</v>
      </c>
      <c r="K8" t="s">
        <v>97</v>
      </c>
      <c r="L8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2202125.2393056019</v>
      </c>
      <c r="M8">
        <f>+IFERROR(INDEX(Tabla2[Precio Jornal],MATCH(COSECHA[[#This Row],[Mes]],Tabla2[Mes],0))*COSECHA[[#This Row],[Jornales]],0)</f>
        <v>582805.92723404267</v>
      </c>
      <c r="N8" s="2">
        <f>+COSECHA[[#This Row],[Jornales $]]+SUM(COSECHA[[#This Row],[PA]:[EE III]])</f>
        <v>4106206.3101230059</v>
      </c>
      <c r="O8" s="2">
        <f>+IF(COSECHA[[#This Row],[Finca]]="Puente Alto",INDEX(Tabla2[kg pa],MATCH(COSECHA[[#This Row],[Mes]],Tabla2[Mes],0))*COSECHA[[#This Row],[KG]],"")</f>
        <v>3523400.3828889634</v>
      </c>
      <c r="P8" s="2"/>
      <c r="Q8" s="2"/>
      <c r="R8" s="2"/>
      <c r="S8" s="2"/>
      <c r="T8" s="2"/>
      <c r="U8" s="2" t="s">
        <v>12</v>
      </c>
      <c r="V8" t="s">
        <v>350</v>
      </c>
      <c r="W8" s="19">
        <f>+(SUMIFS(TablaGeneral[Resumen de Jornales tractoristas de Cosecha],TablaGeneral[Finca],$U$8)*10*INDEX(Tabla2[Combustible],MATCH(W$2,Tabla2[Mes],0))*0.2)/W1</f>
        <v>440.77143992637212</v>
      </c>
      <c r="X8" s="19">
        <f>+(SUMIFS(TablaGeneral[Resumen de Jornales tractoristas de Cosecha],TablaGeneral[Finca],$U$8)*10*INDEX(Tabla2[Combustible],MATCH(X$2,Tabla2[Mes],0))*0.2)/X1</f>
        <v>440.77143992637218</v>
      </c>
      <c r="Y8" s="19">
        <f>+(SUMIFS(TablaGeneral[Resumen de Jornales tractoristas de Cosecha],TablaGeneral[Finca],$U$8)*10*INDEX(Tabla2[Combustible],MATCH(Y$2,Tabla2[Mes],0))*0.2)/Y1</f>
        <v>440.77143992637207</v>
      </c>
      <c r="Z8" s="2">
        <v>0</v>
      </c>
      <c r="AB8">
        <f>+SUM(Cosechas[[#This Row],[Enero]:[Abril]])/40.5</f>
        <v>32.649736290842384</v>
      </c>
    </row>
    <row r="9" spans="1:32">
      <c r="A9" t="s">
        <v>4</v>
      </c>
      <c r="B9" t="s">
        <v>6</v>
      </c>
      <c r="C9" t="s">
        <v>129</v>
      </c>
      <c r="D9" t="s">
        <v>41</v>
      </c>
      <c r="E9" s="69">
        <v>522280</v>
      </c>
      <c r="F9" s="25">
        <v>11.347906976744186</v>
      </c>
      <c r="G9">
        <f>+COSECHA[[#This Row],[KG]]/300</f>
        <v>435.23333333333335</v>
      </c>
      <c r="H9">
        <f>+IFERROR(COSECHA[[#This Row],[KG uva]]/COUNTIFS(COSECHA[Finca],COSECHA[[#This Row],[Finca]],COSECHA[Variedad],COSECHA[[#This Row],[Variedad]],COSECHA[Tipo de Cosecha],COSECHA[[#This Row],[Tipo de Cosecha]]),0)</f>
        <v>130570</v>
      </c>
      <c r="K9" t="s">
        <v>97</v>
      </c>
      <c r="L9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2202125.2393056019</v>
      </c>
      <c r="M9">
        <f>+IFERROR(INDEX(Tabla2[Precio Jornal],MATCH(COSECHA[[#This Row],[Mes]],Tabla2[Mes],0))*COSECHA[[#This Row],[Jornales]],0)</f>
        <v>254808.17283720931</v>
      </c>
      <c r="N9" s="2">
        <f>+COSECHA[[#This Row],[Jornales $]]+SUM(COSECHA[[#This Row],[PA]:[EE III]])</f>
        <v>3778208.5557261729</v>
      </c>
      <c r="O9" s="2">
        <f>+IF(COSECHA[[#This Row],[Finca]]="Puente Alto",INDEX(Tabla2[kg pa],MATCH(COSECHA[[#This Row],[Mes]],Tabla2[Mes],0))*COSECHA[[#This Row],[KG]],"")</f>
        <v>3523400.3828889634</v>
      </c>
      <c r="P9" s="2"/>
      <c r="Q9" s="2"/>
      <c r="R9" s="2"/>
      <c r="S9" s="2"/>
      <c r="T9" s="2"/>
      <c r="U9" s="2" t="s">
        <v>12</v>
      </c>
      <c r="V9" t="s">
        <v>349</v>
      </c>
      <c r="W9" s="2">
        <v>1500</v>
      </c>
      <c r="X9" s="2">
        <f>1500*0.5</f>
        <v>750</v>
      </c>
      <c r="Y9" s="2">
        <f>1500*0.5</f>
        <v>750</v>
      </c>
      <c r="Z9" s="2">
        <v>0</v>
      </c>
      <c r="AB9">
        <f>+SUM(Cosechas[[#This Row],[Enero]:[Abril]])/40.5</f>
        <v>74.074074074074076</v>
      </c>
    </row>
    <row r="10" spans="1:32">
      <c r="A10" t="s">
        <v>4</v>
      </c>
      <c r="B10" t="s">
        <v>7</v>
      </c>
      <c r="C10" t="s">
        <v>126</v>
      </c>
      <c r="D10" t="s">
        <v>41</v>
      </c>
      <c r="E10" s="69">
        <v>209520</v>
      </c>
      <c r="F10" s="25">
        <v>12.137234042553192</v>
      </c>
      <c r="G10">
        <f>+COSECHA[[#This Row],[KG]]/300</f>
        <v>174.6</v>
      </c>
      <c r="H10">
        <f>+IFERROR(COSECHA[[#This Row],[KG uva]]/COUNTIFS(COSECHA[Finca],COSECHA[[#This Row],[Finca]],COSECHA[Variedad],COSECHA[[#This Row],[Variedad]],COSECHA[Tipo de Cosecha],COSECHA[[#This Row],[Tipo de Cosecha]]),0)</f>
        <v>52380</v>
      </c>
      <c r="K10" t="s">
        <v>98</v>
      </c>
      <c r="L10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909973.22941275733</v>
      </c>
      <c r="M10">
        <f>+IFERROR(INDEX(Tabla2[Precio Jornal],MATCH(COSECHA[[#This Row],[Mes]],Tabla2[Mes],0))*COSECHA[[#This Row],[Jornales]],0)</f>
        <v>277144.02957446809</v>
      </c>
      <c r="N10" s="2">
        <f>+COSECHA[[#This Row],[Jornales $]]+SUM(COSECHA[[#This Row],[PA]:[EE III]])</f>
        <v>1733101.1966348798</v>
      </c>
      <c r="O10" s="2">
        <f>+IF(COSECHA[[#This Row],[Finca]]="Puente Alto",INDEX(Tabla2[kg pa],MATCH(COSECHA[[#This Row],[Mes]],Tabla2[Mes],0))*COSECHA[[#This Row],[KG]],"")</f>
        <v>1455957.1670604118</v>
      </c>
      <c r="P10" s="2"/>
      <c r="Q10" s="2"/>
      <c r="R10" s="2"/>
      <c r="S10" s="2"/>
      <c r="T10" s="2"/>
      <c r="U10" s="2" t="s">
        <v>12</v>
      </c>
      <c r="V10" t="s">
        <v>351</v>
      </c>
      <c r="W10" s="2">
        <f>+$AC$11/3/W1</f>
        <v>719.99460942424571</v>
      </c>
      <c r="X10" s="2">
        <f>+$AC$11/3/X1</f>
        <v>712.86594992499579</v>
      </c>
      <c r="Y10" s="2">
        <f>+$AC$11/3/Y1</f>
        <v>705.80787121286721</v>
      </c>
      <c r="Z10" s="2">
        <v>0</v>
      </c>
      <c r="AB10">
        <f>+SUM(Cosechas[[#This Row],[Enero]:[Abril]])/40.5</f>
        <v>52.8066279151138</v>
      </c>
    </row>
    <row r="11" spans="1:32">
      <c r="A11" t="s">
        <v>4</v>
      </c>
      <c r="B11" t="s">
        <v>7</v>
      </c>
      <c r="C11" t="s">
        <v>127</v>
      </c>
      <c r="D11" t="s">
        <v>41</v>
      </c>
      <c r="E11" s="69">
        <v>209520</v>
      </c>
      <c r="F11" s="25">
        <v>12.137234042553192</v>
      </c>
      <c r="G11">
        <f>+COSECHA[[#This Row],[KG]]/300</f>
        <v>174.6</v>
      </c>
      <c r="H11">
        <f>+IFERROR(COSECHA[[#This Row],[KG uva]]/COUNTIFS(COSECHA[Finca],COSECHA[[#This Row],[Finca]],COSECHA[Variedad],COSECHA[[#This Row],[Variedad]],COSECHA[Tipo de Cosecha],COSECHA[[#This Row],[Tipo de Cosecha]]),0)</f>
        <v>52380</v>
      </c>
      <c r="K11" t="s">
        <v>98</v>
      </c>
      <c r="L11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909973.22941275733</v>
      </c>
      <c r="M11">
        <f>+IFERROR(INDEX(Tabla2[Precio Jornal],MATCH(COSECHA[[#This Row],[Mes]],Tabla2[Mes],0))*COSECHA[[#This Row],[Jornales]],0)</f>
        <v>277144.02957446809</v>
      </c>
      <c r="N11" s="2">
        <f>+COSECHA[[#This Row],[Jornales $]]+SUM(COSECHA[[#This Row],[PA]:[EE III]])</f>
        <v>1733101.1966348798</v>
      </c>
      <c r="O11" s="2">
        <f>+IF(COSECHA[[#This Row],[Finca]]="Puente Alto",INDEX(Tabla2[kg pa],MATCH(COSECHA[[#This Row],[Mes]],Tabla2[Mes],0))*COSECHA[[#This Row],[KG]],"")</f>
        <v>1455957.1670604118</v>
      </c>
      <c r="P11" s="2"/>
      <c r="Q11" s="2"/>
      <c r="R11" s="2"/>
      <c r="S11" s="2"/>
      <c r="T11" s="2"/>
      <c r="U11" s="2" t="s">
        <v>4</v>
      </c>
      <c r="V11" t="s">
        <v>131</v>
      </c>
      <c r="W11" s="104">
        <f>+SUMIFS(COSECHA[Cosecha],COSECHA[Finca],$U$11,COSECHA[Mes],W$2)/W1</f>
        <v>2762.3631479938786</v>
      </c>
      <c r="X11" s="104">
        <f>+SUMIFS(COSECHA[Cosecha],COSECHA[Finca],$U$11,COSECHA[Mes],X$2)/X1</f>
        <v>13059.423615311871</v>
      </c>
      <c r="Y11" s="104">
        <f>+SUMIFS(COSECHA[Cosecha],COSECHA[Finca],$U$11,COSECHA[Mes],Y$2)/Y1</f>
        <v>5443.3135017013419</v>
      </c>
      <c r="Z11" s="104">
        <f>+SUMIFS(COSECHA[Cosecha],COSECHA[Finca],$U$11,COSECHA[Mes],Z$2)</f>
        <v>0</v>
      </c>
      <c r="AB11">
        <f>+SUM(Cosechas[[#This Row],[Enero]:[Abril]])/26.18</f>
        <v>812.26509797582469</v>
      </c>
      <c r="AC11">
        <v>2636000</v>
      </c>
      <c r="AD11">
        <f>+$AC$11/3/AD13</f>
        <v>825.03912363067286</v>
      </c>
      <c r="AE11">
        <f t="shared" ref="AE11:AF11" si="0">+$AC$11/3/AE13</f>
        <v>825.03912363067286</v>
      </c>
      <c r="AF11">
        <f t="shared" si="0"/>
        <v>795.17345399698343</v>
      </c>
    </row>
    <row r="12" spans="1:32">
      <c r="A12" t="s">
        <v>4</v>
      </c>
      <c r="B12" t="s">
        <v>7</v>
      </c>
      <c r="C12" t="s">
        <v>128</v>
      </c>
      <c r="D12" t="s">
        <v>41</v>
      </c>
      <c r="E12" s="69">
        <v>209520</v>
      </c>
      <c r="F12" s="25">
        <v>12.137234042553192</v>
      </c>
      <c r="G12">
        <f>+COSECHA[[#This Row],[KG]]/300</f>
        <v>174.6</v>
      </c>
      <c r="H12">
        <f>+IFERROR(COSECHA[[#This Row],[KG uva]]/COUNTIFS(COSECHA[Finca],COSECHA[[#This Row],[Finca]],COSECHA[Variedad],COSECHA[[#This Row],[Variedad]],COSECHA[Tipo de Cosecha],COSECHA[[#This Row],[Tipo de Cosecha]]),0)</f>
        <v>52380</v>
      </c>
      <c r="K12" t="s">
        <v>98</v>
      </c>
      <c r="L12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909973.22941275733</v>
      </c>
      <c r="M12">
        <f>+IFERROR(INDEX(Tabla2[Precio Jornal],MATCH(COSECHA[[#This Row],[Mes]],Tabla2[Mes],0))*COSECHA[[#This Row],[Jornales]],0)</f>
        <v>277144.02957446809</v>
      </c>
      <c r="N12" s="2">
        <f>+COSECHA[[#This Row],[Jornales $]]+SUM(COSECHA[[#This Row],[PA]:[EE III]])</f>
        <v>1733101.1966348798</v>
      </c>
      <c r="O12" s="2">
        <f>+IF(COSECHA[[#This Row],[Finca]]="Puente Alto",INDEX(Tabla2[kg pa],MATCH(COSECHA[[#This Row],[Mes]],Tabla2[Mes],0))*COSECHA[[#This Row],[KG]],"")</f>
        <v>1455957.1670604118</v>
      </c>
      <c r="P12" s="2"/>
      <c r="Q12" s="2"/>
      <c r="R12" s="2"/>
      <c r="S12" s="2"/>
      <c r="T12" s="2"/>
      <c r="U12" s="2" t="s">
        <v>4</v>
      </c>
      <c r="V12" t="s">
        <v>350</v>
      </c>
      <c r="W12" s="19">
        <f>+(SUMIFS(TablaGeneral[Resumen de Jornales tractoristas de Cosecha],TablaGeneral[Finca],$U$12)*10*INDEX(Tabla2[Combustible],MATCH(W$2,Tabla2[Mes],0))*0.2)/W1</f>
        <v>196.82180851063831</v>
      </c>
      <c r="X12" s="19">
        <f>+(SUMIFS(TablaGeneral[Resumen de Jornales tractoristas de Cosecha],TablaGeneral[Finca],$U$12)*10*INDEX(Tabla2[Combustible],MATCH(X$2,Tabla2[Mes],0))*0.2)/X1</f>
        <v>196.82180851063831</v>
      </c>
      <c r="Y12" s="19">
        <f>+(SUMIFS(TablaGeneral[Resumen de Jornales tractoristas de Cosecha],TablaGeneral[Finca],$U$12)*10*INDEX(Tabla2[Combustible],MATCH(Y$2,Tabla2[Mes],0))*0.2)/Y1</f>
        <v>196.82180851063828</v>
      </c>
      <c r="Z12" s="2">
        <v>0</v>
      </c>
      <c r="AB12">
        <f>+SUM(Cosechas[[#This Row],[Enero]:[Abril]])/26.18</f>
        <v>22.554065146368025</v>
      </c>
    </row>
    <row r="13" spans="1:32">
      <c r="A13" t="s">
        <v>4</v>
      </c>
      <c r="B13" t="s">
        <v>7</v>
      </c>
      <c r="C13" t="s">
        <v>129</v>
      </c>
      <c r="D13" t="s">
        <v>41</v>
      </c>
      <c r="E13" s="69">
        <v>209520</v>
      </c>
      <c r="F13" s="25">
        <v>5.3065116279069766</v>
      </c>
      <c r="G13">
        <f>+COSECHA[[#This Row],[KG]]/300</f>
        <v>174.6</v>
      </c>
      <c r="H13">
        <f>+IFERROR(COSECHA[[#This Row],[KG uva]]/COUNTIFS(COSECHA[Finca],COSECHA[[#This Row],[Finca]],COSECHA[Variedad],COSECHA[[#This Row],[Variedad]],COSECHA[Tipo de Cosecha],COSECHA[[#This Row],[Tipo de Cosecha]]),0)</f>
        <v>52380</v>
      </c>
      <c r="K13" t="s">
        <v>98</v>
      </c>
      <c r="L13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909973.22941275733</v>
      </c>
      <c r="M13">
        <f>+IFERROR(INDEX(Tabla2[Precio Jornal],MATCH(COSECHA[[#This Row],[Mes]],Tabla2[Mes],0))*COSECHA[[#This Row],[Jornales]],0)</f>
        <v>121169.94781395349</v>
      </c>
      <c r="N13" s="2">
        <f>+COSECHA[[#This Row],[Jornales $]]+SUM(COSECHA[[#This Row],[PA]:[EE III]])</f>
        <v>1577127.1148743653</v>
      </c>
      <c r="O13" s="2">
        <f>+IF(COSECHA[[#This Row],[Finca]]="Puente Alto",INDEX(Tabla2[kg pa],MATCH(COSECHA[[#This Row],[Mes]],Tabla2[Mes],0))*COSECHA[[#This Row],[KG]],"")</f>
        <v>1455957.1670604118</v>
      </c>
      <c r="P13" s="2"/>
      <c r="Q13" s="2"/>
      <c r="R13" s="2"/>
      <c r="S13" s="2"/>
      <c r="T13" s="2"/>
      <c r="U13" s="2" t="s">
        <v>4</v>
      </c>
      <c r="V13" t="s">
        <v>349</v>
      </c>
      <c r="W13" s="2">
        <f>1500*0.2</f>
        <v>300</v>
      </c>
      <c r="X13" s="2">
        <f>1500*0.4</f>
        <v>600</v>
      </c>
      <c r="Y13" s="2">
        <f>1500*0.4</f>
        <v>600</v>
      </c>
      <c r="Z13" s="2">
        <v>0</v>
      </c>
      <c r="AB13">
        <f>+SUM(Cosechas[[#This Row],[Enero]:[Abril]])/26.18</f>
        <v>57.295645530939652</v>
      </c>
      <c r="AD13">
        <v>1065</v>
      </c>
      <c r="AE13">
        <v>1065</v>
      </c>
      <c r="AF13">
        <v>1105</v>
      </c>
    </row>
    <row r="14" spans="1:32">
      <c r="A14" t="s">
        <v>8</v>
      </c>
      <c r="B14" t="s">
        <v>6</v>
      </c>
      <c r="C14" t="s">
        <v>126</v>
      </c>
      <c r="D14" t="s">
        <v>41</v>
      </c>
      <c r="E14" s="137">
        <v>366060</v>
      </c>
      <c r="F14" s="25">
        <v>9.5545476247314394</v>
      </c>
      <c r="G14">
        <f>+COSECHA[[#This Row],[KG]]/300</f>
        <v>244.04</v>
      </c>
      <c r="H14">
        <f>+IFERROR(COSECHA[[#This Row],[KG uva]]/COUNTIFS(COSECHA[Finca],COSECHA[[#This Row],[Finca]],COSECHA[Variedad],COSECHA[[#This Row],[Variedad]],COSECHA[Tipo de Cosecha],COSECHA[[#This Row],[Tipo de Cosecha]]),0)</f>
        <v>73212</v>
      </c>
      <c r="I14">
        <v>4</v>
      </c>
      <c r="J14" s="43"/>
      <c r="K14" s="43" t="s">
        <v>97</v>
      </c>
      <c r="L14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1234755.2502109346</v>
      </c>
      <c r="M14" s="43">
        <f>+IFERROR(INDEX(Tabla2[Precio Jornal],MATCH(COSECHA[[#This Row],[Mes]],Tabla2[Mes],0))*COSECHA[[#This Row],[Jornales]],0)</f>
        <v>214539.7232752447</v>
      </c>
      <c r="N14" s="2">
        <f>+COSECHA[[#This Row],[Jornales $]]+SUM(COSECHA[[#This Row],[PA]:[EE III]])</f>
        <v>2190148.1236127401</v>
      </c>
      <c r="O14" s="2" t="str">
        <f>+IF(COSECHA[[#This Row],[Finca]]="Puente Alto",INDEX(Tabla2[kg pa],MATCH(COSECHA[[#This Row],[Mes]],Tabla2[Mes],0))*COSECHA[[#This Row],[KG]],"")</f>
        <v/>
      </c>
      <c r="P14" s="2">
        <f>+INDEX(Tabla2[kg pa],MATCH(COSECHA[[#This Row],[Mes]],Tabla2[Mes],0))*COSECHA[[#This Row],[KG]]</f>
        <v>1975608.4003374956</v>
      </c>
      <c r="Q14" s="2"/>
      <c r="R14" s="2"/>
      <c r="S14" s="2"/>
      <c r="T14" s="2"/>
      <c r="U14" s="2" t="s">
        <v>4</v>
      </c>
      <c r="V14" t="s">
        <v>351</v>
      </c>
      <c r="W14" s="2">
        <v>3104.8513302034426</v>
      </c>
      <c r="X14" s="2">
        <v>3104.8513302034426</v>
      </c>
      <c r="Y14" s="2">
        <v>2992.4585218702864</v>
      </c>
      <c r="Z14" s="2">
        <v>0</v>
      </c>
      <c r="AB14">
        <f>+SUM(Cosechas[[#This Row],[Enero]:[Abril]])/26.18</f>
        <v>351.49584347888356</v>
      </c>
      <c r="AC14" s="2">
        <v>9920000</v>
      </c>
      <c r="AD14">
        <f>+$AC$14/3/AD13</f>
        <v>3104.8513302034426</v>
      </c>
      <c r="AE14">
        <f t="shared" ref="AE14:AF14" si="1">+$AC$14/3/AE13</f>
        <v>3104.8513302034426</v>
      </c>
      <c r="AF14">
        <f t="shared" si="1"/>
        <v>2992.4585218702864</v>
      </c>
    </row>
    <row r="15" spans="1:32">
      <c r="A15" t="s">
        <v>8</v>
      </c>
      <c r="B15" t="s">
        <v>6</v>
      </c>
      <c r="C15" t="s">
        <v>127</v>
      </c>
      <c r="D15" t="s">
        <v>41</v>
      </c>
      <c r="E15" s="137">
        <v>366060</v>
      </c>
      <c r="F15" s="25">
        <v>9.5545476247314394</v>
      </c>
      <c r="G15">
        <f>+COSECHA[[#This Row],[KG]]/300</f>
        <v>244.04</v>
      </c>
      <c r="H15">
        <f>+IFERROR(COSECHA[[#This Row],[KG uva]]/COUNTIFS(COSECHA[Finca],COSECHA[[#This Row],[Finca]],COSECHA[Variedad],COSECHA[[#This Row],[Variedad]],COSECHA[Tipo de Cosecha],COSECHA[[#This Row],[Tipo de Cosecha]]),0)</f>
        <v>73212</v>
      </c>
      <c r="I15">
        <v>4</v>
      </c>
      <c r="J15" s="43"/>
      <c r="K15" s="43" t="s">
        <v>97</v>
      </c>
      <c r="L15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1234755.2502109346</v>
      </c>
      <c r="M15" s="43">
        <f>+IFERROR(INDEX(Tabla2[Precio Jornal],MATCH(COSECHA[[#This Row],[Mes]],Tabla2[Mes],0))*COSECHA[[#This Row],[Jornales]],0)</f>
        <v>214539.7232752447</v>
      </c>
      <c r="N15" s="2">
        <f>+COSECHA[[#This Row],[Jornales $]]+SUM(COSECHA[[#This Row],[PA]:[EE III]])</f>
        <v>2190148.1236127401</v>
      </c>
      <c r="O15" s="2" t="str">
        <f>+IF(COSECHA[[#This Row],[Finca]]="Puente Alto",INDEX(Tabla2[kg pa],MATCH(COSECHA[[#This Row],[Mes]],Tabla2[Mes],0))*COSECHA[[#This Row],[KG]],"")</f>
        <v/>
      </c>
      <c r="P15" s="2">
        <f>+INDEX(Tabla2[kg pa],MATCH(COSECHA[[#This Row],[Mes]],Tabla2[Mes],0))*COSECHA[[#This Row],[KG]]</f>
        <v>1975608.4003374956</v>
      </c>
      <c r="Q15" s="2"/>
      <c r="R15" s="2"/>
      <c r="S15" s="2"/>
      <c r="T15" s="2"/>
      <c r="U15" s="2" t="s">
        <v>373</v>
      </c>
      <c r="V15" t="s">
        <v>131</v>
      </c>
      <c r="W15" s="104">
        <f>+SUMIFS(COSECHA[Cosecha],COSECHA[Finca],"El Espejo I",COSECHA[Mes],W$2)+SUMIFS(COSECHA[Cosecha],COSECHA[Finca],"El Espejo II",COSECHA[Mes],W$2)/W1</f>
        <v>0</v>
      </c>
      <c r="X15" s="104">
        <f>+(SUMIFS(COSECHA[Cosecha],COSECHA[Finca],"El Espejo I",COSECHA[Mes],X$2)+SUMIFS(COSECHA[Cosecha],COSECHA[Finca],"El Espejo II",COSECHA[Mes],X$2))/X1</f>
        <v>34680.599474924609</v>
      </c>
      <c r="Y15" s="104">
        <f>+(SUMIFS(COSECHA[Cosecha],COSECHA[Finca],"El Espejo I",COSECHA[Mes],Y$2)+SUMIFS(COSECHA[Cosecha],COSECHA[Finca],"El Espejo II",COSECHA[Mes],Y$2))/Y1</f>
        <v>27783.560016674248</v>
      </c>
      <c r="Z15" s="104">
        <f>+SUMIFS(COSECHA[Cosecha],COSECHA[Finca],$U$3,COSECHA[Mes],Z$2)</f>
        <v>0</v>
      </c>
      <c r="AB15">
        <f>+SUM(Cosechas[[#This Row],[Enero]:[Abril]])/55.89</f>
        <v>1117.6267577670219</v>
      </c>
    </row>
    <row r="16" spans="1:32">
      <c r="A16" t="s">
        <v>8</v>
      </c>
      <c r="B16" t="s">
        <v>6</v>
      </c>
      <c r="C16" t="s">
        <v>128</v>
      </c>
      <c r="D16" t="s">
        <v>41</v>
      </c>
      <c r="E16" s="137">
        <v>366060</v>
      </c>
      <c r="F16" s="25">
        <v>38.218190498925757</v>
      </c>
      <c r="G16">
        <f>+COSECHA[[#This Row],[KG]]/300</f>
        <v>244.04</v>
      </c>
      <c r="H16">
        <f>+IFERROR(COSECHA[[#This Row],[KG uva]]/COUNTIFS(COSECHA[Finca],COSECHA[[#This Row],[Finca]],COSECHA[Variedad],COSECHA[[#This Row],[Variedad]],COSECHA[Tipo de Cosecha],COSECHA[[#This Row],[Tipo de Cosecha]]),0)</f>
        <v>73212</v>
      </c>
      <c r="I16">
        <v>4</v>
      </c>
      <c r="J16" s="43"/>
      <c r="K16" s="43" t="s">
        <v>97</v>
      </c>
      <c r="L16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1234755.2502109346</v>
      </c>
      <c r="M16" s="43">
        <f>+IFERROR(INDEX(Tabla2[Precio Jornal],MATCH(COSECHA[[#This Row],[Mes]],Tabla2[Mes],0))*COSECHA[[#This Row],[Jornales]],0)</f>
        <v>858158.89310097881</v>
      </c>
      <c r="N16" s="2">
        <f>+COSECHA[[#This Row],[Jornales $]]+SUM(COSECHA[[#This Row],[PA]:[EE III]])</f>
        <v>2833767.2934384746</v>
      </c>
      <c r="O16" s="2" t="str">
        <f>+IF(COSECHA[[#This Row],[Finca]]="Puente Alto",INDEX(Tabla2[kg pa],MATCH(COSECHA[[#This Row],[Mes]],Tabla2[Mes],0))*COSECHA[[#This Row],[KG]],"")</f>
        <v/>
      </c>
      <c r="P16" s="2">
        <f>+INDEX(Tabla2[kg pa],MATCH(COSECHA[[#This Row],[Mes]],Tabla2[Mes],0))*COSECHA[[#This Row],[KG]]</f>
        <v>1975608.4003374956</v>
      </c>
      <c r="Q16" s="2"/>
      <c r="R16" s="2"/>
      <c r="S16" s="2"/>
      <c r="T16" s="2"/>
      <c r="U16" s="2" t="s">
        <v>373</v>
      </c>
      <c r="V16" t="s">
        <v>350</v>
      </c>
      <c r="W16" s="19">
        <f>+((SUMIFS(TablaGeneral[Resumen de Jornales tractoristas de Cosecha],TablaGeneral[Finca],"El Espejo I")*10*INDEX(Tabla2[Combustible],MATCH(W$2,Tabla2[Mes],0))*0.2/W1)+(SUMIFS(TablaGeneral[Resumen de Jornales tractoristas de Cosecha],TablaGeneral[Finca],"El Espejo II")*10*INDEX(Tabla2[Combustible],MATCH(W$2,Tabla2[Mes],0))*0.2))/W1</f>
        <v>337.12014198498849</v>
      </c>
      <c r="X16" s="19">
        <f>+((SUMIFS(TablaGeneral[Resumen de Jornales tractoristas de Cosecha],TablaGeneral[Finca],"El Espejo I")*10*INDEX(Tabla2[Combustible],MATCH(X$2,Tabla2[Mes],0))*0.2/X1)+(SUMIFS(TablaGeneral[Resumen de Jornales tractoristas de Cosecha],TablaGeneral[Finca],"El Espejo II")*10*INDEX(Tabla2[Combustible],MATCH(X$2,Tabla2[Mes],0))*0.2))/X1</f>
        <v>337.117336396913</v>
      </c>
      <c r="Y16" s="19">
        <f>+((SUMIFS(TablaGeneral[Resumen de Jornales tractoristas de Cosecha],TablaGeneral[Finca],"El Espejo I")*10*INDEX(Tabla2[Combustible],MATCH(Y$2,Tabla2[Mes],0))*0.2/Y1)+(SUMIFS(TablaGeneral[Resumen de Jornales tractoristas de Cosecha],TablaGeneral[Finca],"El Espejo II")*10*INDEX(Tabla2[Combustible],MATCH(Y$2,Tabla2[Mes],0))*0.2))/Y1</f>
        <v>337.11455858693728</v>
      </c>
      <c r="Z16" s="2">
        <v>0</v>
      </c>
      <c r="AB16">
        <f>+SUM(Cosechas[[#This Row],[Enero]:[Abril]])/55.89</f>
        <v>18.095402343332239</v>
      </c>
      <c r="AD16">
        <f>+W14/SUM(W14:Y14)</f>
        <v>0.33740458015267172</v>
      </c>
      <c r="AE16">
        <f>+X14/SUM(W14:Y14)</f>
        <v>0.33740458015267172</v>
      </c>
      <c r="AF16">
        <f>+Y14/SUM(W14:Y14)</f>
        <v>0.32519083969465651</v>
      </c>
    </row>
    <row r="17" spans="1:32">
      <c r="A17" t="s">
        <v>8</v>
      </c>
      <c r="B17" t="s">
        <v>6</v>
      </c>
      <c r="C17" t="s">
        <v>129</v>
      </c>
      <c r="D17" t="s">
        <v>41</v>
      </c>
      <c r="E17" s="137">
        <v>366060</v>
      </c>
      <c r="F17" s="25">
        <v>3.8218190498925759</v>
      </c>
      <c r="G17">
        <f>+COSECHA[[#This Row],[KG]]/300</f>
        <v>244.04</v>
      </c>
      <c r="H17">
        <f>+IFERROR(COSECHA[[#This Row],[KG uva]]/COUNTIFS(COSECHA[Finca],COSECHA[[#This Row],[Finca]],COSECHA[Variedad],COSECHA[[#This Row],[Variedad]],COSECHA[Tipo de Cosecha],COSECHA[[#This Row],[Tipo de Cosecha]]),0)</f>
        <v>73212</v>
      </c>
      <c r="I17">
        <v>4</v>
      </c>
      <c r="J17" s="43"/>
      <c r="K17" s="43" t="s">
        <v>97</v>
      </c>
      <c r="L17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1234755.2502109346</v>
      </c>
      <c r="M17" s="43">
        <f>+IFERROR(INDEX(Tabla2[Precio Jornal],MATCH(COSECHA[[#This Row],[Mes]],Tabla2[Mes],0))*COSECHA[[#This Row],[Jornales]],0)</f>
        <v>85815.889310097875</v>
      </c>
      <c r="N17" s="2">
        <f>+COSECHA[[#This Row],[Jornales $]]+SUM(COSECHA[[#This Row],[PA]:[EE III]])</f>
        <v>2061424.2896475934</v>
      </c>
      <c r="O17" s="2" t="str">
        <f>+IF(COSECHA[[#This Row],[Finca]]="Puente Alto",INDEX(Tabla2[kg pa],MATCH(COSECHA[[#This Row],[Mes]],Tabla2[Mes],0))*COSECHA[[#This Row],[KG]],"")</f>
        <v/>
      </c>
      <c r="P17" s="2">
        <f>+INDEX(Tabla2[kg pa],MATCH(COSECHA[[#This Row],[Mes]],Tabla2[Mes],0))*COSECHA[[#This Row],[KG]]</f>
        <v>1975608.4003374956</v>
      </c>
      <c r="Q17" s="2"/>
      <c r="R17" s="2"/>
      <c r="S17" s="2"/>
      <c r="T17" s="2"/>
      <c r="U17" s="2" t="s">
        <v>373</v>
      </c>
      <c r="V17" t="s">
        <v>349</v>
      </c>
      <c r="W17">
        <v>0</v>
      </c>
      <c r="X17">
        <v>0</v>
      </c>
      <c r="Y17">
        <v>0</v>
      </c>
      <c r="Z17" s="2">
        <v>0</v>
      </c>
      <c r="AB17">
        <f>+SUM(Cosechas[[#This Row],[Enero]:[Abril]])/55.89</f>
        <v>0</v>
      </c>
      <c r="AD17">
        <f>831760/300/16</f>
        <v>173.28333333333333</v>
      </c>
    </row>
    <row r="18" spans="1:32">
      <c r="A18" t="s">
        <v>8</v>
      </c>
      <c r="B18" t="s">
        <v>6</v>
      </c>
      <c r="C18" t="s">
        <v>130</v>
      </c>
      <c r="D18" t="s">
        <v>41</v>
      </c>
      <c r="E18" s="137">
        <v>366060</v>
      </c>
      <c r="F18" s="25">
        <v>19.109095249462879</v>
      </c>
      <c r="G18">
        <f>+COSECHA[[#This Row],[KG]]/300</f>
        <v>244.04</v>
      </c>
      <c r="H18">
        <f>+IFERROR(COSECHA[[#This Row],[KG uva]]/COUNTIFS(COSECHA[Finca],COSECHA[[#This Row],[Finca]],COSECHA[Variedad],COSECHA[[#This Row],[Variedad]],COSECHA[Tipo de Cosecha],COSECHA[[#This Row],[Tipo de Cosecha]]),0)</f>
        <v>73212</v>
      </c>
      <c r="I18">
        <v>4</v>
      </c>
      <c r="J18" s="43"/>
      <c r="K18" s="43" t="s">
        <v>97</v>
      </c>
      <c r="L18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1234755.2502109346</v>
      </c>
      <c r="M18" s="43">
        <f>+IFERROR(INDEX(Tabla2[Precio Jornal],MATCH(COSECHA[[#This Row],[Mes]],Tabla2[Mes],0))*COSECHA[[#This Row],[Jornales]],0)</f>
        <v>429079.4465504894</v>
      </c>
      <c r="N18" s="2">
        <f>+COSECHA[[#This Row],[Jornales $]]+SUM(COSECHA[[#This Row],[PA]:[EE III]])</f>
        <v>2404687.8468879852</v>
      </c>
      <c r="O18" s="2" t="str">
        <f>+IF(COSECHA[[#This Row],[Finca]]="Puente Alto",INDEX(Tabla2[kg pa],MATCH(COSECHA[[#This Row],[Mes]],Tabla2[Mes],0))*COSECHA[[#This Row],[KG]],"")</f>
        <v/>
      </c>
      <c r="P18" s="2">
        <f>+INDEX(Tabla2[kg pa],MATCH(COSECHA[[#This Row],[Mes]],Tabla2[Mes],0))*COSECHA[[#This Row],[KG]]</f>
        <v>1975608.4003374956</v>
      </c>
      <c r="Q18" s="2"/>
      <c r="R18" s="2"/>
      <c r="S18" s="2"/>
      <c r="T18" s="2"/>
      <c r="U18" s="2" t="s">
        <v>373</v>
      </c>
      <c r="V18" t="s">
        <v>351</v>
      </c>
      <c r="W18">
        <v>0</v>
      </c>
      <c r="X18">
        <v>0</v>
      </c>
      <c r="Y18">
        <v>0</v>
      </c>
      <c r="Z18" s="2">
        <v>0</v>
      </c>
      <c r="AB18">
        <f>+SUM(Cosechas[[#This Row],[Enero]:[Abril]])/55.89</f>
        <v>0</v>
      </c>
      <c r="AD18" s="2">
        <f>64000*AD17</f>
        <v>11090133.333333334</v>
      </c>
    </row>
    <row r="19" spans="1:32">
      <c r="A19" t="s">
        <v>8</v>
      </c>
      <c r="B19" t="s">
        <v>7</v>
      </c>
      <c r="C19" t="s">
        <v>126</v>
      </c>
      <c r="D19" t="s">
        <v>41</v>
      </c>
      <c r="E19" s="137">
        <v>347400</v>
      </c>
      <c r="F19" s="25">
        <v>10.969382115618435</v>
      </c>
      <c r="G19">
        <f>+COSECHA[[#This Row],[KG]]/300</f>
        <v>231.6</v>
      </c>
      <c r="H19">
        <f>+IFERROR(COSECHA[[#This Row],[KG uva]]/COUNTIFS(COSECHA[Finca],COSECHA[[#This Row],[Finca]],COSECHA[Variedad],COSECHA[[#This Row],[Variedad]],COSECHA[Tipo de Cosecha],COSECHA[[#This Row],[Tipo de Cosecha]]),0)</f>
        <v>69480</v>
      </c>
      <c r="I19">
        <v>3</v>
      </c>
      <c r="J19" s="43"/>
      <c r="K19" s="43" t="s">
        <v>98</v>
      </c>
      <c r="L19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1207043.527674654</v>
      </c>
      <c r="M19" s="43">
        <f>+IFERROR(INDEX(Tabla2[Precio Jornal],MATCH(COSECHA[[#This Row],[Mes]],Tabla2[Mes],0))*COSECHA[[#This Row],[Jornales]],0)</f>
        <v>250477.06510445449</v>
      </c>
      <c r="N19" s="2">
        <f>+COSECHA[[#This Row],[Jornales $]]+SUM(COSECHA[[#This Row],[PA]:[EE III]])</f>
        <v>2181746.7093839007</v>
      </c>
      <c r="O19" s="2" t="str">
        <f>+IF(COSECHA[[#This Row],[Finca]]="Puente Alto",INDEX(Tabla2[kg pa],MATCH(COSECHA[[#This Row],[Mes]],Tabla2[Mes],0))*COSECHA[[#This Row],[KG]],"")</f>
        <v/>
      </c>
      <c r="P19" s="2">
        <f>+INDEX(Tabla2[kg pa],MATCH(COSECHA[[#This Row],[Mes]],Tabla2[Mes],0))*COSECHA[[#This Row],[KG]]</f>
        <v>1931269.6442794465</v>
      </c>
      <c r="Q19" s="2"/>
      <c r="R19" s="2"/>
      <c r="S19" s="2"/>
      <c r="T19" s="2"/>
      <c r="U19" s="2" t="s">
        <v>15</v>
      </c>
      <c r="V19" t="s">
        <v>131</v>
      </c>
      <c r="W19" s="104">
        <f>+SUMIFS(COSECHA[Cosecha],COSECHA[Finca],"El Espejo III",COSECHA[Mes],W$2)/W1</f>
        <v>26098.239928221843</v>
      </c>
      <c r="X19" s="104">
        <f>+SUMIFS(COSECHA[Cosecha],COSECHA[Finca],"El Espejo III",COSECHA[Mes],X$2)/X1</f>
        <v>12165.500394556195</v>
      </c>
      <c r="Y19" s="104">
        <f>+SUMIFS(COSECHA[Cosecha],COSECHA[Finca],"El Espejo III",COSECHA[Mes],Y$2)/Y1</f>
        <v>0</v>
      </c>
      <c r="Z19" s="104">
        <v>0</v>
      </c>
      <c r="AB19">
        <f>+SUM(Cosechas[[#This Row],[Enero]:[Abril]])/63.7</f>
        <v>600.68666126810103</v>
      </c>
      <c r="AD19">
        <f>+$AD$18*AD16</f>
        <v>3741861.7811704832</v>
      </c>
      <c r="AE19">
        <f>+$AD$18*AE16</f>
        <v>3741861.7811704832</v>
      </c>
      <c r="AF19">
        <f>+$AD$18*AF16</f>
        <v>3606409.7709923671</v>
      </c>
    </row>
    <row r="20" spans="1:32">
      <c r="A20" t="s">
        <v>8</v>
      </c>
      <c r="B20" t="s">
        <v>7</v>
      </c>
      <c r="C20" t="s">
        <v>127</v>
      </c>
      <c r="D20" t="s">
        <v>41</v>
      </c>
      <c r="E20" s="137">
        <v>347400</v>
      </c>
      <c r="F20" s="25">
        <v>10.969382115618435</v>
      </c>
      <c r="G20">
        <f>+COSECHA[[#This Row],[KG]]/300</f>
        <v>231.6</v>
      </c>
      <c r="H20">
        <f>+IFERROR(COSECHA[[#This Row],[KG uva]]/COUNTIFS(COSECHA[Finca],COSECHA[[#This Row],[Finca]],COSECHA[Variedad],COSECHA[[#This Row],[Variedad]],COSECHA[Tipo de Cosecha],COSECHA[[#This Row],[Tipo de Cosecha]]),0)</f>
        <v>69480</v>
      </c>
      <c r="I20">
        <v>3</v>
      </c>
      <c r="J20" s="43"/>
      <c r="K20" s="43" t="s">
        <v>98</v>
      </c>
      <c r="L20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1207043.527674654</v>
      </c>
      <c r="M20" s="43">
        <f>+IFERROR(INDEX(Tabla2[Precio Jornal],MATCH(COSECHA[[#This Row],[Mes]],Tabla2[Mes],0))*COSECHA[[#This Row],[Jornales]],0)</f>
        <v>250477.06510445449</v>
      </c>
      <c r="N20" s="2">
        <f>+COSECHA[[#This Row],[Jornales $]]+SUM(COSECHA[[#This Row],[PA]:[EE III]])</f>
        <v>2181746.7093839007</v>
      </c>
      <c r="O20" s="2" t="str">
        <f>+IF(COSECHA[[#This Row],[Finca]]="Puente Alto",INDEX(Tabla2[kg pa],MATCH(COSECHA[[#This Row],[Mes]],Tabla2[Mes],0))*COSECHA[[#This Row],[KG]],"")</f>
        <v/>
      </c>
      <c r="P20" s="2">
        <f>+INDEX(Tabla2[kg pa],MATCH(COSECHA[[#This Row],[Mes]],Tabla2[Mes],0))*COSECHA[[#This Row],[KG]]</f>
        <v>1931269.6442794465</v>
      </c>
      <c r="Q20" s="2"/>
      <c r="R20" s="2"/>
      <c r="S20" s="2"/>
      <c r="T20" s="2"/>
      <c r="U20" s="2" t="s">
        <v>15</v>
      </c>
      <c r="V20" t="s">
        <v>350</v>
      </c>
      <c r="W20" s="19">
        <f>+(SUMIFS(TablaGeneral[Resumen de Jornales tractoristas de Cosecha],TablaGeneral[Finca],"El Espejo III")*10*INDEX(Tabla2[Combustible],MATCH(W$2,Tabla2[Mes],0))*0.2)/W1</f>
        <v>332.10264404010172</v>
      </c>
      <c r="X20" s="19">
        <f>+(SUMIFS(TablaGeneral[Resumen de Jornales tractoristas de Cosecha],TablaGeneral[Finca],"El Espejo III")*10*INDEX(Tabla2[Combustible],MATCH(X$2,Tabla2[Mes],0))*0.2)/X1</f>
        <v>332.10264404010172</v>
      </c>
      <c r="Y20" s="19">
        <f>+(SUMIFS(TablaGeneral[Resumen de Jornales tractoristas de Cosecha],TablaGeneral[Finca],"El Espejo III")*10*INDEX(Tabla2[Combustible],MATCH(Y$2,Tabla2[Mes],0))*0.2)/Y1</f>
        <v>332.10264404010172</v>
      </c>
      <c r="Z20" s="19">
        <v>0</v>
      </c>
      <c r="AB20">
        <f>+SUM(Cosechas[[#This Row],[Enero]:[Abril]])/63.7</f>
        <v>15.640626877869781</v>
      </c>
      <c r="AD20">
        <f>+AD19/W1</f>
        <v>3066.1460299545006</v>
      </c>
      <c r="AE20">
        <f t="shared" ref="AE20:AF20" si="2">+AE19/X1</f>
        <v>3035.7881484698028</v>
      </c>
      <c r="AF20">
        <f t="shared" si="2"/>
        <v>2896.9261037770179</v>
      </c>
    </row>
    <row r="21" spans="1:32">
      <c r="A21" t="s">
        <v>8</v>
      </c>
      <c r="B21" t="s">
        <v>7</v>
      </c>
      <c r="C21" t="s">
        <v>128</v>
      </c>
      <c r="D21" t="s">
        <v>41</v>
      </c>
      <c r="E21" s="137">
        <v>347400</v>
      </c>
      <c r="F21" s="25">
        <v>43.877489662880812</v>
      </c>
      <c r="G21">
        <f>+COSECHA[[#This Row],[KG]]/300</f>
        <v>231.6</v>
      </c>
      <c r="H21">
        <f>+IFERROR(COSECHA[[#This Row],[KG uva]]/COUNTIFS(COSECHA[Finca],COSECHA[[#This Row],[Finca]],COSECHA[Variedad],COSECHA[[#This Row],[Variedad]],COSECHA[Tipo de Cosecha],COSECHA[[#This Row],[Tipo de Cosecha]]),0)</f>
        <v>69480</v>
      </c>
      <c r="I21">
        <v>3</v>
      </c>
      <c r="J21" s="43"/>
      <c r="K21" s="43" t="s">
        <v>98</v>
      </c>
      <c r="L21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1207043.527674654</v>
      </c>
      <c r="M21" s="43">
        <f>+IFERROR(INDEX(Tabla2[Precio Jornal],MATCH(COSECHA[[#This Row],[Mes]],Tabla2[Mes],0))*COSECHA[[#This Row],[Jornales]],0)</f>
        <v>1001907.374460153</v>
      </c>
      <c r="N21" s="2">
        <f>+COSECHA[[#This Row],[Jornales $]]+SUM(COSECHA[[#This Row],[PA]:[EE III]])</f>
        <v>2933177.0187395997</v>
      </c>
      <c r="O21" s="2" t="str">
        <f>+IF(COSECHA[[#This Row],[Finca]]="Puente Alto",INDEX(Tabla2[kg pa],MATCH(COSECHA[[#This Row],[Mes]],Tabla2[Mes],0))*COSECHA[[#This Row],[KG]],"")</f>
        <v/>
      </c>
      <c r="P21" s="2">
        <f>+INDEX(Tabla2[kg pa],MATCH(COSECHA[[#This Row],[Mes]],Tabla2[Mes],0))*COSECHA[[#This Row],[KG]]</f>
        <v>1931269.6442794465</v>
      </c>
      <c r="Q21" s="2"/>
      <c r="R21" s="2"/>
      <c r="S21" s="2"/>
      <c r="T21" s="2"/>
      <c r="U21" s="2" t="s">
        <v>15</v>
      </c>
      <c r="V21" t="s">
        <v>349</v>
      </c>
      <c r="W21">
        <v>0</v>
      </c>
      <c r="X21">
        <v>0</v>
      </c>
      <c r="Y21">
        <v>0</v>
      </c>
      <c r="Z21" s="2">
        <v>0</v>
      </c>
      <c r="AB21">
        <f>+SUM(Cosechas[[#This Row],[Enero]:[Abril]])/63.7</f>
        <v>0</v>
      </c>
    </row>
    <row r="22" spans="1:32">
      <c r="A22" t="s">
        <v>8</v>
      </c>
      <c r="B22" t="s">
        <v>7</v>
      </c>
      <c r="C22" t="s">
        <v>129</v>
      </c>
      <c r="D22" t="s">
        <v>41</v>
      </c>
      <c r="E22" s="137">
        <v>347400</v>
      </c>
      <c r="F22" s="25">
        <v>4.3877489662880809</v>
      </c>
      <c r="G22">
        <f>+COSECHA[[#This Row],[KG]]/300</f>
        <v>231.6</v>
      </c>
      <c r="H22">
        <f>+IFERROR(COSECHA[[#This Row],[KG uva]]/COUNTIFS(COSECHA[Finca],COSECHA[[#This Row],[Finca]],COSECHA[Variedad],COSECHA[[#This Row],[Variedad]],COSECHA[Tipo de Cosecha],COSECHA[[#This Row],[Tipo de Cosecha]]),0)</f>
        <v>69480</v>
      </c>
      <c r="I22">
        <v>3</v>
      </c>
      <c r="J22" s="43"/>
      <c r="K22" s="43" t="s">
        <v>98</v>
      </c>
      <c r="L22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1207043.527674654</v>
      </c>
      <c r="M22" s="43">
        <f>+IFERROR(INDEX(Tabla2[Precio Jornal],MATCH(COSECHA[[#This Row],[Mes]],Tabla2[Mes],0))*COSECHA[[#This Row],[Jornales]],0)</f>
        <v>100190.73744601529</v>
      </c>
      <c r="N22" s="2">
        <f>+COSECHA[[#This Row],[Jornales $]]+SUM(COSECHA[[#This Row],[PA]:[EE III]])</f>
        <v>2031460.3817254617</v>
      </c>
      <c r="O22" s="2" t="str">
        <f>+IF(COSECHA[[#This Row],[Finca]]="Puente Alto",INDEX(Tabla2[kg pa],MATCH(COSECHA[[#This Row],[Mes]],Tabla2[Mes],0))*COSECHA[[#This Row],[KG]],"")</f>
        <v/>
      </c>
      <c r="P22" s="2">
        <f>+INDEX(Tabla2[kg pa],MATCH(COSECHA[[#This Row],[Mes]],Tabla2[Mes],0))*COSECHA[[#This Row],[KG]]</f>
        <v>1931269.6442794465</v>
      </c>
      <c r="Q22" s="2"/>
      <c r="R22" s="2"/>
      <c r="S22" s="2"/>
      <c r="T22" s="2"/>
      <c r="U22" s="2" t="s">
        <v>15</v>
      </c>
      <c r="V22" t="s">
        <v>351</v>
      </c>
      <c r="W22">
        <v>0</v>
      </c>
      <c r="X22">
        <v>0</v>
      </c>
      <c r="Y22">
        <v>0</v>
      </c>
      <c r="Z22" s="2">
        <v>0</v>
      </c>
      <c r="AB22">
        <f>+SUM(Cosechas[[#This Row],[Enero]:[Abril]])/63.7</f>
        <v>0</v>
      </c>
    </row>
    <row r="23" spans="1:32">
      <c r="A23" t="s">
        <v>8</v>
      </c>
      <c r="B23" t="s">
        <v>7</v>
      </c>
      <c r="C23" t="s">
        <v>130</v>
      </c>
      <c r="D23" t="s">
        <v>41</v>
      </c>
      <c r="E23" s="137">
        <v>347400</v>
      </c>
      <c r="F23" s="25">
        <v>21.938667232597624</v>
      </c>
      <c r="G23">
        <f>+COSECHA[[#This Row],[KG]]/300</f>
        <v>231.6</v>
      </c>
      <c r="H23">
        <f>+IFERROR(COSECHA[[#This Row],[KG uva]]/COUNTIFS(COSECHA[Finca],COSECHA[[#This Row],[Finca]],COSECHA[Variedad],COSECHA[[#This Row],[Variedad]],COSECHA[Tipo de Cosecha],COSECHA[[#This Row],[Tipo de Cosecha]]),0)</f>
        <v>69480</v>
      </c>
      <c r="I23">
        <v>3</v>
      </c>
      <c r="J23" s="43"/>
      <c r="K23" s="43" t="s">
        <v>98</v>
      </c>
      <c r="L23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1207043.527674654</v>
      </c>
      <c r="M23" s="43">
        <f>+IFERROR(INDEX(Tabla2[Precio Jornal],MATCH(COSECHA[[#This Row],[Mes]],Tabla2[Mes],0))*COSECHA[[#This Row],[Jornales]],0)</f>
        <v>500951.91532258067</v>
      </c>
      <c r="N23" s="2">
        <f>+COSECHA[[#This Row],[Jornales $]]+SUM(COSECHA[[#This Row],[PA]:[EE III]])</f>
        <v>2432221.5596020273</v>
      </c>
      <c r="O23" s="2" t="str">
        <f>+IF(COSECHA[[#This Row],[Finca]]="Puente Alto",INDEX(Tabla2[kg pa],MATCH(COSECHA[[#This Row],[Mes]],Tabla2[Mes],0))*COSECHA[[#This Row],[KG]],"")</f>
        <v/>
      </c>
      <c r="P23" s="2">
        <f>+INDEX(Tabla2[kg pa],MATCH(COSECHA[[#This Row],[Mes]],Tabla2[Mes],0))*COSECHA[[#This Row],[KG]]</f>
        <v>1931269.6442794465</v>
      </c>
      <c r="Q23" s="2"/>
      <c r="R23" s="2"/>
      <c r="S23" s="2"/>
      <c r="T23" s="2"/>
      <c r="U23" s="2"/>
    </row>
    <row r="24" spans="1:32">
      <c r="A24" t="s">
        <v>8</v>
      </c>
      <c r="B24" t="s">
        <v>9</v>
      </c>
      <c r="C24" t="s">
        <v>126</v>
      </c>
      <c r="D24" t="s">
        <v>42</v>
      </c>
      <c r="E24" s="137">
        <v>86700</v>
      </c>
      <c r="F24" s="25">
        <v>3.9250417760802101</v>
      </c>
      <c r="H24">
        <f>+IFERROR(COSECHA[[#This Row],[KG uva]]/COUNTIFS(COSECHA[Finca],COSECHA[[#This Row],[Finca]],COSECHA[Variedad],COSECHA[[#This Row],[Variedad]],COSECHA[Tipo de Cosecha],COSECHA[[#This Row],[Tipo de Cosecha]]),0)</f>
        <v>17340</v>
      </c>
      <c r="J24" s="43">
        <f>+COSECHA[[#This Row],[KG]]/1625</f>
        <v>10.670769230769231</v>
      </c>
      <c r="K24" s="43" t="s">
        <v>97</v>
      </c>
      <c r="L24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421124.19679379003</v>
      </c>
      <c r="M24" s="43">
        <f>+IFERROR(INDEX(Tabla2[Precio Jornal],MATCH(COSECHA[[#This Row],[Mes]],Tabla2[Mes],0))*COSECHA[[#This Row],[Jornales]],0)</f>
        <v>88133.673048460259</v>
      </c>
      <c r="N24" s="2">
        <f>+COSECHA[[#This Row],[Jornales $]]+SUM(COSECHA[[#This Row],[PA]:[EE III]])</f>
        <v>509257.86984225031</v>
      </c>
      <c r="O24" s="2" t="str">
        <f>+IF(COSECHA[[#This Row],[Finca]]="Puente Alto",INDEX(Tabla2[kg pa],MATCH(COSECHA[[#This Row],[Mes]],Tabla2[Mes],0))*COSECHA[[#This Row],[KG]],"")</f>
        <v/>
      </c>
      <c r="P24" s="2">
        <f>+IF(COSECHA[[#This Row],[Tipo de Cosecha]]="Carro",INDEX(Tabla2[Precio Kg Uva Carro],MATCH(COSECHA[[#This Row],[Mes]],Tabla2[Mes],0)),"")*COSECHA[[#This Row],[KG]]</f>
        <v>421124.19679379003</v>
      </c>
      <c r="Q24" s="2"/>
      <c r="R24" s="2"/>
      <c r="S24" s="2"/>
      <c r="T24" s="2"/>
      <c r="U24" s="2"/>
    </row>
    <row r="25" spans="1:32">
      <c r="A25" t="s">
        <v>8</v>
      </c>
      <c r="B25" t="s">
        <v>9</v>
      </c>
      <c r="C25" t="s">
        <v>127</v>
      </c>
      <c r="D25" t="s">
        <v>42</v>
      </c>
      <c r="E25" s="137">
        <v>86700</v>
      </c>
      <c r="F25" s="25">
        <v>3.9250417760802101</v>
      </c>
      <c r="H25">
        <f>+IFERROR(COSECHA[[#This Row],[KG uva]]/COUNTIFS(COSECHA[Finca],COSECHA[[#This Row],[Finca]],COSECHA[Variedad],COSECHA[[#This Row],[Variedad]],COSECHA[Tipo de Cosecha],COSECHA[[#This Row],[Tipo de Cosecha]]),0)</f>
        <v>17340</v>
      </c>
      <c r="J25" s="43">
        <f>+COSECHA[[#This Row],[KG]]/1625</f>
        <v>10.670769230769231</v>
      </c>
      <c r="K25" s="43" t="s">
        <v>97</v>
      </c>
      <c r="L25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421124.19679379003</v>
      </c>
      <c r="M25" s="43">
        <f>+IFERROR(INDEX(Tabla2[Precio Jornal],MATCH(COSECHA[[#This Row],[Mes]],Tabla2[Mes],0))*COSECHA[[#This Row],[Jornales]],0)</f>
        <v>88133.673048460259</v>
      </c>
      <c r="N25" s="2">
        <f>+COSECHA[[#This Row],[Jornales $]]+SUM(COSECHA[[#This Row],[PA]:[EE III]])</f>
        <v>509257.86984225031</v>
      </c>
      <c r="O25" s="2" t="str">
        <f>+IF(COSECHA[[#This Row],[Finca]]="Puente Alto",INDEX(Tabla2[kg pa],MATCH(COSECHA[[#This Row],[Mes]],Tabla2[Mes],0))*COSECHA[[#This Row],[KG]],"")</f>
        <v/>
      </c>
      <c r="P25" s="2">
        <f>+IF(COSECHA[[#This Row],[Tipo de Cosecha]]="Carro",INDEX(Tabla2[Precio Kg Uva Carro],MATCH(COSECHA[[#This Row],[Mes]],Tabla2[Mes],0)),"")*COSECHA[[#This Row],[KG]]</f>
        <v>421124.19679379003</v>
      </c>
      <c r="Q25" s="2"/>
      <c r="R25" s="2"/>
      <c r="S25" s="2"/>
      <c r="T25" s="2"/>
      <c r="U25" s="2"/>
    </row>
    <row r="26" spans="1:32">
      <c r="A26" t="s">
        <v>8</v>
      </c>
      <c r="B26" t="s">
        <v>9</v>
      </c>
      <c r="C26" t="s">
        <v>128</v>
      </c>
      <c r="D26" t="s">
        <v>42</v>
      </c>
      <c r="E26" s="137">
        <v>86700</v>
      </c>
      <c r="F26" s="25">
        <v>15.70016710432084</v>
      </c>
      <c r="H26">
        <f>+IFERROR(COSECHA[[#This Row],[KG uva]]/COUNTIFS(COSECHA[Finca],COSECHA[[#This Row],[Finca]],COSECHA[Variedad],COSECHA[[#This Row],[Variedad]],COSECHA[Tipo de Cosecha],COSECHA[[#This Row],[Tipo de Cosecha]]),0)</f>
        <v>17340</v>
      </c>
      <c r="J26" s="43">
        <f>+COSECHA[[#This Row],[KG]]/1625</f>
        <v>10.670769230769231</v>
      </c>
      <c r="K26" s="43" t="s">
        <v>97</v>
      </c>
      <c r="L26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421124.19679379003</v>
      </c>
      <c r="M26" s="43">
        <f>+IFERROR(INDEX(Tabla2[Precio Jornal],MATCH(COSECHA[[#This Row],[Mes]],Tabla2[Mes],0))*COSECHA[[#This Row],[Jornales]],0)</f>
        <v>352534.69219384104</v>
      </c>
      <c r="N26" s="2">
        <f>+COSECHA[[#This Row],[Jornales $]]+SUM(COSECHA[[#This Row],[PA]:[EE III]])</f>
        <v>773658.88898763107</v>
      </c>
      <c r="O26" s="2" t="str">
        <f>+IF(COSECHA[[#This Row],[Finca]]="Puente Alto",INDEX(Tabla2[kg pa],MATCH(COSECHA[[#This Row],[Mes]],Tabla2[Mes],0))*COSECHA[[#This Row],[KG]],"")</f>
        <v/>
      </c>
      <c r="P26" s="2">
        <f>+IF(COSECHA[[#This Row],[Tipo de Cosecha]]="Carro",INDEX(Tabla2[Precio Kg Uva Carro],MATCH(COSECHA[[#This Row],[Mes]],Tabla2[Mes],0)),"")*COSECHA[[#This Row],[KG]]</f>
        <v>421124.19679379003</v>
      </c>
      <c r="Q26" s="2"/>
      <c r="R26" s="2"/>
      <c r="S26" s="2"/>
      <c r="T26" s="2"/>
      <c r="U26" s="2"/>
    </row>
    <row r="27" spans="1:32">
      <c r="A27" t="s">
        <v>8</v>
      </c>
      <c r="B27" t="s">
        <v>9</v>
      </c>
      <c r="C27" t="s">
        <v>129</v>
      </c>
      <c r="D27" t="s">
        <v>42</v>
      </c>
      <c r="E27" s="137">
        <v>86700</v>
      </c>
      <c r="F27" s="25">
        <v>1.5700167104320841</v>
      </c>
      <c r="H27">
        <f>+IFERROR(COSECHA[[#This Row],[KG uva]]/COUNTIFS(COSECHA[Finca],COSECHA[[#This Row],[Finca]],COSECHA[Variedad],COSECHA[[#This Row],[Variedad]],COSECHA[Tipo de Cosecha],COSECHA[[#This Row],[Tipo de Cosecha]]),0)</f>
        <v>17340</v>
      </c>
      <c r="J27" s="43">
        <f>+COSECHA[[#This Row],[KG]]/1625</f>
        <v>10.670769230769231</v>
      </c>
      <c r="K27" s="43" t="s">
        <v>97</v>
      </c>
      <c r="L27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421124.19679379003</v>
      </c>
      <c r="M27" s="43">
        <f>+IFERROR(INDEX(Tabla2[Precio Jornal],MATCH(COSECHA[[#This Row],[Mes]],Tabla2[Mes],0))*COSECHA[[#This Row],[Jornales]],0)</f>
        <v>35253.469219384104</v>
      </c>
      <c r="N27" s="2">
        <f>+COSECHA[[#This Row],[Jornales $]]+SUM(COSECHA[[#This Row],[PA]:[EE III]])</f>
        <v>456377.66601317411</v>
      </c>
      <c r="O27" s="2" t="str">
        <f>+IF(COSECHA[[#This Row],[Finca]]="Puente Alto",INDEX(Tabla2[kg pa],MATCH(COSECHA[[#This Row],[Mes]],Tabla2[Mes],0))*COSECHA[[#This Row],[KG]],"")</f>
        <v/>
      </c>
      <c r="P27" s="2">
        <f>+IF(COSECHA[[#This Row],[Tipo de Cosecha]]="Carro",INDEX(Tabla2[Precio Kg Uva Carro],MATCH(COSECHA[[#This Row],[Mes]],Tabla2[Mes],0)),"")*COSECHA[[#This Row],[KG]]</f>
        <v>421124.19679379003</v>
      </c>
      <c r="Q27" s="2"/>
      <c r="R27" s="2"/>
      <c r="S27" s="2"/>
      <c r="T27" s="2"/>
      <c r="U27" s="2"/>
    </row>
    <row r="28" spans="1:32">
      <c r="A28" t="s">
        <v>8</v>
      </c>
      <c r="B28" t="s">
        <v>9</v>
      </c>
      <c r="C28" t="s">
        <v>130</v>
      </c>
      <c r="D28" t="s">
        <v>42</v>
      </c>
      <c r="E28" s="137">
        <v>86700</v>
      </c>
      <c r="F28" s="25">
        <v>7.8500835521604202</v>
      </c>
      <c r="H28">
        <f>+IFERROR(COSECHA[[#This Row],[KG uva]]/COUNTIFS(COSECHA[Finca],COSECHA[[#This Row],[Finca]],COSECHA[Variedad],COSECHA[[#This Row],[Variedad]],COSECHA[Tipo de Cosecha],COSECHA[[#This Row],[Tipo de Cosecha]]),0)</f>
        <v>17340</v>
      </c>
      <c r="J28" s="43">
        <f>+COSECHA[[#This Row],[KG]]/1625</f>
        <v>10.670769230769231</v>
      </c>
      <c r="K28" s="43" t="s">
        <v>97</v>
      </c>
      <c r="L28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421124.19679379003</v>
      </c>
      <c r="M28" s="43">
        <f>+IFERROR(INDEX(Tabla2[Precio Jornal],MATCH(COSECHA[[#This Row],[Mes]],Tabla2[Mes],0))*COSECHA[[#This Row],[Jornales]],0)</f>
        <v>176267.34609692052</v>
      </c>
      <c r="N28" s="2">
        <f>+COSECHA[[#This Row],[Jornales $]]+SUM(COSECHA[[#This Row],[PA]:[EE III]])</f>
        <v>597391.54289071052</v>
      </c>
      <c r="O28" s="2" t="str">
        <f>+IF(COSECHA[[#This Row],[Finca]]="Puente Alto",INDEX(Tabla2[kg pa],MATCH(COSECHA[[#This Row],[Mes]],Tabla2[Mes],0))*COSECHA[[#This Row],[KG]],"")</f>
        <v/>
      </c>
      <c r="P28" s="2">
        <f>+IF(COSECHA[[#This Row],[Tipo de Cosecha]]="Carro",INDEX(Tabla2[Precio Kg Uva Carro],MATCH(COSECHA[[#This Row],[Mes]],Tabla2[Mes],0)),"")*COSECHA[[#This Row],[KG]]</f>
        <v>421124.19679379003</v>
      </c>
      <c r="Q28" s="2"/>
      <c r="R28" s="2"/>
      <c r="S28" s="2"/>
      <c r="T28" s="2"/>
      <c r="U28" s="2"/>
    </row>
    <row r="29" spans="1:32">
      <c r="A29" t="s">
        <v>8</v>
      </c>
      <c r="B29" t="s">
        <v>10</v>
      </c>
      <c r="C29" t="s">
        <v>126</v>
      </c>
      <c r="D29" t="s">
        <v>42</v>
      </c>
      <c r="E29" s="137">
        <v>555850</v>
      </c>
      <c r="F29" s="25">
        <v>6.9123473363675068</v>
      </c>
      <c r="H29">
        <f>+IFERROR(COSECHA[[#This Row],[KG uva]]/COUNTIFS(COSECHA[Finca],COSECHA[[#This Row],[Finca]],COSECHA[Variedad],COSECHA[[#This Row],[Variedad]],COSECHA[Tipo de Cosecha],COSECHA[[#This Row],[Tipo de Cosecha]]),0)</f>
        <v>111170</v>
      </c>
      <c r="J29" s="43">
        <f>+COSECHA[[#This Row],[KG]]/1625</f>
        <v>68.412307692307692</v>
      </c>
      <c r="K29" s="43" t="s">
        <v>96</v>
      </c>
      <c r="L29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2621388.6</v>
      </c>
      <c r="M29" s="43">
        <f>+IFERROR(INDEX(Tabla2[Precio Jornal],MATCH(COSECHA[[#This Row],[Mes]],Tabla2[Mes],0))*COSECHA[[#This Row],[Jornales]],0)</f>
        <v>152650.20487213912</v>
      </c>
      <c r="N29" s="2">
        <f>+COSECHA[[#This Row],[Jornales $]]+SUM(COSECHA[[#This Row],[PA]:[EE III]])</f>
        <v>2774038.8048721394</v>
      </c>
      <c r="O29" s="2" t="str">
        <f>+IF(COSECHA[[#This Row],[Finca]]="Puente Alto",INDEX(Tabla2[kg pa],MATCH(COSECHA[[#This Row],[Mes]],Tabla2[Mes],0))*COSECHA[[#This Row],[KG]],"")</f>
        <v/>
      </c>
      <c r="P29" s="2">
        <f>+IF(COSECHA[[#This Row],[Tipo de Cosecha]]="Carro",INDEX(Tabla2[Precio Kg Uva Carro],MATCH(COSECHA[[#This Row],[Mes]],Tabla2[Mes],0)),"")*COSECHA[[#This Row],[KG]]</f>
        <v>2621388.6</v>
      </c>
      <c r="Q29" s="2"/>
      <c r="R29" s="2"/>
      <c r="S29" s="2"/>
      <c r="T29" s="2"/>
      <c r="U29" s="2"/>
    </row>
    <row r="30" spans="1:32">
      <c r="A30" t="s">
        <v>8</v>
      </c>
      <c r="B30" t="s">
        <v>10</v>
      </c>
      <c r="C30" t="s">
        <v>127</v>
      </c>
      <c r="D30" t="s">
        <v>42</v>
      </c>
      <c r="E30" s="137">
        <v>555850</v>
      </c>
      <c r="F30" s="25">
        <v>6.9123473363675068</v>
      </c>
      <c r="H30">
        <f>+IFERROR(COSECHA[[#This Row],[KG uva]]/COUNTIFS(COSECHA[Finca],COSECHA[[#This Row],[Finca]],COSECHA[Variedad],COSECHA[[#This Row],[Variedad]],COSECHA[Tipo de Cosecha],COSECHA[[#This Row],[Tipo de Cosecha]]),0)</f>
        <v>111170</v>
      </c>
      <c r="J30" s="43">
        <f>+COSECHA[[#This Row],[KG]]/1625</f>
        <v>68.412307692307692</v>
      </c>
      <c r="K30" s="43" t="s">
        <v>96</v>
      </c>
      <c r="L30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2621388.6</v>
      </c>
      <c r="M30" s="43">
        <f>+IFERROR(INDEX(Tabla2[Precio Jornal],MATCH(COSECHA[[#This Row],[Mes]],Tabla2[Mes],0))*COSECHA[[#This Row],[Jornales]],0)</f>
        <v>152650.20487213912</v>
      </c>
      <c r="N30" s="2">
        <f>+COSECHA[[#This Row],[Jornales $]]+SUM(COSECHA[[#This Row],[PA]:[EE III]])</f>
        <v>2774038.8048721394</v>
      </c>
      <c r="O30" s="2" t="str">
        <f>+IF(COSECHA[[#This Row],[Finca]]="Puente Alto",INDEX(Tabla2[kg pa],MATCH(COSECHA[[#This Row],[Mes]],Tabla2[Mes],0))*COSECHA[[#This Row],[KG]],"")</f>
        <v/>
      </c>
      <c r="P30" s="2">
        <f>+IF(COSECHA[[#This Row],[Tipo de Cosecha]]="Carro",INDEX(Tabla2[Precio Kg Uva Carro],MATCH(COSECHA[[#This Row],[Mes]],Tabla2[Mes],0)),"")*COSECHA[[#This Row],[KG]]</f>
        <v>2621388.6</v>
      </c>
      <c r="Q30" s="2"/>
      <c r="R30" s="2"/>
      <c r="S30" s="2"/>
      <c r="T30" s="2"/>
      <c r="U30" s="2"/>
    </row>
    <row r="31" spans="1:32">
      <c r="A31" t="s">
        <v>8</v>
      </c>
      <c r="B31" t="s">
        <v>10</v>
      </c>
      <c r="C31" t="s">
        <v>128</v>
      </c>
      <c r="D31" t="s">
        <v>42</v>
      </c>
      <c r="E31" s="137">
        <v>555850</v>
      </c>
      <c r="F31" s="25">
        <v>27.649389345470027</v>
      </c>
      <c r="H31">
        <f>+IFERROR(COSECHA[[#This Row],[KG uva]]/COUNTIFS(COSECHA[Finca],COSECHA[[#This Row],[Finca]],COSECHA[Variedad],COSECHA[[#This Row],[Variedad]],COSECHA[Tipo de Cosecha],COSECHA[[#This Row],[Tipo de Cosecha]]),0)</f>
        <v>111170</v>
      </c>
      <c r="J31" s="43">
        <f>+COSECHA[[#This Row],[KG]]/1625</f>
        <v>68.412307692307692</v>
      </c>
      <c r="K31" s="43" t="s">
        <v>96</v>
      </c>
      <c r="L31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2621388.6</v>
      </c>
      <c r="M31" s="43">
        <f>+IFERROR(INDEX(Tabla2[Precio Jornal],MATCH(COSECHA[[#This Row],[Mes]],Tabla2[Mes],0))*COSECHA[[#This Row],[Jornales]],0)</f>
        <v>610600.81948855647</v>
      </c>
      <c r="N31" s="2">
        <f>+COSECHA[[#This Row],[Jornales $]]+SUM(COSECHA[[#This Row],[PA]:[EE III]])</f>
        <v>3231989.4194885567</v>
      </c>
      <c r="O31" s="2" t="str">
        <f>+IF(COSECHA[[#This Row],[Finca]]="Puente Alto",INDEX(Tabla2[kg pa],MATCH(COSECHA[[#This Row],[Mes]],Tabla2[Mes],0))*COSECHA[[#This Row],[KG]],"")</f>
        <v/>
      </c>
      <c r="P31" s="2">
        <f>+IF(COSECHA[[#This Row],[Tipo de Cosecha]]="Carro",INDEX(Tabla2[Precio Kg Uva Carro],MATCH(COSECHA[[#This Row],[Mes]],Tabla2[Mes],0)),"")*COSECHA[[#This Row],[KG]]</f>
        <v>2621388.6</v>
      </c>
      <c r="Q31" s="2"/>
      <c r="R31" s="2"/>
      <c r="S31" s="2"/>
      <c r="T31" s="2"/>
      <c r="U31" s="2"/>
    </row>
    <row r="32" spans="1:32">
      <c r="A32" t="s">
        <v>8</v>
      </c>
      <c r="B32" t="s">
        <v>10</v>
      </c>
      <c r="C32" t="s">
        <v>129</v>
      </c>
      <c r="D32" t="s">
        <v>42</v>
      </c>
      <c r="E32" s="137">
        <v>555850</v>
      </c>
      <c r="F32" s="25">
        <v>1.3824694672735012</v>
      </c>
      <c r="H32">
        <f>+IFERROR(COSECHA[[#This Row],[KG uva]]/COUNTIFS(COSECHA[Finca],COSECHA[[#This Row],[Finca]],COSECHA[Variedad],COSECHA[[#This Row],[Variedad]],COSECHA[Tipo de Cosecha],COSECHA[[#This Row],[Tipo de Cosecha]]),0)</f>
        <v>111170</v>
      </c>
      <c r="J32" s="43">
        <f>+COSECHA[[#This Row],[KG]]/1625</f>
        <v>68.412307692307692</v>
      </c>
      <c r="K32" s="43" t="s">
        <v>96</v>
      </c>
      <c r="L32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2621388.6</v>
      </c>
      <c r="M32" s="43">
        <f>+IFERROR(INDEX(Tabla2[Precio Jornal],MATCH(COSECHA[[#This Row],[Mes]],Tabla2[Mes],0))*COSECHA[[#This Row],[Jornales]],0)</f>
        <v>30530.040974427819</v>
      </c>
      <c r="N32" s="2">
        <f>+COSECHA[[#This Row],[Jornales $]]+SUM(COSECHA[[#This Row],[PA]:[EE III]])</f>
        <v>2651918.640974428</v>
      </c>
      <c r="O32" s="2" t="str">
        <f>+IF(COSECHA[[#This Row],[Finca]]="Puente Alto",INDEX(Tabla2[kg pa],MATCH(COSECHA[[#This Row],[Mes]],Tabla2[Mes],0))*COSECHA[[#This Row],[KG]],"")</f>
        <v/>
      </c>
      <c r="P32" s="2">
        <f>+IF(COSECHA[[#This Row],[Tipo de Cosecha]]="Carro",INDEX(Tabla2[Precio Kg Uva Carro],MATCH(COSECHA[[#This Row],[Mes]],Tabla2[Mes],0)),"")*COSECHA[[#This Row],[KG]]</f>
        <v>2621388.6</v>
      </c>
      <c r="Q32" s="2"/>
      <c r="R32" s="2"/>
      <c r="S32" s="2"/>
      <c r="T32" s="2"/>
      <c r="U32" s="2"/>
    </row>
    <row r="33" spans="1:21">
      <c r="A33" t="s">
        <v>8</v>
      </c>
      <c r="B33" t="s">
        <v>10</v>
      </c>
      <c r="C33" t="s">
        <v>130</v>
      </c>
      <c r="D33" t="s">
        <v>42</v>
      </c>
      <c r="E33" s="137">
        <v>555850</v>
      </c>
      <c r="F33" s="25">
        <v>13.824694672735014</v>
      </c>
      <c r="H33">
        <f>+IFERROR(COSECHA[[#This Row],[KG uva]]/COUNTIFS(COSECHA[Finca],COSECHA[[#This Row],[Finca]],COSECHA[Variedad],COSECHA[[#This Row],[Variedad]],COSECHA[Tipo de Cosecha],COSECHA[[#This Row],[Tipo de Cosecha]]),0)</f>
        <v>111170</v>
      </c>
      <c r="J33" s="43">
        <f>+COSECHA[[#This Row],[KG]]/1625</f>
        <v>68.412307692307692</v>
      </c>
      <c r="K33" s="43" t="s">
        <v>96</v>
      </c>
      <c r="L33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2621388.6</v>
      </c>
      <c r="M33" s="43">
        <f>+IFERROR(INDEX(Tabla2[Precio Jornal],MATCH(COSECHA[[#This Row],[Mes]],Tabla2[Mes],0))*COSECHA[[#This Row],[Jornales]],0)</f>
        <v>305300.40974427824</v>
      </c>
      <c r="N33" s="2">
        <f>+COSECHA[[#This Row],[Jornales $]]+SUM(COSECHA[[#This Row],[PA]:[EE III]])</f>
        <v>2926689.0097442782</v>
      </c>
      <c r="O33" s="2" t="str">
        <f>+IF(COSECHA[[#This Row],[Finca]]="Puente Alto",INDEX(Tabla2[kg pa],MATCH(COSECHA[[#This Row],[Mes]],Tabla2[Mes],0))*COSECHA[[#This Row],[KG]],"")</f>
        <v/>
      </c>
      <c r="P33" s="2">
        <f>+IF(COSECHA[[#This Row],[Tipo de Cosecha]]="Carro",INDEX(Tabla2[Precio Kg Uva Carro],MATCH(COSECHA[[#This Row],[Mes]],Tabla2[Mes],0)),"")*COSECHA[[#This Row],[KG]]</f>
        <v>2621388.6</v>
      </c>
      <c r="Q33" s="2"/>
      <c r="R33" s="2"/>
      <c r="S33" s="2"/>
      <c r="T33" s="2"/>
      <c r="U33" s="2"/>
    </row>
    <row r="34" spans="1:21">
      <c r="A34" t="s">
        <v>8</v>
      </c>
      <c r="B34" t="s">
        <v>10</v>
      </c>
      <c r="C34" t="s">
        <v>126</v>
      </c>
      <c r="D34" t="s">
        <v>41</v>
      </c>
      <c r="E34" s="137">
        <v>98040</v>
      </c>
      <c r="F34" s="25">
        <v>1.7458498411970793</v>
      </c>
      <c r="G34">
        <f>+COSECHA[[#This Row],[KG]]/300</f>
        <v>65.36</v>
      </c>
      <c r="H34">
        <f>+IFERROR(COSECHA[[#This Row],[KG uva]]/COUNTIFS(COSECHA[Finca],COSECHA[[#This Row],[Finca]],COSECHA[Variedad],COSECHA[[#This Row],[Variedad]],COSECHA[Tipo de Cosecha],COSECHA[[#This Row],[Tipo de Cosecha]]),0)</f>
        <v>19608</v>
      </c>
      <c r="I34">
        <v>1</v>
      </c>
      <c r="J34" s="43"/>
      <c r="K34" s="43" t="s">
        <v>96</v>
      </c>
      <c r="L34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321081</v>
      </c>
      <c r="M34" s="43">
        <f>+IFERROR(INDEX(Tabla2[Precio Jornal],MATCH(COSECHA[[#This Row],[Mes]],Tabla2[Mes],0))*COSECHA[[#This Row],[Jornales]],0)</f>
        <v>38554.824138043943</v>
      </c>
      <c r="N34" s="2">
        <f>+COSECHA[[#This Row],[Jornales $]]+SUM(COSECHA[[#This Row],[PA]:[EE III]])</f>
        <v>552284.42413804401</v>
      </c>
      <c r="O34" s="2" t="str">
        <f>+IF(COSECHA[[#This Row],[Finca]]="Puente Alto",INDEX(Tabla2[kg pa],MATCH(COSECHA[[#This Row],[Mes]],Tabla2[Mes],0))*COSECHA[[#This Row],[KG]],"")</f>
        <v/>
      </c>
      <c r="P34" s="2">
        <f>+INDEX(Tabla2[kg pa],MATCH(COSECHA[[#This Row],[Mes]],Tabla2[Mes],0))*COSECHA[[#This Row],[KG]]</f>
        <v>513729.60000000003</v>
      </c>
      <c r="Q34" s="2"/>
      <c r="R34" s="2"/>
      <c r="S34" s="2"/>
      <c r="T34" s="2"/>
      <c r="U34" s="2"/>
    </row>
    <row r="35" spans="1:21">
      <c r="A35" t="s">
        <v>8</v>
      </c>
      <c r="B35" t="s">
        <v>10</v>
      </c>
      <c r="C35" t="s">
        <v>127</v>
      </c>
      <c r="D35" t="s">
        <v>41</v>
      </c>
      <c r="E35" s="137">
        <v>98040</v>
      </c>
      <c r="F35" s="25">
        <v>1.7458498411970793</v>
      </c>
      <c r="G35">
        <f>+COSECHA[[#This Row],[KG]]/300</f>
        <v>65.36</v>
      </c>
      <c r="H35">
        <f>+IFERROR(COSECHA[[#This Row],[KG uva]]/COUNTIFS(COSECHA[Finca],COSECHA[[#This Row],[Finca]],COSECHA[Variedad],COSECHA[[#This Row],[Variedad]],COSECHA[Tipo de Cosecha],COSECHA[[#This Row],[Tipo de Cosecha]]),0)</f>
        <v>19608</v>
      </c>
      <c r="I35">
        <v>1</v>
      </c>
      <c r="J35" s="43"/>
      <c r="K35" s="43" t="s">
        <v>96</v>
      </c>
      <c r="L35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321081</v>
      </c>
      <c r="M35" s="43">
        <f>+IFERROR(INDEX(Tabla2[Precio Jornal],MATCH(COSECHA[[#This Row],[Mes]],Tabla2[Mes],0))*COSECHA[[#This Row],[Jornales]],0)</f>
        <v>38554.824138043943</v>
      </c>
      <c r="N35" s="2">
        <f>+COSECHA[[#This Row],[Jornales $]]+SUM(COSECHA[[#This Row],[PA]:[EE III]])</f>
        <v>552284.42413804401</v>
      </c>
      <c r="O35" s="2" t="str">
        <f>+IF(COSECHA[[#This Row],[Finca]]="Puente Alto",INDEX(Tabla2[kg pa],MATCH(COSECHA[[#This Row],[Mes]],Tabla2[Mes],0))*COSECHA[[#This Row],[KG]],"")</f>
        <v/>
      </c>
      <c r="P35" s="2">
        <f>+INDEX(Tabla2[kg pa],MATCH(COSECHA[[#This Row],[Mes]],Tabla2[Mes],0))*COSECHA[[#This Row],[KG]]</f>
        <v>513729.60000000003</v>
      </c>
      <c r="Q35" s="2"/>
      <c r="R35" s="2"/>
      <c r="S35" s="2"/>
      <c r="T35" s="2"/>
      <c r="U35" s="2"/>
    </row>
    <row r="36" spans="1:21">
      <c r="A36" t="s">
        <v>8</v>
      </c>
      <c r="B36" t="s">
        <v>10</v>
      </c>
      <c r="C36" t="s">
        <v>128</v>
      </c>
      <c r="D36" t="s">
        <v>41</v>
      </c>
      <c r="E36" s="137">
        <v>98040</v>
      </c>
      <c r="F36" s="25">
        <v>6.9833993647883172</v>
      </c>
      <c r="G36">
        <f>+COSECHA[[#This Row],[KG]]/300</f>
        <v>65.36</v>
      </c>
      <c r="H36">
        <f>+IFERROR(COSECHA[[#This Row],[KG uva]]/COUNTIFS(COSECHA[Finca],COSECHA[[#This Row],[Finca]],COSECHA[Variedad],COSECHA[[#This Row],[Variedad]],COSECHA[Tipo de Cosecha],COSECHA[[#This Row],[Tipo de Cosecha]]),0)</f>
        <v>19608</v>
      </c>
      <c r="I36">
        <v>1</v>
      </c>
      <c r="J36" s="43"/>
      <c r="K36" s="43" t="s">
        <v>96</v>
      </c>
      <c r="L36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321081</v>
      </c>
      <c r="M36" s="43">
        <f>+IFERROR(INDEX(Tabla2[Precio Jornal],MATCH(COSECHA[[#This Row],[Mes]],Tabla2[Mes],0))*COSECHA[[#This Row],[Jornales]],0)</f>
        <v>154219.29655217577</v>
      </c>
      <c r="N36" s="2">
        <f>+COSECHA[[#This Row],[Jornales $]]+SUM(COSECHA[[#This Row],[PA]:[EE III]])</f>
        <v>667948.89655217575</v>
      </c>
      <c r="O36" s="2" t="str">
        <f>+IF(COSECHA[[#This Row],[Finca]]="Puente Alto",INDEX(Tabla2[kg pa],MATCH(COSECHA[[#This Row],[Mes]],Tabla2[Mes],0))*COSECHA[[#This Row],[KG]],"")</f>
        <v/>
      </c>
      <c r="P36" s="2">
        <f>+INDEX(Tabla2[kg pa],MATCH(COSECHA[[#This Row],[Mes]],Tabla2[Mes],0))*COSECHA[[#This Row],[KG]]</f>
        <v>513729.60000000003</v>
      </c>
      <c r="Q36" s="2"/>
      <c r="R36" s="2"/>
      <c r="S36" s="2"/>
      <c r="T36" s="2"/>
      <c r="U36" s="2"/>
    </row>
    <row r="37" spans="1:21">
      <c r="A37" t="s">
        <v>8</v>
      </c>
      <c r="B37" t="s">
        <v>10</v>
      </c>
      <c r="C37" t="s">
        <v>129</v>
      </c>
      <c r="D37" t="s">
        <v>41</v>
      </c>
      <c r="E37" s="137">
        <v>98040</v>
      </c>
      <c r="F37" s="25">
        <v>0.34916996823941587</v>
      </c>
      <c r="G37">
        <f>+COSECHA[[#This Row],[KG]]/300</f>
        <v>65.36</v>
      </c>
      <c r="H37">
        <f>+IFERROR(COSECHA[[#This Row],[KG uva]]/COUNTIFS(COSECHA[Finca],COSECHA[[#This Row],[Finca]],COSECHA[Variedad],COSECHA[[#This Row],[Variedad]],COSECHA[Tipo de Cosecha],COSECHA[[#This Row],[Tipo de Cosecha]]),0)</f>
        <v>19608</v>
      </c>
      <c r="I37">
        <v>1</v>
      </c>
      <c r="J37" s="43"/>
      <c r="K37" s="43" t="s">
        <v>96</v>
      </c>
      <c r="L37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321081</v>
      </c>
      <c r="M37" s="43">
        <f>+IFERROR(INDEX(Tabla2[Precio Jornal],MATCH(COSECHA[[#This Row],[Mes]],Tabla2[Mes],0))*COSECHA[[#This Row],[Jornales]],0)</f>
        <v>7710.9648276087883</v>
      </c>
      <c r="N37" s="2">
        <f>+COSECHA[[#This Row],[Jornales $]]+SUM(COSECHA[[#This Row],[PA]:[EE III]])</f>
        <v>521440.56482760882</v>
      </c>
      <c r="O37" s="2" t="str">
        <f>+IF(COSECHA[[#This Row],[Finca]]="Puente Alto",INDEX(Tabla2[kg pa],MATCH(COSECHA[[#This Row],[Mes]],Tabla2[Mes],0))*COSECHA[[#This Row],[KG]],"")</f>
        <v/>
      </c>
      <c r="P37" s="2">
        <f>+INDEX(Tabla2[kg pa],MATCH(COSECHA[[#This Row],[Mes]],Tabla2[Mes],0))*COSECHA[[#This Row],[KG]]</f>
        <v>513729.60000000003</v>
      </c>
      <c r="Q37" s="2"/>
      <c r="R37" s="2"/>
      <c r="S37" s="2"/>
      <c r="T37" s="2"/>
      <c r="U37" s="2"/>
    </row>
    <row r="38" spans="1:21">
      <c r="A38" t="s">
        <v>8</v>
      </c>
      <c r="B38" t="s">
        <v>10</v>
      </c>
      <c r="C38" t="s">
        <v>130</v>
      </c>
      <c r="D38" t="s">
        <v>41</v>
      </c>
      <c r="E38" s="137">
        <v>98040</v>
      </c>
      <c r="F38" s="25">
        <v>3.4916996823941586</v>
      </c>
      <c r="G38">
        <f>+COSECHA[[#This Row],[KG]]/300</f>
        <v>65.36</v>
      </c>
      <c r="H38">
        <f>+IFERROR(COSECHA[[#This Row],[KG uva]]/COUNTIFS(COSECHA[Finca],COSECHA[[#This Row],[Finca]],COSECHA[Variedad],COSECHA[[#This Row],[Variedad]],COSECHA[Tipo de Cosecha],COSECHA[[#This Row],[Tipo de Cosecha]]),0)</f>
        <v>19608</v>
      </c>
      <c r="I38">
        <v>1</v>
      </c>
      <c r="J38" s="43"/>
      <c r="K38" s="43" t="s">
        <v>96</v>
      </c>
      <c r="L38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321081</v>
      </c>
      <c r="M38" s="43">
        <f>+IFERROR(INDEX(Tabla2[Precio Jornal],MATCH(COSECHA[[#This Row],[Mes]],Tabla2[Mes],0))*COSECHA[[#This Row],[Jornales]],0)</f>
        <v>77109.648276087886</v>
      </c>
      <c r="N38" s="2">
        <f>+COSECHA[[#This Row],[Jornales $]]+SUM(COSECHA[[#This Row],[PA]:[EE III]])</f>
        <v>590839.24827608792</v>
      </c>
      <c r="O38" s="2" t="str">
        <f>+IF(COSECHA[[#This Row],[Finca]]="Puente Alto",INDEX(Tabla2[kg pa],MATCH(COSECHA[[#This Row],[Mes]],Tabla2[Mes],0))*COSECHA[[#This Row],[KG]],"")</f>
        <v/>
      </c>
      <c r="P38" s="2">
        <f>+INDEX(Tabla2[kg pa],MATCH(COSECHA[[#This Row],[Mes]],Tabla2[Mes],0))*COSECHA[[#This Row],[KG]]</f>
        <v>513729.60000000003</v>
      </c>
      <c r="Q38" s="2"/>
      <c r="R38" s="2"/>
      <c r="S38" s="2"/>
      <c r="T38" s="2"/>
      <c r="U38" s="2"/>
    </row>
    <row r="39" spans="1:21">
      <c r="A39" t="s">
        <v>8</v>
      </c>
      <c r="B39" t="s">
        <v>11</v>
      </c>
      <c r="C39" t="s">
        <v>126</v>
      </c>
      <c r="D39" t="s">
        <v>41</v>
      </c>
      <c r="E39" s="137">
        <v>44850</v>
      </c>
      <c r="F39" s="25">
        <v>1.3418028224354148</v>
      </c>
      <c r="G39">
        <f>+COSECHA[[#This Row],[KG]]/300</f>
        <v>29.9</v>
      </c>
      <c r="H39">
        <f>+IFERROR(COSECHA[[#This Row],[KG uva]]/COUNTIFS(COSECHA[Finca],COSECHA[[#This Row],[Finca]],COSECHA[Variedad],COSECHA[[#This Row],[Variedad]],COSECHA[Tipo de Cosecha],COSECHA[[#This Row],[Tipo de Cosecha]]),0)</f>
        <v>8970</v>
      </c>
      <c r="I39">
        <v>1</v>
      </c>
      <c r="J39" s="43"/>
      <c r="K39" s="43" t="s">
        <v>96</v>
      </c>
      <c r="L39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146883.75</v>
      </c>
      <c r="M39" s="43">
        <f>+IFERROR(INDEX(Tabla2[Precio Jornal],MATCH(COSECHA[[#This Row],[Mes]],Tabla2[Mes],0))*COSECHA[[#This Row],[Jornales]],0)</f>
        <v>29631.970989816971</v>
      </c>
      <c r="N39" s="2">
        <f>+COSECHA[[#This Row],[Jornales $]]+SUM(COSECHA[[#This Row],[PA]:[EE III]])</f>
        <v>264645.970989817</v>
      </c>
      <c r="O39" s="2" t="str">
        <f>+IF(COSECHA[[#This Row],[Finca]]="Puente Alto",INDEX(Tabla2[kg pa],MATCH(COSECHA[[#This Row],[Mes]],Tabla2[Mes],0))*COSECHA[[#This Row],[KG]],"")</f>
        <v/>
      </c>
      <c r="P39" s="2">
        <f>+INDEX(Tabla2[kg pa],MATCH(COSECHA[[#This Row],[Mes]],Tabla2[Mes],0))*COSECHA[[#This Row],[KG]]</f>
        <v>235014.00000000003</v>
      </c>
      <c r="Q39" s="2"/>
      <c r="R39" s="2"/>
      <c r="S39" s="2"/>
      <c r="T39" s="2"/>
      <c r="U39" s="2"/>
    </row>
    <row r="40" spans="1:21">
      <c r="A40" t="s">
        <v>8</v>
      </c>
      <c r="B40" t="s">
        <v>11</v>
      </c>
      <c r="C40" t="s">
        <v>127</v>
      </c>
      <c r="D40" t="s">
        <v>41</v>
      </c>
      <c r="E40" s="137">
        <v>44850</v>
      </c>
      <c r="F40" s="25">
        <v>1.3418028224354148</v>
      </c>
      <c r="G40">
        <f>+COSECHA[[#This Row],[KG]]/300</f>
        <v>29.9</v>
      </c>
      <c r="H40">
        <f>+IFERROR(COSECHA[[#This Row],[KG uva]]/COUNTIFS(COSECHA[Finca],COSECHA[[#This Row],[Finca]],COSECHA[Variedad],COSECHA[[#This Row],[Variedad]],COSECHA[Tipo de Cosecha],COSECHA[[#This Row],[Tipo de Cosecha]]),0)</f>
        <v>8970</v>
      </c>
      <c r="I40">
        <v>1</v>
      </c>
      <c r="J40" s="43"/>
      <c r="K40" s="43" t="s">
        <v>96</v>
      </c>
      <c r="L40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146883.75</v>
      </c>
      <c r="M40" s="43">
        <f>+IFERROR(INDEX(Tabla2[Precio Jornal],MATCH(COSECHA[[#This Row],[Mes]],Tabla2[Mes],0))*COSECHA[[#This Row],[Jornales]],0)</f>
        <v>29631.970989816971</v>
      </c>
      <c r="N40" s="2">
        <f>+COSECHA[[#This Row],[Jornales $]]+SUM(COSECHA[[#This Row],[PA]:[EE III]])</f>
        <v>264645.970989817</v>
      </c>
      <c r="O40" s="2" t="str">
        <f>+IF(COSECHA[[#This Row],[Finca]]="Puente Alto",INDEX(Tabla2[kg pa],MATCH(COSECHA[[#This Row],[Mes]],Tabla2[Mes],0))*COSECHA[[#This Row],[KG]],"")</f>
        <v/>
      </c>
      <c r="P40" s="2">
        <f>+INDEX(Tabla2[kg pa],MATCH(COSECHA[[#This Row],[Mes]],Tabla2[Mes],0))*COSECHA[[#This Row],[KG]]</f>
        <v>235014.00000000003</v>
      </c>
      <c r="Q40" s="2"/>
      <c r="R40" s="2"/>
      <c r="S40" s="2"/>
      <c r="T40" s="2"/>
      <c r="U40" s="2"/>
    </row>
    <row r="41" spans="1:21">
      <c r="A41" t="s">
        <v>8</v>
      </c>
      <c r="B41" t="s">
        <v>11</v>
      </c>
      <c r="C41" t="s">
        <v>128</v>
      </c>
      <c r="D41" t="s">
        <v>41</v>
      </c>
      <c r="E41" s="137">
        <v>44850</v>
      </c>
      <c r="F41" s="25">
        <v>5.3672112897416593</v>
      </c>
      <c r="G41">
        <f>+COSECHA[[#This Row],[KG]]/300</f>
        <v>29.9</v>
      </c>
      <c r="H41">
        <f>+IFERROR(COSECHA[[#This Row],[KG uva]]/COUNTIFS(COSECHA[Finca],COSECHA[[#This Row],[Finca]],COSECHA[Variedad],COSECHA[[#This Row],[Variedad]],COSECHA[Tipo de Cosecha],COSECHA[[#This Row],[Tipo de Cosecha]]),0)</f>
        <v>8970</v>
      </c>
      <c r="I41">
        <v>1</v>
      </c>
      <c r="J41" s="43"/>
      <c r="K41" s="43" t="s">
        <v>96</v>
      </c>
      <c r="L41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146883.75</v>
      </c>
      <c r="M41" s="43">
        <f>+IFERROR(INDEX(Tabla2[Precio Jornal],MATCH(COSECHA[[#This Row],[Mes]],Tabla2[Mes],0))*COSECHA[[#This Row],[Jornales]],0)</f>
        <v>118527.88395926789</v>
      </c>
      <c r="N41" s="2">
        <f>+COSECHA[[#This Row],[Jornales $]]+SUM(COSECHA[[#This Row],[PA]:[EE III]])</f>
        <v>353541.88395926793</v>
      </c>
      <c r="O41" s="2" t="str">
        <f>+IF(COSECHA[[#This Row],[Finca]]="Puente Alto",INDEX(Tabla2[kg pa],MATCH(COSECHA[[#This Row],[Mes]],Tabla2[Mes],0))*COSECHA[[#This Row],[KG]],"")</f>
        <v/>
      </c>
      <c r="P41" s="2">
        <f>+INDEX(Tabla2[kg pa],MATCH(COSECHA[[#This Row],[Mes]],Tabla2[Mes],0))*COSECHA[[#This Row],[KG]]</f>
        <v>235014.00000000003</v>
      </c>
      <c r="Q41" s="2"/>
      <c r="R41" s="2"/>
      <c r="S41" s="2"/>
      <c r="T41" s="2"/>
      <c r="U41" s="2"/>
    </row>
    <row r="42" spans="1:21">
      <c r="A42" t="s">
        <v>8</v>
      </c>
      <c r="B42" t="s">
        <v>11</v>
      </c>
      <c r="C42" t="s">
        <v>129</v>
      </c>
      <c r="D42" t="s">
        <v>41</v>
      </c>
      <c r="E42" s="137">
        <v>44850</v>
      </c>
      <c r="F42" s="25">
        <v>0.26836056448708295</v>
      </c>
      <c r="G42">
        <f>+COSECHA[[#This Row],[KG]]/300</f>
        <v>29.9</v>
      </c>
      <c r="H42">
        <f>+IFERROR(COSECHA[[#This Row],[KG uva]]/COUNTIFS(COSECHA[Finca],COSECHA[[#This Row],[Finca]],COSECHA[Variedad],COSECHA[[#This Row],[Variedad]],COSECHA[Tipo de Cosecha],COSECHA[[#This Row],[Tipo de Cosecha]]),0)</f>
        <v>8970</v>
      </c>
      <c r="I42">
        <v>0.5</v>
      </c>
      <c r="J42" s="43"/>
      <c r="K42" s="43" t="s">
        <v>96</v>
      </c>
      <c r="L42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146883.75</v>
      </c>
      <c r="M42" s="43">
        <f>+IFERROR(INDEX(Tabla2[Precio Jornal],MATCH(COSECHA[[#This Row],[Mes]],Tabla2[Mes],0))*COSECHA[[#This Row],[Jornales]],0)</f>
        <v>5926.3941979633937</v>
      </c>
      <c r="N42" s="2">
        <f>+COSECHA[[#This Row],[Jornales $]]+SUM(COSECHA[[#This Row],[PA]:[EE III]])</f>
        <v>240940.39419796341</v>
      </c>
      <c r="O42" s="2" t="str">
        <f>+IF(COSECHA[[#This Row],[Finca]]="Puente Alto",INDEX(Tabla2[kg pa],MATCH(COSECHA[[#This Row],[Mes]],Tabla2[Mes],0))*COSECHA[[#This Row],[KG]],"")</f>
        <v/>
      </c>
      <c r="P42" s="2">
        <f>+INDEX(Tabla2[kg pa],MATCH(COSECHA[[#This Row],[Mes]],Tabla2[Mes],0))*COSECHA[[#This Row],[KG]]</f>
        <v>235014.00000000003</v>
      </c>
      <c r="Q42" s="2"/>
      <c r="R42" s="2"/>
      <c r="S42" s="2"/>
      <c r="T42" s="2"/>
      <c r="U42" s="2"/>
    </row>
    <row r="43" spans="1:21">
      <c r="A43" t="s">
        <v>8</v>
      </c>
      <c r="B43" t="s">
        <v>11</v>
      </c>
      <c r="C43" t="s">
        <v>130</v>
      </c>
      <c r="D43" t="s">
        <v>41</v>
      </c>
      <c r="E43" s="137">
        <v>44850</v>
      </c>
      <c r="F43" s="25">
        <v>2.6836056448708296</v>
      </c>
      <c r="G43">
        <f>+COSECHA[[#This Row],[KG]]/300</f>
        <v>29.9</v>
      </c>
      <c r="H43">
        <f>+IFERROR(COSECHA[[#This Row],[KG uva]]/COUNTIFS(COSECHA[Finca],COSECHA[[#This Row],[Finca]],COSECHA[Variedad],COSECHA[[#This Row],[Variedad]],COSECHA[Tipo de Cosecha],COSECHA[[#This Row],[Tipo de Cosecha]]),0)</f>
        <v>8970</v>
      </c>
      <c r="I43">
        <v>0.5</v>
      </c>
      <c r="J43" s="43"/>
      <c r="K43" s="43" t="s">
        <v>96</v>
      </c>
      <c r="L43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146883.75</v>
      </c>
      <c r="M43" s="43">
        <f>+IFERROR(INDEX(Tabla2[Precio Jornal],MATCH(COSECHA[[#This Row],[Mes]],Tabla2[Mes],0))*COSECHA[[#This Row],[Jornales]],0)</f>
        <v>59263.941979633943</v>
      </c>
      <c r="N43" s="2">
        <f>+COSECHA[[#This Row],[Jornales $]]+SUM(COSECHA[[#This Row],[PA]:[EE III]])</f>
        <v>294277.94197963399</v>
      </c>
      <c r="O43" s="2" t="str">
        <f>+IF(COSECHA[[#This Row],[Finca]]="Puente Alto",INDEX(Tabla2[kg pa],MATCH(COSECHA[[#This Row],[Mes]],Tabla2[Mes],0))*COSECHA[[#This Row],[KG]],"")</f>
        <v/>
      </c>
      <c r="P43" s="2">
        <f>+INDEX(Tabla2[kg pa],MATCH(COSECHA[[#This Row],[Mes]],Tabla2[Mes],0))*COSECHA[[#This Row],[KG]]</f>
        <v>235014.00000000003</v>
      </c>
      <c r="Q43" s="2"/>
      <c r="R43" s="2"/>
      <c r="S43" s="2"/>
      <c r="T43" s="2"/>
      <c r="U43" s="2"/>
    </row>
    <row r="44" spans="1:21">
      <c r="A44" t="s">
        <v>8</v>
      </c>
      <c r="B44" t="s">
        <v>7</v>
      </c>
      <c r="C44" t="s">
        <v>126</v>
      </c>
      <c r="D44" t="s">
        <v>42</v>
      </c>
      <c r="E44" s="137">
        <v>369480</v>
      </c>
      <c r="F44" s="25">
        <v>9.030617884381563</v>
      </c>
      <c r="H44">
        <f>+IFERROR(COSECHA[[#This Row],[KG uva]]/COUNTIFS(COSECHA[Finca],COSECHA[[#This Row],[Finca]],COSECHA[Variedad],COSECHA[[#This Row],[Variedad]],COSECHA[Tipo de Cosecha],COSECHA[[#This Row],[Tipo de Cosecha]]),0)</f>
        <v>73896</v>
      </c>
      <c r="J44" s="43">
        <f>+COSECHA[[#This Row],[KG]]/1625</f>
        <v>45.47446153846154</v>
      </c>
      <c r="K44" s="43" t="s">
        <v>98</v>
      </c>
      <c r="L44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1848615.3061356733</v>
      </c>
      <c r="M44" s="43">
        <f>+IFERROR(INDEX(Tabla2[Precio Jornal],MATCH(COSECHA[[#This Row],[Mes]],Tabla2[Mes],0))*COSECHA[[#This Row],[Jornales]],0)</f>
        <v>206206.93489554551</v>
      </c>
      <c r="N44" s="2">
        <f>+COSECHA[[#This Row],[Jornales $]]+SUM(COSECHA[[#This Row],[PA]:[EE III]])</f>
        <v>2054822.2410312188</v>
      </c>
      <c r="O44" s="2" t="str">
        <f>+IF(COSECHA[[#This Row],[Finca]]="Puente Alto",INDEX(Tabla2[kg pa],MATCH(COSECHA[[#This Row],[Mes]],Tabla2[Mes],0))*COSECHA[[#This Row],[KG]],"")</f>
        <v/>
      </c>
      <c r="P44" s="2">
        <f>+IF(COSECHA[[#This Row],[Tipo de Cosecha]]="Carro",INDEX(Tabla2[Precio Kg Uva Carro],MATCH(COSECHA[[#This Row],[Mes]],Tabla2[Mes],0)),"")*COSECHA[[#This Row],[KG]]</f>
        <v>1848615.3061356733</v>
      </c>
      <c r="Q44" s="2"/>
      <c r="R44" s="2"/>
      <c r="S44" s="2"/>
      <c r="T44" s="2"/>
      <c r="U44" s="2"/>
    </row>
    <row r="45" spans="1:21">
      <c r="A45" t="s">
        <v>8</v>
      </c>
      <c r="B45" t="s">
        <v>7</v>
      </c>
      <c r="C45" t="s">
        <v>127</v>
      </c>
      <c r="D45" t="s">
        <v>42</v>
      </c>
      <c r="E45" s="137">
        <v>369480</v>
      </c>
      <c r="F45" s="25">
        <v>9.030617884381563</v>
      </c>
      <c r="H45">
        <f>+IFERROR(COSECHA[[#This Row],[KG uva]]/COUNTIFS(COSECHA[Finca],COSECHA[[#This Row],[Finca]],COSECHA[Variedad],COSECHA[[#This Row],[Variedad]],COSECHA[Tipo de Cosecha],COSECHA[[#This Row],[Tipo de Cosecha]]),0)</f>
        <v>73896</v>
      </c>
      <c r="J45" s="43">
        <f>+COSECHA[[#This Row],[KG]]/1625</f>
        <v>45.47446153846154</v>
      </c>
      <c r="K45" s="43" t="s">
        <v>98</v>
      </c>
      <c r="L45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1848615.3061356733</v>
      </c>
      <c r="M45" s="43">
        <f>+IFERROR(INDEX(Tabla2[Precio Jornal],MATCH(COSECHA[[#This Row],[Mes]],Tabla2[Mes],0))*COSECHA[[#This Row],[Jornales]],0)</f>
        <v>206206.93489554551</v>
      </c>
      <c r="N45" s="2">
        <f>+COSECHA[[#This Row],[Jornales $]]+SUM(COSECHA[[#This Row],[PA]:[EE III]])</f>
        <v>2054822.2410312188</v>
      </c>
      <c r="O45" s="2" t="str">
        <f>+IF(COSECHA[[#This Row],[Finca]]="Puente Alto",INDEX(Tabla2[kg pa],MATCH(COSECHA[[#This Row],[Mes]],Tabla2[Mes],0))*COSECHA[[#This Row],[KG]],"")</f>
        <v/>
      </c>
      <c r="P45" s="2">
        <f>+IF(COSECHA[[#This Row],[Tipo de Cosecha]]="Carro",INDEX(Tabla2[Precio Kg Uva Carro],MATCH(COSECHA[[#This Row],[Mes]],Tabla2[Mes],0)),"")*COSECHA[[#This Row],[KG]]</f>
        <v>1848615.3061356733</v>
      </c>
      <c r="Q45" s="2"/>
      <c r="R45" s="2"/>
      <c r="S45" s="2"/>
      <c r="T45" s="2"/>
      <c r="U45" s="2"/>
    </row>
    <row r="46" spans="1:21">
      <c r="A46" t="s">
        <v>8</v>
      </c>
      <c r="B46" t="s">
        <v>7</v>
      </c>
      <c r="C46" t="s">
        <v>128</v>
      </c>
      <c r="D46" t="s">
        <v>42</v>
      </c>
      <c r="E46" s="137">
        <v>369480</v>
      </c>
      <c r="F46" s="25">
        <v>36.122439595499415</v>
      </c>
      <c r="H46">
        <f>+IFERROR(COSECHA[[#This Row],[KG uva]]/COUNTIFS(COSECHA[Finca],COSECHA[[#This Row],[Finca]],COSECHA[Variedad],COSECHA[[#This Row],[Variedad]],COSECHA[Tipo de Cosecha],COSECHA[[#This Row],[Tipo de Cosecha]]),0)</f>
        <v>73896</v>
      </c>
      <c r="J46" s="43">
        <f>+COSECHA[[#This Row],[KG]]/1625</f>
        <v>45.47446153846154</v>
      </c>
      <c r="K46" s="43" t="s">
        <v>98</v>
      </c>
      <c r="L46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1848615.3061356733</v>
      </c>
      <c r="M46" s="43">
        <f>+IFERROR(INDEX(Tabla2[Precio Jornal],MATCH(COSECHA[[#This Row],[Mes]],Tabla2[Mes],0))*COSECHA[[#This Row],[Jornales]],0)</f>
        <v>824827.01021155273</v>
      </c>
      <c r="N46" s="2">
        <f>+COSECHA[[#This Row],[Jornales $]]+SUM(COSECHA[[#This Row],[PA]:[EE III]])</f>
        <v>2673442.316347226</v>
      </c>
      <c r="O46" s="2" t="str">
        <f>+IF(COSECHA[[#This Row],[Finca]]="Puente Alto",INDEX(Tabla2[kg pa],MATCH(COSECHA[[#This Row],[Mes]],Tabla2[Mes],0))*COSECHA[[#This Row],[KG]],"")</f>
        <v/>
      </c>
      <c r="P46" s="2">
        <f>+IF(COSECHA[[#This Row],[Tipo de Cosecha]]="Carro",INDEX(Tabla2[Precio Kg Uva Carro],MATCH(COSECHA[[#This Row],[Mes]],Tabla2[Mes],0)),"")*COSECHA[[#This Row],[KG]]</f>
        <v>1848615.3061356733</v>
      </c>
      <c r="Q46" s="2"/>
      <c r="R46" s="2"/>
      <c r="S46" s="2"/>
      <c r="T46" s="2"/>
      <c r="U46" s="2"/>
    </row>
    <row r="47" spans="1:21">
      <c r="A47" t="s">
        <v>8</v>
      </c>
      <c r="B47" t="s">
        <v>7</v>
      </c>
      <c r="C47" t="s">
        <v>129</v>
      </c>
      <c r="D47" t="s">
        <v>42</v>
      </c>
      <c r="E47" s="137">
        <v>369480</v>
      </c>
      <c r="F47" s="25">
        <v>3.612243959549942</v>
      </c>
      <c r="H47">
        <f>+IFERROR(COSECHA[[#This Row],[KG uva]]/COUNTIFS(COSECHA[Finca],COSECHA[[#This Row],[Finca]],COSECHA[Variedad],COSECHA[[#This Row],[Variedad]],COSECHA[Tipo de Cosecha],COSECHA[[#This Row],[Tipo de Cosecha]]),0)</f>
        <v>73896</v>
      </c>
      <c r="J47" s="43">
        <f>+COSECHA[[#This Row],[KG]]/1625</f>
        <v>45.47446153846154</v>
      </c>
      <c r="K47" s="43" t="s">
        <v>98</v>
      </c>
      <c r="L47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1848615.3061356733</v>
      </c>
      <c r="M47" s="43">
        <f>+IFERROR(INDEX(Tabla2[Precio Jornal],MATCH(COSECHA[[#This Row],[Mes]],Tabla2[Mes],0))*COSECHA[[#This Row],[Jornales]],0)</f>
        <v>82482.701021155284</v>
      </c>
      <c r="N47" s="2">
        <f>+COSECHA[[#This Row],[Jornales $]]+SUM(COSECHA[[#This Row],[PA]:[EE III]])</f>
        <v>1931098.0071568287</v>
      </c>
      <c r="O47" s="2" t="str">
        <f>+IF(COSECHA[[#This Row],[Finca]]="Puente Alto",INDEX(Tabla2[kg pa],MATCH(COSECHA[[#This Row],[Mes]],Tabla2[Mes],0))*COSECHA[[#This Row],[KG]],"")</f>
        <v/>
      </c>
      <c r="P47" s="2">
        <f>+IF(COSECHA[[#This Row],[Tipo de Cosecha]]="Carro",INDEX(Tabla2[Precio Kg Uva Carro],MATCH(COSECHA[[#This Row],[Mes]],Tabla2[Mes],0)),"")*COSECHA[[#This Row],[KG]]</f>
        <v>1848615.3061356733</v>
      </c>
      <c r="Q47" s="2"/>
      <c r="R47" s="2"/>
      <c r="S47" s="2"/>
      <c r="T47" s="2"/>
      <c r="U47" s="2"/>
    </row>
    <row r="48" spans="1:21">
      <c r="A48" t="s">
        <v>8</v>
      </c>
      <c r="B48" t="s">
        <v>7</v>
      </c>
      <c r="C48" t="s">
        <v>130</v>
      </c>
      <c r="D48" t="s">
        <v>42</v>
      </c>
      <c r="E48" s="137">
        <v>369480</v>
      </c>
      <c r="F48" s="25">
        <v>18.061155913978492</v>
      </c>
      <c r="H48">
        <f>+IFERROR(COSECHA[[#This Row],[KG uva]]/COUNTIFS(COSECHA[Finca],COSECHA[[#This Row],[Finca]],COSECHA[Variedad],COSECHA[[#This Row],[Variedad]],COSECHA[Tipo de Cosecha],COSECHA[[#This Row],[Tipo de Cosecha]]),0)</f>
        <v>73896</v>
      </c>
      <c r="J48" s="43">
        <f>+COSECHA[[#This Row],[KG]]/1625</f>
        <v>45.47446153846154</v>
      </c>
      <c r="K48" s="43" t="s">
        <v>98</v>
      </c>
      <c r="L48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1848615.3061356733</v>
      </c>
      <c r="M48" s="43">
        <f>+IFERROR(INDEX(Tabla2[Precio Jornal],MATCH(COSECHA[[#This Row],[Mes]],Tabla2[Mes],0))*COSECHA[[#This Row],[Jornales]],0)</f>
        <v>412412.0463709677</v>
      </c>
      <c r="N48" s="2">
        <f>+COSECHA[[#This Row],[Jornales $]]+SUM(COSECHA[[#This Row],[PA]:[EE III]])</f>
        <v>2261027.3525066408</v>
      </c>
      <c r="O48" s="2" t="str">
        <f>+IF(COSECHA[[#This Row],[Finca]]="Puente Alto",INDEX(Tabla2[kg pa],MATCH(COSECHA[[#This Row],[Mes]],Tabla2[Mes],0))*COSECHA[[#This Row],[KG]],"")</f>
        <v/>
      </c>
      <c r="P48" s="2">
        <f>+IF(COSECHA[[#This Row],[Tipo de Cosecha]]="Carro",INDEX(Tabla2[Precio Kg Uva Carro],MATCH(COSECHA[[#This Row],[Mes]],Tabla2[Mes],0)),"")*COSECHA[[#This Row],[KG]]</f>
        <v>1848615.3061356733</v>
      </c>
      <c r="Q48" s="2"/>
      <c r="R48" s="2"/>
      <c r="S48" s="2"/>
      <c r="T48" s="2"/>
      <c r="U48" s="2"/>
    </row>
    <row r="49" spans="1:21">
      <c r="A49" t="s">
        <v>8</v>
      </c>
      <c r="B49" t="s">
        <v>6</v>
      </c>
      <c r="C49" t="s">
        <v>126</v>
      </c>
      <c r="D49" t="s">
        <v>42</v>
      </c>
      <c r="E49" s="137">
        <v>255743</v>
      </c>
      <c r="F49" s="25">
        <v>6.5204105991883505</v>
      </c>
      <c r="H49">
        <f>+IFERROR(COSECHA[[#This Row],[KG uva]]/COUNTIFS(COSECHA[Finca],COSECHA[[#This Row],[Finca]],COSECHA[Variedad],COSECHA[[#This Row],[Variedad]],COSECHA[Tipo de Cosecha],COSECHA[[#This Row],[Tipo de Cosecha]]),0)</f>
        <v>51148.6</v>
      </c>
      <c r="J49" s="43">
        <f>+COSECHA[[#This Row],[KG]]/1625</f>
        <v>31.476061538461536</v>
      </c>
      <c r="K49" s="43" t="s">
        <v>97</v>
      </c>
      <c r="L49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1242209.5208839013</v>
      </c>
      <c r="M49" s="43">
        <f>+IFERROR(INDEX(Tabla2[Precio Jornal],MATCH(COSECHA[[#This Row],[Mes]],Tabla2[Mes],0))*COSECHA[[#This Row],[Jornales]],0)</f>
        <v>146410.60367629505</v>
      </c>
      <c r="N49" s="2">
        <f>+COSECHA[[#This Row],[Jornales $]]+SUM(COSECHA[[#This Row],[PA]:[EE III]])</f>
        <v>1388620.1245601964</v>
      </c>
      <c r="O49" s="2" t="str">
        <f>+IF(COSECHA[[#This Row],[Finca]]="Puente Alto",INDEX(Tabla2[kg pa],MATCH(COSECHA[[#This Row],[Mes]],Tabla2[Mes],0))*COSECHA[[#This Row],[KG]],"")</f>
        <v/>
      </c>
      <c r="P49" s="2">
        <f>+IF(COSECHA[[#This Row],[Tipo de Cosecha]]="Carro",INDEX(Tabla2[Precio Kg Uva Carro],MATCH(COSECHA[[#This Row],[Mes]],Tabla2[Mes],0)),"")*COSECHA[[#This Row],[KG]]</f>
        <v>1242209.5208839013</v>
      </c>
      <c r="Q49" s="2"/>
      <c r="R49" s="2"/>
      <c r="S49" s="2"/>
      <c r="T49" s="2"/>
      <c r="U49" s="2"/>
    </row>
    <row r="50" spans="1:21">
      <c r="A50" t="s">
        <v>8</v>
      </c>
      <c r="B50" t="s">
        <v>6</v>
      </c>
      <c r="C50" t="s">
        <v>127</v>
      </c>
      <c r="D50" t="s">
        <v>42</v>
      </c>
      <c r="E50" s="137">
        <v>255743</v>
      </c>
      <c r="F50" s="25">
        <v>6.5204105991883505</v>
      </c>
      <c r="H50">
        <f>+IFERROR(COSECHA[[#This Row],[KG uva]]/COUNTIFS(COSECHA[Finca],COSECHA[[#This Row],[Finca]],COSECHA[Variedad],COSECHA[[#This Row],[Variedad]],COSECHA[Tipo de Cosecha],COSECHA[[#This Row],[Tipo de Cosecha]]),0)</f>
        <v>51148.6</v>
      </c>
      <c r="J50" s="43">
        <f>+COSECHA[[#This Row],[KG]]/1625</f>
        <v>31.476061538461536</v>
      </c>
      <c r="K50" s="43" t="s">
        <v>97</v>
      </c>
      <c r="L50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1242209.5208839013</v>
      </c>
      <c r="M50" s="43">
        <f>+IFERROR(INDEX(Tabla2[Precio Jornal],MATCH(COSECHA[[#This Row],[Mes]],Tabla2[Mes],0))*COSECHA[[#This Row],[Jornales]],0)</f>
        <v>146410.60367629505</v>
      </c>
      <c r="N50" s="2">
        <f>+COSECHA[[#This Row],[Jornales $]]+SUM(COSECHA[[#This Row],[PA]:[EE III]])</f>
        <v>1388620.1245601964</v>
      </c>
      <c r="O50" s="2" t="str">
        <f>+IF(COSECHA[[#This Row],[Finca]]="Puente Alto",INDEX(Tabla2[kg pa],MATCH(COSECHA[[#This Row],[Mes]],Tabla2[Mes],0))*COSECHA[[#This Row],[KG]],"")</f>
        <v/>
      </c>
      <c r="P50" s="2">
        <f>+IF(COSECHA[[#This Row],[Tipo de Cosecha]]="Carro",INDEX(Tabla2[Precio Kg Uva Carro],MATCH(COSECHA[[#This Row],[Mes]],Tabla2[Mes],0)),"")*COSECHA[[#This Row],[KG]]</f>
        <v>1242209.5208839013</v>
      </c>
      <c r="Q50" s="2"/>
      <c r="R50" s="2"/>
      <c r="S50" s="2"/>
      <c r="T50" s="2"/>
      <c r="U50" s="2"/>
    </row>
    <row r="51" spans="1:21">
      <c r="A51" t="s">
        <v>8</v>
      </c>
      <c r="B51" t="s">
        <v>6</v>
      </c>
      <c r="C51" t="s">
        <v>128</v>
      </c>
      <c r="D51" t="s">
        <v>42</v>
      </c>
      <c r="E51" s="137">
        <v>255743</v>
      </c>
      <c r="F51" s="25">
        <v>26.081642396753402</v>
      </c>
      <c r="H51">
        <f>+IFERROR(COSECHA[[#This Row],[KG uva]]/COUNTIFS(COSECHA[Finca],COSECHA[[#This Row],[Finca]],COSECHA[Variedad],COSECHA[[#This Row],[Variedad]],COSECHA[Tipo de Cosecha],COSECHA[[#This Row],[Tipo de Cosecha]]),0)</f>
        <v>51148.6</v>
      </c>
      <c r="J51" s="43">
        <f>+COSECHA[[#This Row],[KG]]/1625</f>
        <v>31.476061538461536</v>
      </c>
      <c r="K51" s="43" t="s">
        <v>97</v>
      </c>
      <c r="L51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1242209.5208839013</v>
      </c>
      <c r="M51" s="43">
        <f>+IFERROR(INDEX(Tabla2[Precio Jornal],MATCH(COSECHA[[#This Row],[Mes]],Tabla2[Mes],0))*COSECHA[[#This Row],[Jornales]],0)</f>
        <v>585642.41470518021</v>
      </c>
      <c r="N51" s="2">
        <f>+COSECHA[[#This Row],[Jornales $]]+SUM(COSECHA[[#This Row],[PA]:[EE III]])</f>
        <v>1827851.9355890816</v>
      </c>
      <c r="O51" s="2" t="str">
        <f>+IF(COSECHA[[#This Row],[Finca]]="Puente Alto",INDEX(Tabla2[kg pa],MATCH(COSECHA[[#This Row],[Mes]],Tabla2[Mes],0))*COSECHA[[#This Row],[KG]],"")</f>
        <v/>
      </c>
      <c r="P51" s="2">
        <f>+IF(COSECHA[[#This Row],[Tipo de Cosecha]]="Carro",INDEX(Tabla2[Precio Kg Uva Carro],MATCH(COSECHA[[#This Row],[Mes]],Tabla2[Mes],0)),"")*COSECHA[[#This Row],[KG]]</f>
        <v>1242209.5208839013</v>
      </c>
      <c r="Q51" s="2"/>
      <c r="R51" s="2"/>
      <c r="S51" s="2"/>
      <c r="T51" s="2"/>
      <c r="U51" s="2"/>
    </row>
    <row r="52" spans="1:21">
      <c r="A52" t="s">
        <v>8</v>
      </c>
      <c r="B52" t="s">
        <v>6</v>
      </c>
      <c r="C52" t="s">
        <v>129</v>
      </c>
      <c r="D52" t="s">
        <v>42</v>
      </c>
      <c r="E52" s="137">
        <v>255743</v>
      </c>
      <c r="F52" s="25">
        <v>2.6081642396753404</v>
      </c>
      <c r="H52">
        <f>+IFERROR(COSECHA[[#This Row],[KG uva]]/COUNTIFS(COSECHA[Finca],COSECHA[[#This Row],[Finca]],COSECHA[Variedad],COSECHA[[#This Row],[Variedad]],COSECHA[Tipo de Cosecha],COSECHA[[#This Row],[Tipo de Cosecha]]),0)</f>
        <v>51148.6</v>
      </c>
      <c r="J52" s="43">
        <f>+COSECHA[[#This Row],[KG]]/1625</f>
        <v>31.476061538461536</v>
      </c>
      <c r="K52" s="43" t="s">
        <v>97</v>
      </c>
      <c r="L52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1242209.5208839013</v>
      </c>
      <c r="M52" s="43">
        <f>+IFERROR(INDEX(Tabla2[Precio Jornal],MATCH(COSECHA[[#This Row],[Mes]],Tabla2[Mes],0))*COSECHA[[#This Row],[Jornales]],0)</f>
        <v>58564.241470518027</v>
      </c>
      <c r="N52" s="2">
        <f>+COSECHA[[#This Row],[Jornales $]]+SUM(COSECHA[[#This Row],[PA]:[EE III]])</f>
        <v>1300773.7623544193</v>
      </c>
      <c r="O52" s="2" t="str">
        <f>+IF(COSECHA[[#This Row],[Finca]]="Puente Alto",INDEX(Tabla2[kg pa],MATCH(COSECHA[[#This Row],[Mes]],Tabla2[Mes],0))*COSECHA[[#This Row],[KG]],"")</f>
        <v/>
      </c>
      <c r="P52" s="2">
        <f>+IF(COSECHA[[#This Row],[Tipo de Cosecha]]="Carro",INDEX(Tabla2[Precio Kg Uva Carro],MATCH(COSECHA[[#This Row],[Mes]],Tabla2[Mes],0)),"")*COSECHA[[#This Row],[KG]]</f>
        <v>1242209.5208839013</v>
      </c>
      <c r="Q52" s="2"/>
      <c r="R52" s="2"/>
      <c r="S52" s="2"/>
      <c r="T52" s="2"/>
      <c r="U52" s="2"/>
    </row>
    <row r="53" spans="1:21">
      <c r="A53" t="s">
        <v>8</v>
      </c>
      <c r="B53" t="s">
        <v>6</v>
      </c>
      <c r="C53" t="s">
        <v>130</v>
      </c>
      <c r="D53" t="s">
        <v>42</v>
      </c>
      <c r="E53" s="137">
        <v>255743</v>
      </c>
      <c r="F53" s="25">
        <v>13.040821198376701</v>
      </c>
      <c r="H53">
        <f>+IFERROR(COSECHA[[#This Row],[KG uva]]/COUNTIFS(COSECHA[Finca],COSECHA[[#This Row],[Finca]],COSECHA[Variedad],COSECHA[[#This Row],[Variedad]],COSECHA[Tipo de Cosecha],COSECHA[[#This Row],[Tipo de Cosecha]]),0)</f>
        <v>51148.6</v>
      </c>
      <c r="J53" s="43">
        <f>+COSECHA[[#This Row],[KG]]/1625</f>
        <v>31.476061538461536</v>
      </c>
      <c r="K53" s="43" t="s">
        <v>97</v>
      </c>
      <c r="L53" s="16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1242209.5208839013</v>
      </c>
      <c r="M53" s="43">
        <f>+IFERROR(INDEX(Tabla2[Precio Jornal],MATCH(COSECHA[[#This Row],[Mes]],Tabla2[Mes],0))*COSECHA[[#This Row],[Jornales]],0)</f>
        <v>292821.20735259011</v>
      </c>
      <c r="N53" s="2">
        <f>+COSECHA[[#This Row],[Jornales $]]+SUM(COSECHA[[#This Row],[PA]:[EE III]])</f>
        <v>1535030.7282364913</v>
      </c>
      <c r="O53" s="2" t="str">
        <f>+IF(COSECHA[[#This Row],[Finca]]="Puente Alto",INDEX(Tabla2[kg pa],MATCH(COSECHA[[#This Row],[Mes]],Tabla2[Mes],0))*COSECHA[[#This Row],[KG]],"")</f>
        <v/>
      </c>
      <c r="P53" s="2">
        <f>+IF(COSECHA[[#This Row],[Tipo de Cosecha]]="Carro",INDEX(Tabla2[Precio Kg Uva Carro],MATCH(COSECHA[[#This Row],[Mes]],Tabla2[Mes],0)),"")*COSECHA[[#This Row],[KG]]</f>
        <v>1242209.5208839013</v>
      </c>
      <c r="Q53" s="2"/>
      <c r="R53" s="2"/>
      <c r="S53" s="2"/>
      <c r="T53" s="2"/>
      <c r="U53" s="2"/>
    </row>
    <row r="54" spans="1:21">
      <c r="A54" t="s">
        <v>12</v>
      </c>
      <c r="B54" t="s">
        <v>6</v>
      </c>
      <c r="C54" t="s">
        <v>126</v>
      </c>
      <c r="D54" t="s">
        <v>41</v>
      </c>
      <c r="E54" s="69">
        <v>324000</v>
      </c>
      <c r="F54" s="25">
        <v>9.992277992277991</v>
      </c>
      <c r="G54">
        <f>+COSECHA[[#This Row],[KG]]/300</f>
        <v>270</v>
      </c>
      <c r="H54">
        <f>+IFERROR(COSECHA[[#This Row],[KG uva]]/COUNTIFS(COSECHA[Finca],COSECHA[[#This Row],[Finca]],COSECHA[Variedad],COSECHA[[#This Row],[Variedad]],COSECHA[Tipo de Cosecha],COSECHA[[#This Row],[Tipo de Cosecha]]),0)</f>
        <v>81000</v>
      </c>
      <c r="K54" t="s">
        <v>97</v>
      </c>
      <c r="L54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1366103.5795646303</v>
      </c>
      <c r="M54">
        <f>+IFERROR(INDEX(Tabla2[Precio Jornal],MATCH(COSECHA[[#This Row],[Mes]],Tabla2[Mes],0))*COSECHA[[#This Row],[Jornales]],0)</f>
        <v>224368.60849420849</v>
      </c>
      <c r="N54" s="2">
        <f>+COSECHA[[#This Row],[Jornales $]]+SUM(COSECHA[[#This Row],[PA]:[EE III]])</f>
        <v>1590472.1880588387</v>
      </c>
      <c r="O54" s="2" t="str">
        <f>+IF(COSECHA[[#This Row],[Finca]]="Puente Alto",INDEX(Tabla2[kg pa],MATCH(COSECHA[[#This Row],[Mes]],Tabla2[Mes],0))*COSECHA[[#This Row],[KG]],"")</f>
        <v/>
      </c>
      <c r="P54" s="2"/>
      <c r="Q54" s="2">
        <f>+INDEX(Tabla2[Precio Bins],MATCH(COSECHA[[#This Row],[Mes]],Tabla2[Mes],0))*COSECHA[[#This Row],[Bins]]</f>
        <v>1366103.5795646303</v>
      </c>
      <c r="R54" s="2"/>
      <c r="S54" s="2"/>
      <c r="T54" s="2"/>
      <c r="U54" s="2"/>
    </row>
    <row r="55" spans="1:21">
      <c r="A55" t="s">
        <v>12</v>
      </c>
      <c r="B55" t="s">
        <v>6</v>
      </c>
      <c r="C55" t="s">
        <v>127</v>
      </c>
      <c r="D55" t="s">
        <v>41</v>
      </c>
      <c r="E55" s="69">
        <v>324000</v>
      </c>
      <c r="F55" s="25">
        <v>12.991967871485944</v>
      </c>
      <c r="G55">
        <f>+COSECHA[[#This Row],[KG]]/300</f>
        <v>270</v>
      </c>
      <c r="H55">
        <f>+IFERROR(COSECHA[[#This Row],[KG uva]]/COUNTIFS(COSECHA[Finca],COSECHA[[#This Row],[Finca]],COSECHA[Variedad],COSECHA[[#This Row],[Variedad]],COSECHA[Tipo de Cosecha],COSECHA[[#This Row],[Tipo de Cosecha]]),0)</f>
        <v>81000</v>
      </c>
      <c r="K55" t="s">
        <v>97</v>
      </c>
      <c r="L55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1366103.5795646303</v>
      </c>
      <c r="M55">
        <f>+IFERROR(INDEX(Tabla2[Precio Jornal],MATCH(COSECHA[[#This Row],[Mes]],Tabla2[Mes],0))*COSECHA[[#This Row],[Jornales]],0)</f>
        <v>291724.24497991969</v>
      </c>
      <c r="N55" s="2">
        <f>+COSECHA[[#This Row],[Jornales $]]+SUM(COSECHA[[#This Row],[PA]:[EE III]])</f>
        <v>1657827.8245445499</v>
      </c>
      <c r="O55" s="2" t="str">
        <f>+IF(COSECHA[[#This Row],[Finca]]="Puente Alto",INDEX(Tabla2[kg pa],MATCH(COSECHA[[#This Row],[Mes]],Tabla2[Mes],0))*COSECHA[[#This Row],[KG]],"")</f>
        <v/>
      </c>
      <c r="P55" s="2"/>
      <c r="Q55" s="2">
        <f>+INDEX(Tabla2[Precio Bins],MATCH(COSECHA[[#This Row],[Mes]],Tabla2[Mes],0))*COSECHA[[#This Row],[Bins]]</f>
        <v>1366103.5795646303</v>
      </c>
      <c r="R55" s="2"/>
      <c r="S55" s="2"/>
      <c r="T55" s="2"/>
      <c r="U55" s="2"/>
    </row>
    <row r="56" spans="1:21">
      <c r="A56" t="s">
        <v>12</v>
      </c>
      <c r="B56" t="s">
        <v>6</v>
      </c>
      <c r="C56" t="s">
        <v>128</v>
      </c>
      <c r="D56" t="s">
        <v>41</v>
      </c>
      <c r="E56" s="69">
        <v>324000</v>
      </c>
      <c r="F56" s="25">
        <v>29.953703703703702</v>
      </c>
      <c r="G56">
        <f>+COSECHA[[#This Row],[KG]]/300</f>
        <v>270</v>
      </c>
      <c r="H56">
        <f>+IFERROR(COSECHA[[#This Row],[KG uva]]/COUNTIFS(COSECHA[Finca],COSECHA[[#This Row],[Finca]],COSECHA[Variedad],COSECHA[[#This Row],[Variedad]],COSECHA[Tipo de Cosecha],COSECHA[[#This Row],[Tipo de Cosecha]]),0)</f>
        <v>81000</v>
      </c>
      <c r="K56" t="s">
        <v>97</v>
      </c>
      <c r="L56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1366103.5795646303</v>
      </c>
      <c r="M56">
        <f>+IFERROR(INDEX(Tabla2[Precio Jornal],MATCH(COSECHA[[#This Row],[Mes]],Tabla2[Mes],0))*COSECHA[[#This Row],[Jornales]],0)</f>
        <v>672586.45370370371</v>
      </c>
      <c r="N56" s="2">
        <f>+COSECHA[[#This Row],[Jornales $]]+SUM(COSECHA[[#This Row],[PA]:[EE III]])</f>
        <v>2038690.0332683339</v>
      </c>
      <c r="O56" s="2" t="str">
        <f>+IF(COSECHA[[#This Row],[Finca]]="Puente Alto",INDEX(Tabla2[kg pa],MATCH(COSECHA[[#This Row],[Mes]],Tabla2[Mes],0))*COSECHA[[#This Row],[KG]],"")</f>
        <v/>
      </c>
      <c r="P56" s="2"/>
      <c r="Q56" s="2">
        <f>+INDEX(Tabla2[Precio Bins],MATCH(COSECHA[[#This Row],[Mes]],Tabla2[Mes],0))*COSECHA[[#This Row],[Bins]]</f>
        <v>1366103.5795646303</v>
      </c>
      <c r="R56" s="2"/>
      <c r="S56" s="2"/>
      <c r="T56" s="2"/>
      <c r="U56" s="2"/>
    </row>
    <row r="57" spans="1:21">
      <c r="A57" t="s">
        <v>12</v>
      </c>
      <c r="B57" t="s">
        <v>6</v>
      </c>
      <c r="C57" t="s">
        <v>129</v>
      </c>
      <c r="D57" t="s">
        <v>41</v>
      </c>
      <c r="E57" s="69">
        <v>324000</v>
      </c>
      <c r="F57" s="25">
        <v>3.5964424680377984</v>
      </c>
      <c r="G57">
        <f>+COSECHA[[#This Row],[KG]]/300</f>
        <v>270</v>
      </c>
      <c r="H57">
        <f>+IFERROR(COSECHA[[#This Row],[KG uva]]/COUNTIFS(COSECHA[Finca],COSECHA[[#This Row],[Finca]],COSECHA[Variedad],COSECHA[[#This Row],[Variedad]],COSECHA[Tipo de Cosecha],COSECHA[[#This Row],[Tipo de Cosecha]]),0)</f>
        <v>81000</v>
      </c>
      <c r="K57" t="s">
        <v>97</v>
      </c>
      <c r="L57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1366103.5795646303</v>
      </c>
      <c r="M57">
        <f>+IFERROR(INDEX(Tabla2[Precio Jornal],MATCH(COSECHA[[#This Row],[Mes]],Tabla2[Mes],0))*COSECHA[[#This Row],[Jornales]],0)</f>
        <v>80755.238465814342</v>
      </c>
      <c r="N57" s="2">
        <f>+COSECHA[[#This Row],[Jornales $]]+SUM(COSECHA[[#This Row],[PA]:[EE III]])</f>
        <v>1446858.8180304447</v>
      </c>
      <c r="O57" s="2" t="str">
        <f>+IF(COSECHA[[#This Row],[Finca]]="Puente Alto",INDEX(Tabla2[kg pa],MATCH(COSECHA[[#This Row],[Mes]],Tabla2[Mes],0))*COSECHA[[#This Row],[KG]],"")</f>
        <v/>
      </c>
      <c r="P57" s="2"/>
      <c r="Q57" s="2">
        <f>+INDEX(Tabla2[Precio Bins],MATCH(COSECHA[[#This Row],[Mes]],Tabla2[Mes],0))*COSECHA[[#This Row],[Bins]]</f>
        <v>1366103.5795646303</v>
      </c>
      <c r="R57" s="2"/>
      <c r="S57" s="2"/>
      <c r="T57" s="2"/>
      <c r="U57" s="2"/>
    </row>
    <row r="58" spans="1:21">
      <c r="A58" t="s">
        <v>12</v>
      </c>
      <c r="B58" t="s">
        <v>6</v>
      </c>
      <c r="C58" t="s">
        <v>126</v>
      </c>
      <c r="D58" t="s">
        <v>42</v>
      </c>
      <c r="E58" s="69">
        <v>473000</v>
      </c>
      <c r="F58" s="25">
        <v>13.738996138996139</v>
      </c>
      <c r="H58">
        <f>+IFERROR(COSECHA[[#This Row],[KG uva]]/COUNTIFS(COSECHA[Finca],COSECHA[[#This Row],[Finca]],COSECHA[Variedad],COSECHA[[#This Row],[Variedad]],COSECHA[Tipo de Cosecha],COSECHA[[#This Row],[Tipo de Cosecha]]),0)</f>
        <v>118250</v>
      </c>
      <c r="K58" t="s">
        <v>97</v>
      </c>
      <c r="L58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2871853.3028180893</v>
      </c>
      <c r="M58">
        <f>+IFERROR(INDEX(Tabla2[Precio Jornal],MATCH(COSECHA[[#This Row],[Mes]],Tabla2[Mes],0))*COSECHA[[#This Row],[Jornales]],0)</f>
        <v>308498.16710424714</v>
      </c>
      <c r="N58" s="2">
        <f>+COSECHA[[#This Row],[Jornales $]]+SUM(COSECHA[[#This Row],[PA]:[EE III]])</f>
        <v>3180351.4699223363</v>
      </c>
      <c r="O58" s="2" t="str">
        <f>+IF(COSECHA[[#This Row],[Finca]]="Puente Alto",INDEX(Tabla2[kg pa],MATCH(COSECHA[[#This Row],[Mes]],Tabla2[Mes],0))*COSECHA[[#This Row],[KG]],"")</f>
        <v/>
      </c>
      <c r="P58" s="2"/>
      <c r="Q58" s="2">
        <f>+INDEX(Tabla2[Precio Kg Uva Carro],MATCH(COSECHA[[#This Row],[Mes]],Tabla2[Mes],0))*COSECHA[[#This Row],[KG]]</f>
        <v>2871853.3028180893</v>
      </c>
      <c r="R58" s="2"/>
      <c r="S58" s="2"/>
      <c r="T58" s="2"/>
      <c r="U58" s="2"/>
    </row>
    <row r="59" spans="1:21">
      <c r="A59" t="s">
        <v>12</v>
      </c>
      <c r="B59" t="s">
        <v>6</v>
      </c>
      <c r="C59" t="s">
        <v>127</v>
      </c>
      <c r="D59" t="s">
        <v>42</v>
      </c>
      <c r="E59" s="69">
        <v>473000</v>
      </c>
      <c r="F59" s="25">
        <v>17.863453815261042</v>
      </c>
      <c r="H59">
        <f>+IFERROR(COSECHA[[#This Row],[KG uva]]/COUNTIFS(COSECHA[Finca],COSECHA[[#This Row],[Finca]],COSECHA[Variedad],COSECHA[[#This Row],[Variedad]],COSECHA[Tipo de Cosecha],COSECHA[[#This Row],[Tipo de Cosecha]]),0)</f>
        <v>118250</v>
      </c>
      <c r="K59" t="s">
        <v>97</v>
      </c>
      <c r="L59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2871853.3028180893</v>
      </c>
      <c r="M59">
        <f>+IFERROR(INDEX(Tabla2[Precio Jornal],MATCH(COSECHA[[#This Row],[Mes]],Tabla2[Mes],0))*COSECHA[[#This Row],[Jornales]],0)</f>
        <v>401109.56465863454</v>
      </c>
      <c r="N59" s="2">
        <f>+COSECHA[[#This Row],[Jornales $]]+SUM(COSECHA[[#This Row],[PA]:[EE III]])</f>
        <v>3272962.8674767236</v>
      </c>
      <c r="O59" s="2" t="str">
        <f>+IF(COSECHA[[#This Row],[Finca]]="Puente Alto",INDEX(Tabla2[kg pa],MATCH(COSECHA[[#This Row],[Mes]],Tabla2[Mes],0))*COSECHA[[#This Row],[KG]],"")</f>
        <v/>
      </c>
      <c r="P59" s="2"/>
      <c r="Q59" s="2">
        <f>+INDEX(Tabla2[Precio Kg Uva Carro],MATCH(COSECHA[[#This Row],[Mes]],Tabla2[Mes],0))*COSECHA[[#This Row],[KG]]</f>
        <v>2871853.3028180893</v>
      </c>
      <c r="R59" s="2"/>
      <c r="S59" s="2"/>
      <c r="T59" s="2"/>
      <c r="U59" s="2"/>
    </row>
    <row r="60" spans="1:21">
      <c r="A60" t="s">
        <v>12</v>
      </c>
      <c r="B60" t="s">
        <v>6</v>
      </c>
      <c r="C60" t="s">
        <v>128</v>
      </c>
      <c r="D60" t="s">
        <v>42</v>
      </c>
      <c r="E60" s="69">
        <v>473000</v>
      </c>
      <c r="F60" s="25">
        <v>41.18518518518519</v>
      </c>
      <c r="H60">
        <f>+IFERROR(COSECHA[[#This Row],[KG uva]]/COUNTIFS(COSECHA[Finca],COSECHA[[#This Row],[Finca]],COSECHA[Variedad],COSECHA[[#This Row],[Variedad]],COSECHA[Tipo de Cosecha],COSECHA[[#This Row],[Tipo de Cosecha]]),0)</f>
        <v>118250</v>
      </c>
      <c r="K60" t="s">
        <v>97</v>
      </c>
      <c r="L60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2871853.3028180893</v>
      </c>
      <c r="M60">
        <f>+IFERROR(INDEX(Tabla2[Precio Jornal],MATCH(COSECHA[[#This Row],[Mes]],Tabla2[Mes],0))*COSECHA[[#This Row],[Jornales]],0)</f>
        <v>924780.38518518535</v>
      </c>
      <c r="N60" s="2">
        <f>+COSECHA[[#This Row],[Jornales $]]+SUM(COSECHA[[#This Row],[PA]:[EE III]])</f>
        <v>3796633.6880032746</v>
      </c>
      <c r="O60" s="2" t="str">
        <f>+IF(COSECHA[[#This Row],[Finca]]="Puente Alto",INDEX(Tabla2[kg pa],MATCH(COSECHA[[#This Row],[Mes]],Tabla2[Mes],0))*COSECHA[[#This Row],[KG]],"")</f>
        <v/>
      </c>
      <c r="P60" s="2"/>
      <c r="Q60" s="2">
        <f>+INDEX(Tabla2[Precio Kg Uva Carro],MATCH(COSECHA[[#This Row],[Mes]],Tabla2[Mes],0))*COSECHA[[#This Row],[KG]]</f>
        <v>2871853.3028180893</v>
      </c>
      <c r="R60" s="2"/>
      <c r="S60" s="2"/>
      <c r="T60" s="2"/>
      <c r="U60" s="2"/>
    </row>
    <row r="61" spans="1:21">
      <c r="A61" t="s">
        <v>12</v>
      </c>
      <c r="B61" t="s">
        <v>6</v>
      </c>
      <c r="C61" t="s">
        <v>129</v>
      </c>
      <c r="D61" t="s">
        <v>42</v>
      </c>
      <c r="E61" s="69">
        <v>473000</v>
      </c>
      <c r="F61" s="25">
        <v>4.9449694274597</v>
      </c>
      <c r="H61">
        <f>+IFERROR(COSECHA[[#This Row],[KG uva]]/COUNTIFS(COSECHA[Finca],COSECHA[[#This Row],[Finca]],COSECHA[Variedad],COSECHA[[#This Row],[Variedad]],COSECHA[Tipo de Cosecha],COSECHA[[#This Row],[Tipo de Cosecha]]),0)</f>
        <v>118250</v>
      </c>
      <c r="K61" t="s">
        <v>97</v>
      </c>
      <c r="L61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2871853.3028180893</v>
      </c>
      <c r="M61">
        <f>+IFERROR(INDEX(Tabla2[Precio Jornal],MATCH(COSECHA[[#This Row],[Mes]],Tabla2[Mes],0))*COSECHA[[#This Row],[Jornales]],0)</f>
        <v>111035.3325180656</v>
      </c>
      <c r="N61" s="2">
        <f>+COSECHA[[#This Row],[Jornales $]]+SUM(COSECHA[[#This Row],[PA]:[EE III]])</f>
        <v>2982888.6353361551</v>
      </c>
      <c r="O61" s="2" t="str">
        <f>+IF(COSECHA[[#This Row],[Finca]]="Puente Alto",INDEX(Tabla2[kg pa],MATCH(COSECHA[[#This Row],[Mes]],Tabla2[Mes],0))*COSECHA[[#This Row],[KG]],"")</f>
        <v/>
      </c>
      <c r="P61" s="2"/>
      <c r="Q61" s="2">
        <f>+INDEX(Tabla2[Precio Kg Uva Carro],MATCH(COSECHA[[#This Row],[Mes]],Tabla2[Mes],0))*COSECHA[[#This Row],[KG]]</f>
        <v>2871853.3028180893</v>
      </c>
      <c r="R61" s="2"/>
      <c r="S61" s="2"/>
      <c r="T61" s="2"/>
      <c r="U61" s="2"/>
    </row>
    <row r="62" spans="1:21">
      <c r="A62" t="s">
        <v>12</v>
      </c>
      <c r="B62" t="s">
        <v>10</v>
      </c>
      <c r="C62" t="s">
        <v>126</v>
      </c>
      <c r="D62" t="s">
        <v>42</v>
      </c>
      <c r="E62" s="69">
        <v>355000</v>
      </c>
      <c r="F62" s="25">
        <v>12.192277992277992</v>
      </c>
      <c r="H62">
        <f>+IFERROR(COSECHA[[#This Row],[KG uva]]/COUNTIFS(COSECHA[Finca],COSECHA[[#This Row],[Finca]],COSECHA[Variedad],COSECHA[[#This Row],[Variedad]],COSECHA[Tipo de Cosecha],COSECHA[[#This Row],[Tipo de Cosecha]]),0)</f>
        <v>88750</v>
      </c>
      <c r="K62" t="s">
        <v>96</v>
      </c>
      <c r="L62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2092725.0000000002</v>
      </c>
      <c r="M62">
        <f>+IFERROR(INDEX(Tabla2[Precio Jornal],MATCH(COSECHA[[#This Row],[Mes]],Tabla2[Mes],0))*COSECHA[[#This Row],[Jornales]],0)</f>
        <v>269250.60949806951</v>
      </c>
      <c r="N62" s="2">
        <f>+COSECHA[[#This Row],[Jornales $]]+SUM(COSECHA[[#This Row],[PA]:[EE III]])</f>
        <v>2361975.6094980696</v>
      </c>
      <c r="O62" s="2" t="str">
        <f>+IF(COSECHA[[#This Row],[Finca]]="Puente Alto",INDEX(Tabla2[kg pa],MATCH(COSECHA[[#This Row],[Mes]],Tabla2[Mes],0))*COSECHA[[#This Row],[KG]],"")</f>
        <v/>
      </c>
      <c r="P62" s="2"/>
      <c r="Q62" s="2">
        <f>+INDEX(Tabla2[Precio Kg Uva Carro],MATCH(COSECHA[[#This Row],[Mes]],Tabla2[Mes],0))*COSECHA[[#This Row],[KG]]</f>
        <v>2092725.0000000002</v>
      </c>
      <c r="R62" s="2"/>
      <c r="S62" s="2"/>
      <c r="T62" s="2"/>
      <c r="U62" s="2"/>
    </row>
    <row r="63" spans="1:21">
      <c r="A63" t="s">
        <v>12</v>
      </c>
      <c r="B63" t="s">
        <v>10</v>
      </c>
      <c r="C63" t="s">
        <v>127</v>
      </c>
      <c r="D63" t="s">
        <v>42</v>
      </c>
      <c r="E63" s="69">
        <v>355000</v>
      </c>
      <c r="F63" s="25">
        <v>15.852409638554217</v>
      </c>
      <c r="H63">
        <f>+IFERROR(COSECHA[[#This Row],[KG uva]]/COUNTIFS(COSECHA[Finca],COSECHA[[#This Row],[Finca]],COSECHA[Variedad],COSECHA[[#This Row],[Variedad]],COSECHA[Tipo de Cosecha],COSECHA[[#This Row],[Tipo de Cosecha]]),0)</f>
        <v>88750</v>
      </c>
      <c r="K63" t="s">
        <v>96</v>
      </c>
      <c r="L63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2092725.0000000002</v>
      </c>
      <c r="M63">
        <f>+IFERROR(INDEX(Tabla2[Precio Jornal],MATCH(COSECHA[[#This Row],[Mes]],Tabla2[Mes],0))*COSECHA[[#This Row],[Jornales]],0)</f>
        <v>350079.85873493977</v>
      </c>
      <c r="N63" s="2">
        <f>+COSECHA[[#This Row],[Jornales $]]+SUM(COSECHA[[#This Row],[PA]:[EE III]])</f>
        <v>2442804.8587349402</v>
      </c>
      <c r="O63" s="2" t="str">
        <f>+IF(COSECHA[[#This Row],[Finca]]="Puente Alto",INDEX(Tabla2[kg pa],MATCH(COSECHA[[#This Row],[Mes]],Tabla2[Mes],0))*COSECHA[[#This Row],[KG]],"")</f>
        <v/>
      </c>
      <c r="P63" s="2"/>
      <c r="Q63" s="2">
        <f>+INDEX(Tabla2[Precio Kg Uva Carro],MATCH(COSECHA[[#This Row],[Mes]],Tabla2[Mes],0))*COSECHA[[#This Row],[KG]]</f>
        <v>2092725.0000000002</v>
      </c>
      <c r="R63" s="2"/>
      <c r="S63" s="2"/>
      <c r="T63" s="2"/>
      <c r="U63" s="2"/>
    </row>
    <row r="64" spans="1:21">
      <c r="A64" t="s">
        <v>12</v>
      </c>
      <c r="B64" t="s">
        <v>10</v>
      </c>
      <c r="C64" t="s">
        <v>128</v>
      </c>
      <c r="D64" t="s">
        <v>42</v>
      </c>
      <c r="E64" s="69">
        <v>355000</v>
      </c>
      <c r="F64" s="25">
        <v>36.548611111111114</v>
      </c>
      <c r="H64">
        <f>+IFERROR(COSECHA[[#This Row],[KG uva]]/COUNTIFS(COSECHA[Finca],COSECHA[[#This Row],[Finca]],COSECHA[Variedad],COSECHA[[#This Row],[Variedad]],COSECHA[Tipo de Cosecha],COSECHA[[#This Row],[Tipo de Cosecha]]),0)</f>
        <v>88750</v>
      </c>
      <c r="K64" t="s">
        <v>96</v>
      </c>
      <c r="L64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2092725.0000000002</v>
      </c>
      <c r="M64">
        <f>+IFERROR(INDEX(Tabla2[Precio Jornal],MATCH(COSECHA[[#This Row],[Mes]],Tabla2[Mes],0))*COSECHA[[#This Row],[Jornales]],0)</f>
        <v>807128.56319444452</v>
      </c>
      <c r="N64" s="2">
        <f>+COSECHA[[#This Row],[Jornales $]]+SUM(COSECHA[[#This Row],[PA]:[EE III]])</f>
        <v>2899853.5631944449</v>
      </c>
      <c r="O64" s="2" t="str">
        <f>+IF(COSECHA[[#This Row],[Finca]]="Puente Alto",INDEX(Tabla2[kg pa],MATCH(COSECHA[[#This Row],[Mes]],Tabla2[Mes],0))*COSECHA[[#This Row],[KG]],"")</f>
        <v/>
      </c>
      <c r="P64" s="2"/>
      <c r="Q64" s="2">
        <f>+INDEX(Tabla2[Precio Kg Uva Carro],MATCH(COSECHA[[#This Row],[Mes]],Tabla2[Mes],0))*COSECHA[[#This Row],[KG]]</f>
        <v>2092725.0000000002</v>
      </c>
      <c r="R64" s="2"/>
      <c r="S64" s="2"/>
      <c r="T64" s="2"/>
      <c r="U64" s="2"/>
    </row>
    <row r="65" spans="1:21">
      <c r="A65" t="s">
        <v>12</v>
      </c>
      <c r="B65" t="s">
        <v>10</v>
      </c>
      <c r="C65" t="s">
        <v>129</v>
      </c>
      <c r="D65" t="s">
        <v>42</v>
      </c>
      <c r="E65" s="69">
        <v>355000</v>
      </c>
      <c r="F65" s="25">
        <v>4.3882712618121182</v>
      </c>
      <c r="H65">
        <f>+IFERROR(COSECHA[[#This Row],[KG uva]]/COUNTIFS(COSECHA[Finca],COSECHA[[#This Row],[Finca]],COSECHA[Variedad],COSECHA[[#This Row],[Variedad]],COSECHA[Tipo de Cosecha],COSECHA[[#This Row],[Tipo de Cosecha]]),0)</f>
        <v>88750</v>
      </c>
      <c r="K65" t="s">
        <v>96</v>
      </c>
      <c r="L65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2092725.0000000002</v>
      </c>
      <c r="M65">
        <f>+IFERROR(INDEX(Tabla2[Precio Jornal],MATCH(COSECHA[[#This Row],[Mes]],Tabla2[Mes],0))*COSECHA[[#This Row],[Jornales]],0)</f>
        <v>96909.266064480282</v>
      </c>
      <c r="N65" s="2">
        <f>+COSECHA[[#This Row],[Jornales $]]+SUM(COSECHA[[#This Row],[PA]:[EE III]])</f>
        <v>2189634.2660644804</v>
      </c>
      <c r="O65" s="2" t="str">
        <f>+IF(COSECHA[[#This Row],[Finca]]="Puente Alto",INDEX(Tabla2[kg pa],MATCH(COSECHA[[#This Row],[Mes]],Tabla2[Mes],0))*COSECHA[[#This Row],[KG]],"")</f>
        <v/>
      </c>
      <c r="P65" s="2"/>
      <c r="Q65" s="2">
        <f>+INDEX(Tabla2[Precio Kg Uva Carro],MATCH(COSECHA[[#This Row],[Mes]],Tabla2[Mes],0))*COSECHA[[#This Row],[KG]]</f>
        <v>2092725.0000000002</v>
      </c>
      <c r="R65" s="2"/>
      <c r="S65" s="2"/>
      <c r="T65" s="2"/>
      <c r="U65" s="2"/>
    </row>
    <row r="66" spans="1:21">
      <c r="A66" t="s">
        <v>12</v>
      </c>
      <c r="B66" t="s">
        <v>7</v>
      </c>
      <c r="C66" t="s">
        <v>126</v>
      </c>
      <c r="D66" t="s">
        <v>42</v>
      </c>
      <c r="E66" s="69">
        <v>470500</v>
      </c>
      <c r="F66" s="25">
        <v>14.103474903474902</v>
      </c>
      <c r="H66">
        <f>+IFERROR(COSECHA[[#This Row],[KG uva]]/COUNTIFS(COSECHA[Finca],COSECHA[[#This Row],[Finca]],COSECHA[Variedad],COSECHA[[#This Row],[Variedad]],COSECHA[Tipo de Cosecha],COSECHA[[#This Row],[Tipo de Cosecha]]),0)</f>
        <v>117625</v>
      </c>
      <c r="K66" t="s">
        <v>98</v>
      </c>
      <c r="L66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2942559.4806783665</v>
      </c>
      <c r="M66">
        <f>+IFERROR(INDEX(Tabla2[Precio Jornal],MATCH(COSECHA[[#This Row],[Mes]],Tabla2[Mes],0))*COSECHA[[#This Row],[Jornales]],0)</f>
        <v>322041.56664092664</v>
      </c>
      <c r="N66" s="2">
        <f>+COSECHA[[#This Row],[Jornales $]]+SUM(COSECHA[[#This Row],[PA]:[EE III]])</f>
        <v>3264601.047319293</v>
      </c>
      <c r="O66" s="2" t="str">
        <f>+IF(COSECHA[[#This Row],[Finca]]="Puente Alto",INDEX(Tabla2[kg pa],MATCH(COSECHA[[#This Row],[Mes]],Tabla2[Mes],0))*COSECHA[[#This Row],[KG]],"")</f>
        <v/>
      </c>
      <c r="P66" s="2"/>
      <c r="Q66" s="2">
        <f>+INDEX(Tabla2[Precio Kg Uva Carro],MATCH(COSECHA[[#This Row],[Mes]],Tabla2[Mes],0))*COSECHA[[#This Row],[KG]]</f>
        <v>2942559.4806783665</v>
      </c>
      <c r="R66" s="2"/>
      <c r="S66" s="2"/>
      <c r="T66" s="2"/>
      <c r="U66" s="2"/>
    </row>
    <row r="67" spans="1:21">
      <c r="A67" t="s">
        <v>12</v>
      </c>
      <c r="B67" t="s">
        <v>7</v>
      </c>
      <c r="C67" t="s">
        <v>127</v>
      </c>
      <c r="D67" t="s">
        <v>42</v>
      </c>
      <c r="E67" s="69">
        <v>470500</v>
      </c>
      <c r="F67" s="25">
        <v>18.337349397590362</v>
      </c>
      <c r="H67">
        <f>+IFERROR(COSECHA[[#This Row],[KG uva]]/COUNTIFS(COSECHA[Finca],COSECHA[[#This Row],[Finca]],COSECHA[Variedad],COSECHA[[#This Row],[Variedad]],COSECHA[Tipo de Cosecha],COSECHA[[#This Row],[Tipo de Cosecha]]),0)</f>
        <v>117625</v>
      </c>
      <c r="K67" t="s">
        <v>98</v>
      </c>
      <c r="L67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2942559.4806783665</v>
      </c>
      <c r="M67">
        <f>+IFERROR(INDEX(Tabla2[Precio Jornal],MATCH(COSECHA[[#This Row],[Mes]],Tabla2[Mes],0))*COSECHA[[#This Row],[Jornales]],0)</f>
        <v>418718.70361445786</v>
      </c>
      <c r="N67" s="2">
        <f>+COSECHA[[#This Row],[Jornales $]]+SUM(COSECHA[[#This Row],[PA]:[EE III]])</f>
        <v>3361278.1842928245</v>
      </c>
      <c r="O67" s="2" t="str">
        <f>+IF(COSECHA[[#This Row],[Finca]]="Puente Alto",INDEX(Tabla2[kg pa],MATCH(COSECHA[[#This Row],[Mes]],Tabla2[Mes],0))*COSECHA[[#This Row],[KG]],"")</f>
        <v/>
      </c>
      <c r="P67" s="2"/>
      <c r="Q67" s="2">
        <f>+INDEX(Tabla2[Precio Kg Uva Carro],MATCH(COSECHA[[#This Row],[Mes]],Tabla2[Mes],0))*COSECHA[[#This Row],[KG]]</f>
        <v>2942559.4806783665</v>
      </c>
      <c r="R67" s="2"/>
      <c r="S67" s="2"/>
      <c r="T67" s="2"/>
      <c r="U67" s="2"/>
    </row>
    <row r="68" spans="1:21">
      <c r="A68" t="s">
        <v>12</v>
      </c>
      <c r="B68" t="s">
        <v>7</v>
      </c>
      <c r="C68" t="s">
        <v>128</v>
      </c>
      <c r="D68" t="s">
        <v>42</v>
      </c>
      <c r="E68" s="69">
        <v>470500</v>
      </c>
      <c r="F68" s="25">
        <v>42.277777777777779</v>
      </c>
      <c r="H68">
        <f>+IFERROR(COSECHA[[#This Row],[KG uva]]/COUNTIFS(COSECHA[Finca],COSECHA[[#This Row],[Finca]],COSECHA[Variedad],COSECHA[[#This Row],[Variedad]],COSECHA[Tipo de Cosecha],COSECHA[[#This Row],[Tipo de Cosecha]]),0)</f>
        <v>117625</v>
      </c>
      <c r="K68" t="s">
        <v>98</v>
      </c>
      <c r="L68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2942559.4806783665</v>
      </c>
      <c r="M68">
        <f>+IFERROR(INDEX(Tabla2[Precio Jornal],MATCH(COSECHA[[#This Row],[Mes]],Tabla2[Mes],0))*COSECHA[[#This Row],[Jornales]],0)</f>
        <v>965379.2333333334</v>
      </c>
      <c r="N68" s="2">
        <f>+COSECHA[[#This Row],[Jornales $]]+SUM(COSECHA[[#This Row],[PA]:[EE III]])</f>
        <v>3907938.7140116999</v>
      </c>
      <c r="O68" s="2" t="str">
        <f>+IF(COSECHA[[#This Row],[Finca]]="Puente Alto",INDEX(Tabla2[kg pa],MATCH(COSECHA[[#This Row],[Mes]],Tabla2[Mes],0))*COSECHA[[#This Row],[KG]],"")</f>
        <v/>
      </c>
      <c r="P68" s="2"/>
      <c r="Q68" s="2">
        <f>+INDEX(Tabla2[Precio Kg Uva Carro],MATCH(COSECHA[[#This Row],[Mes]],Tabla2[Mes],0))*COSECHA[[#This Row],[KG]]</f>
        <v>2942559.4806783665</v>
      </c>
      <c r="R68" s="2"/>
      <c r="S68" s="2"/>
      <c r="T68" s="2"/>
      <c r="U68" s="2"/>
    </row>
    <row r="69" spans="1:21">
      <c r="A69" t="s">
        <v>12</v>
      </c>
      <c r="B69" t="s">
        <v>7</v>
      </c>
      <c r="C69" t="s">
        <v>129</v>
      </c>
      <c r="D69" t="s">
        <v>42</v>
      </c>
      <c r="E69" s="69">
        <v>470500</v>
      </c>
      <c r="F69" s="25">
        <v>5.0761534185658697</v>
      </c>
      <c r="H69">
        <f>+IFERROR(COSECHA[[#This Row],[KG uva]]/COUNTIFS(COSECHA[Finca],COSECHA[[#This Row],[Finca]],COSECHA[Variedad],COSECHA[[#This Row],[Variedad]],COSECHA[Tipo de Cosecha],COSECHA[[#This Row],[Tipo de Cosecha]]),0)</f>
        <v>117625</v>
      </c>
      <c r="K69" t="s">
        <v>98</v>
      </c>
      <c r="L69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2942559.4806783665</v>
      </c>
      <c r="M69">
        <f>+IFERROR(INDEX(Tabla2[Precio Jornal],MATCH(COSECHA[[#This Row],[Mes]],Tabla2[Mes],0))*COSECHA[[#This Row],[Jornales]],0)</f>
        <v>115909.90239021678</v>
      </c>
      <c r="N69" s="2">
        <f>+COSECHA[[#This Row],[Jornales $]]+SUM(COSECHA[[#This Row],[PA]:[EE III]])</f>
        <v>3058469.3830685834</v>
      </c>
      <c r="O69" s="2" t="str">
        <f>+IF(COSECHA[[#This Row],[Finca]]="Puente Alto",INDEX(Tabla2[kg pa],MATCH(COSECHA[[#This Row],[Mes]],Tabla2[Mes],0))*COSECHA[[#This Row],[KG]],"")</f>
        <v/>
      </c>
      <c r="P69" s="2"/>
      <c r="Q69" s="2">
        <f>+INDEX(Tabla2[Precio Kg Uva Carro],MATCH(COSECHA[[#This Row],[Mes]],Tabla2[Mes],0))*COSECHA[[#This Row],[KG]]</f>
        <v>2942559.4806783665</v>
      </c>
      <c r="R69" s="2"/>
      <c r="S69" s="2"/>
      <c r="T69" s="2"/>
      <c r="U69" s="2"/>
    </row>
    <row r="70" spans="1:21">
      <c r="A70" t="s">
        <v>13</v>
      </c>
      <c r="B70" t="s">
        <v>6</v>
      </c>
      <c r="C70" t="s">
        <v>126</v>
      </c>
      <c r="D70" t="s">
        <v>162</v>
      </c>
      <c r="E70" s="69">
        <v>1194400</v>
      </c>
      <c r="F70" s="25">
        <v>10.126128931796949</v>
      </c>
      <c r="G70">
        <f>+COSECHA[[#This Row],[KG]]/4/12</f>
        <v>4147.2222222222217</v>
      </c>
      <c r="H70" s="2">
        <f>+IFERROR(COSECHA[[#This Row],[KG uva]]/COUNTIFS(COSECHA[Finca],COSECHA[[#This Row],[Finca]],COSECHA[Variedad],COSECHA[[#This Row],[Variedad]],COSECHA[Tipo de Cosecha],COSECHA[[#This Row],[Tipo de Cosecha]]),0)</f>
        <v>199066.66666666666</v>
      </c>
      <c r="K70" t="s">
        <v>98</v>
      </c>
      <c r="L70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21614325.30726178</v>
      </c>
      <c r="M70" s="2">
        <f>+IFERROR(INDEX(Tabla2[Precio Jornal],MATCH(COSECHA[[#This Row],[Mes]],Tabla2[Mes],0))*COSECHA[[#This Row],[Jornales]],0)</f>
        <v>231222.05325443789</v>
      </c>
      <c r="N70" s="2">
        <f>+COSECHA[[#This Row],[Jornales $]]+SUM(COSECHA[[#This Row],[PA]:[EE III]])</f>
        <v>2986328.0524200732</v>
      </c>
      <c r="O70" s="2" t="str">
        <f>+IF(COSECHA[[#This Row],[Finca]]="Puente Alto",INDEX(Tabla2[kg pa],MATCH(COSECHA[[#This Row],[Mes]],Tabla2[Mes],0))*COSECHA[[#This Row],[KG]],"")</f>
        <v/>
      </c>
      <c r="P70" s="2"/>
      <c r="Q70" s="2"/>
      <c r="R70" s="2">
        <f>+INDEX(Tabla2[Gamela DOV],MATCH(COSECHA[[#This Row],[Mes]],Tabla2[Mes],0))*COSECHA[[#This Row],[Bins]]</f>
        <v>2755105.9991656351</v>
      </c>
      <c r="S70" s="2"/>
      <c r="T70" s="2"/>
      <c r="U70" s="2"/>
    </row>
    <row r="71" spans="1:21">
      <c r="A71" t="s">
        <v>13</v>
      </c>
      <c r="B71" t="s">
        <v>6</v>
      </c>
      <c r="C71" t="s">
        <v>127</v>
      </c>
      <c r="D71" t="s">
        <v>162</v>
      </c>
      <c r="E71" s="69">
        <v>1194400</v>
      </c>
      <c r="F71" s="25">
        <v>20.250681198910083</v>
      </c>
      <c r="G71">
        <f>+COSECHA[[#This Row],[KG]]/4/12</f>
        <v>4147.2222222222217</v>
      </c>
      <c r="H71" s="2">
        <f>+IFERROR(COSECHA[[#This Row],[KG uva]]/COUNTIFS(COSECHA[Finca],COSECHA[[#This Row],[Finca]],COSECHA[Variedad],COSECHA[[#This Row],[Variedad]],COSECHA[Tipo de Cosecha],COSECHA[[#This Row],[Tipo de Cosecha]]),0)</f>
        <v>199066.66666666666</v>
      </c>
      <c r="K71" t="s">
        <v>98</v>
      </c>
      <c r="L71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21614325.30726178</v>
      </c>
      <c r="M71" s="2">
        <f>+IFERROR(INDEX(Tabla2[Precio Jornal],MATCH(COSECHA[[#This Row],[Mes]],Tabla2[Mes],0))*COSECHA[[#This Row],[Jornales]],0)</f>
        <v>462408.10463215265</v>
      </c>
      <c r="N71" s="2">
        <f>+COSECHA[[#This Row],[Jornales $]]+SUM(COSECHA[[#This Row],[PA]:[EE III]])</f>
        <v>3217514.1037977878</v>
      </c>
      <c r="O71" s="2" t="str">
        <f>+IF(COSECHA[[#This Row],[Finca]]="Puente Alto",INDEX(Tabla2[kg pa],MATCH(COSECHA[[#This Row],[Mes]],Tabla2[Mes],0))*COSECHA[[#This Row],[KG]],"")</f>
        <v/>
      </c>
      <c r="P71" s="2"/>
      <c r="Q71" s="2"/>
      <c r="R71" s="2">
        <f>+INDEX(Tabla2[Gamela DOV],MATCH(COSECHA[[#This Row],[Mes]],Tabla2[Mes],0))*COSECHA[[#This Row],[Bins]]</f>
        <v>2755105.9991656351</v>
      </c>
      <c r="S71" s="2"/>
      <c r="T71" s="2"/>
      <c r="U71" s="2"/>
    </row>
    <row r="72" spans="1:21">
      <c r="A72" t="s">
        <v>13</v>
      </c>
      <c r="B72" t="s">
        <v>6</v>
      </c>
      <c r="C72" t="s">
        <v>128</v>
      </c>
      <c r="D72" t="s">
        <v>162</v>
      </c>
      <c r="E72" s="69">
        <v>1194400</v>
      </c>
      <c r="F72" s="25">
        <v>20.250681198910083</v>
      </c>
      <c r="G72">
        <f>+COSECHA[[#This Row],[KG]]/4/12</f>
        <v>4147.2222222222217</v>
      </c>
      <c r="H72" s="2">
        <f>+IFERROR(COSECHA[[#This Row],[KG uva]]/COUNTIFS(COSECHA[Finca],COSECHA[[#This Row],[Finca]],COSECHA[Variedad],COSECHA[[#This Row],[Variedad]],COSECHA[Tipo de Cosecha],COSECHA[[#This Row],[Tipo de Cosecha]]),0)</f>
        <v>199066.66666666666</v>
      </c>
      <c r="K72" t="s">
        <v>98</v>
      </c>
      <c r="L72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21614325.30726178</v>
      </c>
      <c r="M72" s="2">
        <f>+IFERROR(INDEX(Tabla2[Precio Jornal],MATCH(COSECHA[[#This Row],[Mes]],Tabla2[Mes],0))*COSECHA[[#This Row],[Jornales]],0)</f>
        <v>462408.10463215265</v>
      </c>
      <c r="N72" s="2">
        <f>+COSECHA[[#This Row],[Jornales $]]+SUM(COSECHA[[#This Row],[PA]:[EE III]])</f>
        <v>3217514.1037977878</v>
      </c>
      <c r="O72" s="2" t="str">
        <f>+IF(COSECHA[[#This Row],[Finca]]="Puente Alto",INDEX(Tabla2[kg pa],MATCH(COSECHA[[#This Row],[Mes]],Tabla2[Mes],0))*COSECHA[[#This Row],[KG]],"")</f>
        <v/>
      </c>
      <c r="P72" s="2"/>
      <c r="Q72" s="2"/>
      <c r="R72" s="2">
        <f>+INDEX(Tabla2[Gamela DOV],MATCH(COSECHA[[#This Row],[Mes]],Tabla2[Mes],0))*COSECHA[[#This Row],[Bins]]</f>
        <v>2755105.9991656351</v>
      </c>
      <c r="S72" s="2"/>
      <c r="T72" s="2"/>
      <c r="U72" s="2"/>
    </row>
    <row r="73" spans="1:21">
      <c r="A73" t="s">
        <v>13</v>
      </c>
      <c r="B73" t="s">
        <v>6</v>
      </c>
      <c r="C73" t="s">
        <v>130</v>
      </c>
      <c r="D73" t="s">
        <v>162</v>
      </c>
      <c r="E73" s="69">
        <v>1194400</v>
      </c>
      <c r="F73" s="25">
        <v>15.188009716776197</v>
      </c>
      <c r="G73">
        <f>+COSECHA[[#This Row],[KG]]/4/12</f>
        <v>4147.2222222222217</v>
      </c>
      <c r="H73" s="2">
        <f>+IFERROR(COSECHA[[#This Row],[KG uva]]/COUNTIFS(COSECHA[Finca],COSECHA[[#This Row],[Finca]],COSECHA[Variedad],COSECHA[[#This Row],[Variedad]],COSECHA[Tipo de Cosecha],COSECHA[[#This Row],[Tipo de Cosecha]]),0)</f>
        <v>199066.66666666666</v>
      </c>
      <c r="K73" t="s">
        <v>98</v>
      </c>
      <c r="L73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21614325.30726178</v>
      </c>
      <c r="M73" s="2">
        <f>+IFERROR(INDEX(Tabla2[Precio Jornal],MATCH(COSECHA[[#This Row],[Mes]],Tabla2[Mes],0))*COSECHA[[#This Row],[Jornales]],0)</f>
        <v>346806.05147481104</v>
      </c>
      <c r="N73" s="2">
        <f>+COSECHA[[#This Row],[Jornales $]]+SUM(COSECHA[[#This Row],[PA]:[EE III]])</f>
        <v>3101912.0506404461</v>
      </c>
      <c r="O73" s="2" t="str">
        <f>+IF(COSECHA[[#This Row],[Finca]]="Puente Alto",INDEX(Tabla2[kg pa],MATCH(COSECHA[[#This Row],[Mes]],Tabla2[Mes],0))*COSECHA[[#This Row],[KG]],"")</f>
        <v/>
      </c>
      <c r="P73" s="2"/>
      <c r="Q73" s="2"/>
      <c r="R73" s="2">
        <f>+INDEX(Tabla2[Gamela DOV],MATCH(COSECHA[[#This Row],[Mes]],Tabla2[Mes],0))*COSECHA[[#This Row],[Bins]]</f>
        <v>2755105.9991656351</v>
      </c>
      <c r="S73" s="2"/>
      <c r="T73" s="2"/>
      <c r="U73" s="2"/>
    </row>
    <row r="74" spans="1:21">
      <c r="A74" t="s">
        <v>13</v>
      </c>
      <c r="B74" t="s">
        <v>6</v>
      </c>
      <c r="C74" t="s">
        <v>169</v>
      </c>
      <c r="D74" t="s">
        <v>162</v>
      </c>
      <c r="E74" s="69">
        <v>1194400</v>
      </c>
      <c r="F74" s="25">
        <v>58.270609318996421</v>
      </c>
      <c r="G74">
        <f>+COSECHA[[#This Row],[KG]]/4/12</f>
        <v>4147.2222222222217</v>
      </c>
      <c r="H74" s="2">
        <f>+IFERROR(COSECHA[[#This Row],[KG uva]]/COUNTIFS(COSECHA[Finca],COSECHA[[#This Row],[Finca]],COSECHA[Variedad],COSECHA[[#This Row],[Variedad]],COSECHA[Tipo de Cosecha],COSECHA[[#This Row],[Tipo de Cosecha]]),0)</f>
        <v>199066.66666666666</v>
      </c>
      <c r="K74" t="s">
        <v>98</v>
      </c>
      <c r="L74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21614325.30726178</v>
      </c>
      <c r="M74" s="2">
        <f>+IFERROR(INDEX(Tabla2[Precio Jornal],MATCH(COSECHA[[#This Row],[Mes]],Tabla2[Mes],0))*COSECHA[[#This Row],[Jornales]],0)</f>
        <v>1330562.7473118282</v>
      </c>
      <c r="N74" s="2">
        <f>+COSECHA[[#This Row],[Jornales $]]+SUM(COSECHA[[#This Row],[PA]:[EE III]])</f>
        <v>4085668.7464774633</v>
      </c>
      <c r="O74" s="2" t="str">
        <f>+IF(COSECHA[[#This Row],[Finca]]="Puente Alto",INDEX(Tabla2[kg pa],MATCH(COSECHA[[#This Row],[Mes]],Tabla2[Mes],0))*COSECHA[[#This Row],[KG]],"")</f>
        <v/>
      </c>
      <c r="P74" s="2"/>
      <c r="Q74" s="2"/>
      <c r="R74" s="2">
        <f>+INDEX(Tabla2[Gamela DOV],MATCH(COSECHA[[#This Row],[Mes]],Tabla2[Mes],0))*COSECHA[[#This Row],[Bins]]</f>
        <v>2755105.9991656351</v>
      </c>
      <c r="S74" s="2"/>
      <c r="T74" s="2"/>
      <c r="U74" s="2"/>
    </row>
    <row r="75" spans="1:21">
      <c r="A75" t="s">
        <v>13</v>
      </c>
      <c r="B75" t="s">
        <v>6</v>
      </c>
      <c r="C75" t="s">
        <v>170</v>
      </c>
      <c r="D75" t="s">
        <v>162</v>
      </c>
      <c r="E75" s="69">
        <v>1194400</v>
      </c>
      <c r="F75" s="25">
        <v>21.518861681005955</v>
      </c>
      <c r="G75">
        <f>+COSECHA[[#This Row],[KG]]/4/12</f>
        <v>4147.2222222222217</v>
      </c>
      <c r="H75" s="2">
        <f>+IFERROR(COSECHA[[#This Row],[KG uva]]/COUNTIFS(COSECHA[Finca],COSECHA[[#This Row],[Finca]],COSECHA[Variedad],COSECHA[[#This Row],[Variedad]],COSECHA[Tipo de Cosecha],COSECHA[[#This Row],[Tipo de Cosecha]]),0)</f>
        <v>199066.66666666666</v>
      </c>
      <c r="K75" t="s">
        <v>98</v>
      </c>
      <c r="L75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21614325.30726178</v>
      </c>
      <c r="M75" s="2">
        <f>+IFERROR(INDEX(Tabla2[Precio Jornal],MATCH(COSECHA[[#This Row],[Mes]],Tabla2[Mes],0))*COSECHA[[#This Row],[Jornales]],0)</f>
        <v>491365.99139642617</v>
      </c>
      <c r="N75" s="2">
        <f>+COSECHA[[#This Row],[Jornales $]]+SUM(COSECHA[[#This Row],[PA]:[EE III]])</f>
        <v>3246471.9905620613</v>
      </c>
      <c r="O75" s="2" t="str">
        <f>+IF(COSECHA[[#This Row],[Finca]]="Puente Alto",INDEX(Tabla2[kg pa],MATCH(COSECHA[[#This Row],[Mes]],Tabla2[Mes],0))*COSECHA[[#This Row],[KG]],"")</f>
        <v/>
      </c>
      <c r="P75" s="2"/>
      <c r="Q75" s="2"/>
      <c r="R75" s="2">
        <f>+INDEX(Tabla2[Gamela DOV],MATCH(COSECHA[[#This Row],[Mes]],Tabla2[Mes],0))*COSECHA[[#This Row],[Bins]]</f>
        <v>2755105.9991656351</v>
      </c>
      <c r="S75" s="2"/>
      <c r="T75" s="2"/>
      <c r="U75" s="2"/>
    </row>
    <row r="76" spans="1:21">
      <c r="A76" t="s">
        <v>13</v>
      </c>
      <c r="B76" t="s">
        <v>6</v>
      </c>
      <c r="C76" t="s">
        <v>126</v>
      </c>
      <c r="D76" t="s">
        <v>163</v>
      </c>
      <c r="E76" s="69">
        <v>320360</v>
      </c>
      <c r="F76" s="25">
        <v>28.000007129823995</v>
      </c>
      <c r="G76">
        <f>+COSECHA[[#This Row],[KG]]/300</f>
        <v>213.57333333333332</v>
      </c>
      <c r="H76" s="2">
        <f>+IFERROR(COSECHA[[#This Row],[KG uva]]/COUNTIFS(COSECHA[Finca],COSECHA[[#This Row],[Finca]],COSECHA[Variedad],COSECHA[[#This Row],[Variedad]],COSECHA[Tipo de Cosecha],COSECHA[[#This Row],[Tipo de Cosecha]]),0)</f>
        <v>64072</v>
      </c>
      <c r="K76" t="s">
        <v>97</v>
      </c>
      <c r="L76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1080604.7969119134</v>
      </c>
      <c r="M76">
        <f>+IFERROR(INDEX(Tabla2[Precio Jornal],MATCH(COSECHA[[#This Row],[Mes]],Tabla2[Mes],0))*COSECHA[[#This Row],[Jornales]],0)</f>
        <v>628717.76009449398</v>
      </c>
      <c r="N76" s="2">
        <f>+COSECHA[[#This Row],[Jornales $]]+SUM(COSECHA[[#This Row],[PA]:[EE III]])</f>
        <v>1709322.5570064075</v>
      </c>
      <c r="O76" s="2" t="str">
        <f>+IF(COSECHA[[#This Row],[Finca]]="Puente Alto",INDEX(Tabla2[kg pa],MATCH(COSECHA[[#This Row],[Mes]],Tabla2[Mes],0))*COSECHA[[#This Row],[KG]],"")</f>
        <v/>
      </c>
      <c r="P76" s="2"/>
      <c r="Q76" s="2"/>
      <c r="R76" s="2">
        <f>+INDEX(Tabla2[Precio Bins],MATCH(COSECHA[[#This Row],[Mes]],Tabla2[Mes],0))*COSECHA[[#This Row],[Bins]]</f>
        <v>1080604.7969119134</v>
      </c>
      <c r="S76" s="2"/>
      <c r="T76" s="2"/>
      <c r="U76" s="2"/>
    </row>
    <row r="77" spans="1:21">
      <c r="A77" t="s">
        <v>13</v>
      </c>
      <c r="B77" t="s">
        <v>6</v>
      </c>
      <c r="C77" t="s">
        <v>127</v>
      </c>
      <c r="D77" t="s">
        <v>163</v>
      </c>
      <c r="E77" s="69">
        <v>320360</v>
      </c>
      <c r="F77" s="25">
        <v>28.000007129823995</v>
      </c>
      <c r="G77">
        <f>+COSECHA[[#This Row],[KG]]/300</f>
        <v>213.57333333333332</v>
      </c>
      <c r="H77" s="2">
        <f>+IFERROR(COSECHA[[#This Row],[KG uva]]/COUNTIFS(COSECHA[Finca],COSECHA[[#This Row],[Finca]],COSECHA[Variedad],COSECHA[[#This Row],[Variedad]],COSECHA[Tipo de Cosecha],COSECHA[[#This Row],[Tipo de Cosecha]]),0)</f>
        <v>64072</v>
      </c>
      <c r="K77" t="s">
        <v>97</v>
      </c>
      <c r="L77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1080604.7969119134</v>
      </c>
      <c r="M77">
        <f>+IFERROR(INDEX(Tabla2[Precio Jornal],MATCH(COSECHA[[#This Row],[Mes]],Tabla2[Mes],0))*COSECHA[[#This Row],[Jornales]],0)</f>
        <v>628717.76009449398</v>
      </c>
      <c r="N77" s="2">
        <f>+COSECHA[[#This Row],[Jornales $]]+SUM(COSECHA[[#This Row],[PA]:[EE III]])</f>
        <v>1709322.5570064075</v>
      </c>
      <c r="O77" s="2" t="str">
        <f>+IF(COSECHA[[#This Row],[Finca]]="Puente Alto",INDEX(Tabla2[kg pa],MATCH(COSECHA[[#This Row],[Mes]],Tabla2[Mes],0))*COSECHA[[#This Row],[KG]],"")</f>
        <v/>
      </c>
      <c r="P77" s="2"/>
      <c r="Q77" s="2"/>
      <c r="R77" s="2">
        <f>+INDEX(Tabla2[Precio Bins],MATCH(COSECHA[[#This Row],[Mes]],Tabla2[Mes],0))*COSECHA[[#This Row],[Bins]]</f>
        <v>1080604.7969119134</v>
      </c>
      <c r="S77" s="2"/>
      <c r="T77" s="2"/>
      <c r="U77" s="2"/>
    </row>
    <row r="78" spans="1:21">
      <c r="A78" t="s">
        <v>13</v>
      </c>
      <c r="B78" t="s">
        <v>6</v>
      </c>
      <c r="C78" t="s">
        <v>128</v>
      </c>
      <c r="D78" t="s">
        <v>163</v>
      </c>
      <c r="E78" s="69">
        <v>320360</v>
      </c>
      <c r="F78" s="25">
        <v>56.999443624664352</v>
      </c>
      <c r="G78">
        <f>+COSECHA[[#This Row],[KG]]/300</f>
        <v>213.57333333333332</v>
      </c>
      <c r="H78" s="2">
        <f>+IFERROR(COSECHA[[#This Row],[KG uva]]/COUNTIFS(COSECHA[Finca],COSECHA[[#This Row],[Finca]],COSECHA[Variedad],COSECHA[[#This Row],[Variedad]],COSECHA[Tipo de Cosecha],COSECHA[[#This Row],[Tipo de Cosecha]]),0)</f>
        <v>64072</v>
      </c>
      <c r="K78" t="s">
        <v>97</v>
      </c>
      <c r="L78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1080604.7969119134</v>
      </c>
      <c r="M78">
        <f>+IFERROR(INDEX(Tabla2[Precio Jornal],MATCH(COSECHA[[#This Row],[Mes]],Tabla2[Mes],0))*COSECHA[[#This Row],[Jornales]],0)</f>
        <v>1279876.9070369382</v>
      </c>
      <c r="N78" s="2">
        <f>+COSECHA[[#This Row],[Jornales $]]+SUM(COSECHA[[#This Row],[PA]:[EE III]])</f>
        <v>2360481.7039488517</v>
      </c>
      <c r="O78" s="2" t="str">
        <f>+IF(COSECHA[[#This Row],[Finca]]="Puente Alto",INDEX(Tabla2[kg pa],MATCH(COSECHA[[#This Row],[Mes]],Tabla2[Mes],0))*COSECHA[[#This Row],[KG]],"")</f>
        <v/>
      </c>
      <c r="P78" s="2"/>
      <c r="Q78" s="2"/>
      <c r="R78" s="2">
        <f>+INDEX(Tabla2[Precio Bins],MATCH(COSECHA[[#This Row],[Mes]],Tabla2[Mes],0))*COSECHA[[#This Row],[Bins]]</f>
        <v>1080604.7969119134</v>
      </c>
      <c r="S78" s="2"/>
      <c r="T78" s="2"/>
      <c r="U78" s="2"/>
    </row>
    <row r="79" spans="1:21">
      <c r="A79" t="s">
        <v>13</v>
      </c>
      <c r="B79" t="s">
        <v>6</v>
      </c>
      <c r="C79" t="s">
        <v>129</v>
      </c>
      <c r="D79" t="s">
        <v>163</v>
      </c>
      <c r="E79" s="69">
        <v>320360</v>
      </c>
      <c r="F79" s="25">
        <v>6.9999997029240895</v>
      </c>
      <c r="G79">
        <f>+COSECHA[[#This Row],[KG]]/300</f>
        <v>213.57333333333332</v>
      </c>
      <c r="H79" s="2">
        <f>+IFERROR(COSECHA[[#This Row],[KG uva]]/COUNTIFS(COSECHA[Finca],COSECHA[[#This Row],[Finca]],COSECHA[Variedad],COSECHA[[#This Row],[Variedad]],COSECHA[Tipo de Cosecha],COSECHA[[#This Row],[Tipo de Cosecha]]),0)</f>
        <v>64072</v>
      </c>
      <c r="K79" t="s">
        <v>97</v>
      </c>
      <c r="L79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1080604.7969119134</v>
      </c>
      <c r="M79">
        <f>+IFERROR(INDEX(Tabla2[Precio Jornal],MATCH(COSECHA[[#This Row],[Mes]],Tabla2[Mes],0))*COSECHA[[#This Row],[Jornales]],0)</f>
        <v>157179.3933293981</v>
      </c>
      <c r="N79" s="2">
        <f>+COSECHA[[#This Row],[Jornales $]]+SUM(COSECHA[[#This Row],[PA]:[EE III]])</f>
        <v>1237784.1902413114</v>
      </c>
      <c r="O79" s="2" t="str">
        <f>+IF(COSECHA[[#This Row],[Finca]]="Puente Alto",INDEX(Tabla2[kg pa],MATCH(COSECHA[[#This Row],[Mes]],Tabla2[Mes],0))*COSECHA[[#This Row],[KG]],"")</f>
        <v/>
      </c>
      <c r="P79" s="2"/>
      <c r="Q79" s="2"/>
      <c r="R79" s="2">
        <f>+INDEX(Tabla2[Precio Bins],MATCH(COSECHA[[#This Row],[Mes]],Tabla2[Mes],0))*COSECHA[[#This Row],[Bins]]</f>
        <v>1080604.7969119134</v>
      </c>
      <c r="S79" s="2"/>
      <c r="T79" s="2"/>
      <c r="U79" s="2"/>
    </row>
    <row r="80" spans="1:21">
      <c r="A80" t="s">
        <v>13</v>
      </c>
      <c r="B80" t="s">
        <v>6</v>
      </c>
      <c r="C80" t="s">
        <v>130</v>
      </c>
      <c r="D80" t="s">
        <v>163</v>
      </c>
      <c r="E80" s="69">
        <v>320360</v>
      </c>
      <c r="F80" s="25">
        <v>28.000007129823995</v>
      </c>
      <c r="G80">
        <f>+COSECHA[[#This Row],[KG]]/300</f>
        <v>213.57333333333332</v>
      </c>
      <c r="H80" s="2">
        <f>+IFERROR(COSECHA[[#This Row],[KG uva]]/COUNTIFS(COSECHA[Finca],COSECHA[[#This Row],[Finca]],COSECHA[Variedad],COSECHA[[#This Row],[Variedad]],COSECHA[Tipo de Cosecha],COSECHA[[#This Row],[Tipo de Cosecha]]),0)</f>
        <v>64072</v>
      </c>
      <c r="K80" t="s">
        <v>97</v>
      </c>
      <c r="L80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1080604.7969119134</v>
      </c>
      <c r="M80">
        <f>+IFERROR(INDEX(Tabla2[Precio Jornal],MATCH(COSECHA[[#This Row],[Mes]],Tabla2[Mes],0))*COSECHA[[#This Row],[Jornales]],0)</f>
        <v>628717.76009449398</v>
      </c>
      <c r="N80" s="2">
        <f>+COSECHA[[#This Row],[Jornales $]]+SUM(COSECHA[[#This Row],[PA]:[EE III]])</f>
        <v>1709322.5570064075</v>
      </c>
      <c r="O80" s="2" t="str">
        <f>+IF(COSECHA[[#This Row],[Finca]]="Puente Alto",INDEX(Tabla2[kg pa],MATCH(COSECHA[[#This Row],[Mes]],Tabla2[Mes],0))*COSECHA[[#This Row],[KG]],"")</f>
        <v/>
      </c>
      <c r="P80" s="2"/>
      <c r="Q80" s="2"/>
      <c r="R80" s="2">
        <f>+INDEX(Tabla2[Precio Bins],MATCH(COSECHA[[#This Row],[Mes]],Tabla2[Mes],0))*COSECHA[[#This Row],[Bins]]</f>
        <v>1080604.7969119134</v>
      </c>
      <c r="S80" s="2"/>
      <c r="T80" s="2"/>
      <c r="U80" s="2"/>
    </row>
    <row r="81" spans="1:21">
      <c r="A81" t="s">
        <v>14</v>
      </c>
      <c r="B81" t="s">
        <v>10</v>
      </c>
      <c r="C81" t="s">
        <v>126</v>
      </c>
      <c r="D81" t="s">
        <v>162</v>
      </c>
      <c r="E81" s="69">
        <v>747950</v>
      </c>
      <c r="F81" s="25">
        <v>7.3568981625661785</v>
      </c>
      <c r="G81">
        <f>+COSECHA[[#This Row],[KG]]/4/12</f>
        <v>2597.0486111111109</v>
      </c>
      <c r="H81" s="2">
        <f>+IFERROR(COSECHA[[#This Row],[KG uva]]/COUNTIFS(COSECHA[Finca],COSECHA[[#This Row],[Finca]],COSECHA[Variedad],COSECHA[[#This Row],[Variedad]],COSECHA[Tipo de Cosecha],COSECHA[[#This Row],[Tipo de Cosecha]]),0)</f>
        <v>124658.33333333333</v>
      </c>
      <c r="K81" t="s">
        <v>97</v>
      </c>
      <c r="L81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13140138.533119407</v>
      </c>
      <c r="M81" s="2">
        <f>+IFERROR(INDEX(Tabla2[Precio Jornal],MATCH(COSECHA[[#This Row],[Mes]],Tabla2[Mes],0))*COSECHA[[#This Row],[Jornales]],0)</f>
        <v>165193.26272189349</v>
      </c>
      <c r="N81" s="2">
        <f>+COSECHA[[#This Row],[Jornales $]]+SUM(COSECHA[[#This Row],[PA]:[EE III]])</f>
        <v>1840122.9210768472</v>
      </c>
      <c r="O81" s="2" t="str">
        <f>+IF(COSECHA[[#This Row],[Finca]]="Puente Alto",INDEX(Tabla2[kg pa],MATCH(COSECHA[[#This Row],[Mes]],Tabla2[Mes],0))*COSECHA[[#This Row],[KG]],"")</f>
        <v/>
      </c>
      <c r="P81" s="2"/>
      <c r="Q81" s="2"/>
      <c r="R81" s="2">
        <f>+INDEX(Tabla2[Gamela DOV],MATCH(COSECHA[[#This Row],[Mes]],Tabla2[Mes],0))*COSECHA[[#This Row],[Bins]]</f>
        <v>1674929.6583549536</v>
      </c>
      <c r="S81" s="2"/>
      <c r="T81" s="2"/>
      <c r="U81" s="2"/>
    </row>
    <row r="82" spans="1:21">
      <c r="A82" t="s">
        <v>14</v>
      </c>
      <c r="B82" t="s">
        <v>10</v>
      </c>
      <c r="C82" t="s">
        <v>127</v>
      </c>
      <c r="D82" t="s">
        <v>162</v>
      </c>
      <c r="E82" s="69">
        <v>747950</v>
      </c>
      <c r="F82" s="25">
        <v>14.712650836901519</v>
      </c>
      <c r="G82">
        <f>+COSECHA[[#This Row],[KG]]/4/12</f>
        <v>2597.0486111111109</v>
      </c>
      <c r="H82" s="2">
        <f>+IFERROR(COSECHA[[#This Row],[KG uva]]/COUNTIFS(COSECHA[Finca],COSECHA[[#This Row],[Finca]],COSECHA[Variedad],COSECHA[[#This Row],[Variedad]],COSECHA[Tipo de Cosecha],COSECHA[[#This Row],[Tipo de Cosecha]]),0)</f>
        <v>124658.33333333333</v>
      </c>
      <c r="K82" t="s">
        <v>97</v>
      </c>
      <c r="L82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13140138.533119407</v>
      </c>
      <c r="M82" s="2">
        <f>+IFERROR(INDEX(Tabla2[Precio Jornal],MATCH(COSECHA[[#This Row],[Mes]],Tabla2[Mes],0))*COSECHA[[#This Row],[Jornales]],0)</f>
        <v>330360.80442195409</v>
      </c>
      <c r="N82" s="2">
        <f>+COSECHA[[#This Row],[Jornales $]]+SUM(COSECHA[[#This Row],[PA]:[EE III]])</f>
        <v>2005290.4627769077</v>
      </c>
      <c r="O82" s="2" t="str">
        <f>+IF(COSECHA[[#This Row],[Finca]]="Puente Alto",INDEX(Tabla2[kg pa],MATCH(COSECHA[[#This Row],[Mes]],Tabla2[Mes],0))*COSECHA[[#This Row],[KG]],"")</f>
        <v/>
      </c>
      <c r="P82" s="2"/>
      <c r="Q82" s="2"/>
      <c r="R82" s="2">
        <f>+INDEX(Tabla2[Gamela DOV],MATCH(COSECHA[[#This Row],[Mes]],Tabla2[Mes],0))*COSECHA[[#This Row],[Bins]]</f>
        <v>1674929.6583549536</v>
      </c>
      <c r="S82" s="2"/>
      <c r="T82" s="2"/>
      <c r="U82" s="2"/>
    </row>
    <row r="83" spans="1:21">
      <c r="A83" t="s">
        <v>14</v>
      </c>
      <c r="B83" t="s">
        <v>10</v>
      </c>
      <c r="C83" t="s">
        <v>128</v>
      </c>
      <c r="D83" t="s">
        <v>162</v>
      </c>
      <c r="E83" s="69">
        <v>747950</v>
      </c>
      <c r="F83" s="25">
        <v>14.712650836901519</v>
      </c>
      <c r="G83">
        <f>+COSECHA[[#This Row],[KG]]/4/12</f>
        <v>2597.0486111111109</v>
      </c>
      <c r="H83" s="2">
        <f>+IFERROR(COSECHA[[#This Row],[KG uva]]/COUNTIFS(COSECHA[Finca],COSECHA[[#This Row],[Finca]],COSECHA[Variedad],COSECHA[[#This Row],[Variedad]],COSECHA[Tipo de Cosecha],COSECHA[[#This Row],[Tipo de Cosecha]]),0)</f>
        <v>124658.33333333333</v>
      </c>
      <c r="K83" t="s">
        <v>97</v>
      </c>
      <c r="L83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13140138.533119407</v>
      </c>
      <c r="M83" s="2">
        <f>+IFERROR(INDEX(Tabla2[Precio Jornal],MATCH(COSECHA[[#This Row],[Mes]],Tabla2[Mes],0))*COSECHA[[#This Row],[Jornales]],0)</f>
        <v>330360.80442195409</v>
      </c>
      <c r="N83" s="2">
        <f>+COSECHA[[#This Row],[Jornales $]]+SUM(COSECHA[[#This Row],[PA]:[EE III]])</f>
        <v>2005290.4627769077</v>
      </c>
      <c r="O83" s="2" t="str">
        <f>+IF(COSECHA[[#This Row],[Finca]]="Puente Alto",INDEX(Tabla2[kg pa],MATCH(COSECHA[[#This Row],[Mes]],Tabla2[Mes],0))*COSECHA[[#This Row],[KG]],"")</f>
        <v/>
      </c>
      <c r="P83" s="2"/>
      <c r="Q83" s="2"/>
      <c r="R83" s="2">
        <f>+INDEX(Tabla2[Gamela DOV],MATCH(COSECHA[[#This Row],[Mes]],Tabla2[Mes],0))*COSECHA[[#This Row],[Bins]]</f>
        <v>1674929.6583549536</v>
      </c>
      <c r="S83" s="2"/>
      <c r="T83" s="2"/>
      <c r="U83" s="2"/>
    </row>
    <row r="84" spans="1:21">
      <c r="A84" t="s">
        <v>14</v>
      </c>
      <c r="B84" t="s">
        <v>10</v>
      </c>
      <c r="C84" t="s">
        <v>130</v>
      </c>
      <c r="D84" t="s">
        <v>162</v>
      </c>
      <c r="E84" s="69">
        <v>747950</v>
      </c>
      <c r="F84" s="25">
        <v>11.034487268626915</v>
      </c>
      <c r="G84">
        <f>+COSECHA[[#This Row],[KG]]/4/12</f>
        <v>2597.0486111111109</v>
      </c>
      <c r="H84" s="2">
        <f>+IFERROR(COSECHA[[#This Row],[KG uva]]/COUNTIFS(COSECHA[Finca],COSECHA[[#This Row],[Finca]],COSECHA[Variedad],COSECHA[[#This Row],[Variedad]],COSECHA[Tipo de Cosecha],COSECHA[[#This Row],[Tipo de Cosecha]]),0)</f>
        <v>124658.33333333333</v>
      </c>
      <c r="K84" t="s">
        <v>97</v>
      </c>
      <c r="L84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13140138.533119407</v>
      </c>
      <c r="M84" s="2">
        <f>+IFERROR(INDEX(Tabla2[Precio Jornal],MATCH(COSECHA[[#This Row],[Mes]],Tabla2[Mes],0))*COSECHA[[#This Row],[Jornales]],0)</f>
        <v>247770.58402720248</v>
      </c>
      <c r="N84" s="2">
        <f>+COSECHA[[#This Row],[Jornales $]]+SUM(COSECHA[[#This Row],[PA]:[EE III]])</f>
        <v>1922700.2423821562</v>
      </c>
      <c r="O84" s="2" t="str">
        <f>+IF(COSECHA[[#This Row],[Finca]]="Puente Alto",INDEX(Tabla2[kg pa],MATCH(COSECHA[[#This Row],[Mes]],Tabla2[Mes],0))*COSECHA[[#This Row],[KG]],"")</f>
        <v/>
      </c>
      <c r="P84" s="2"/>
      <c r="Q84" s="2"/>
      <c r="R84" s="2">
        <f>+INDEX(Tabla2[Gamela DOV],MATCH(COSECHA[[#This Row],[Mes]],Tabla2[Mes],0))*COSECHA[[#This Row],[Bins]]</f>
        <v>1674929.6583549536</v>
      </c>
      <c r="S84" s="2"/>
      <c r="T84" s="2"/>
      <c r="U84" s="2"/>
    </row>
    <row r="85" spans="1:21">
      <c r="A85" t="s">
        <v>14</v>
      </c>
      <c r="B85" t="s">
        <v>10</v>
      </c>
      <c r="C85" t="s">
        <v>169</v>
      </c>
      <c r="D85" t="s">
        <v>162</v>
      </c>
      <c r="E85" s="69">
        <v>747950</v>
      </c>
      <c r="F85" s="25">
        <v>42.335125448028677</v>
      </c>
      <c r="G85">
        <f>+COSECHA[[#This Row],[KG]]/4/12</f>
        <v>2597.0486111111109</v>
      </c>
      <c r="H85" s="2">
        <f>+IFERROR(COSECHA[[#This Row],[KG uva]]/COUNTIFS(COSECHA[Finca],COSECHA[[#This Row],[Finca]],COSECHA[Variedad],COSECHA[[#This Row],[Variedad]],COSECHA[Tipo de Cosecha],COSECHA[[#This Row],[Tipo de Cosecha]]),0)</f>
        <v>124658.33333333333</v>
      </c>
      <c r="K85" t="s">
        <v>97</v>
      </c>
      <c r="L85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13140138.533119407</v>
      </c>
      <c r="M85" s="2">
        <f>+IFERROR(INDEX(Tabla2[Precio Jornal],MATCH(COSECHA[[#This Row],[Mes]],Tabla2[Mes],0))*COSECHA[[#This Row],[Jornales]],0)</f>
        <v>950601.37383512559</v>
      </c>
      <c r="N85" s="2">
        <f>+COSECHA[[#This Row],[Jornales $]]+SUM(COSECHA[[#This Row],[PA]:[EE III]])</f>
        <v>2625531.0321900793</v>
      </c>
      <c r="O85" s="2" t="str">
        <f>+IF(COSECHA[[#This Row],[Finca]]="Puente Alto",INDEX(Tabla2[kg pa],MATCH(COSECHA[[#This Row],[Mes]],Tabla2[Mes],0))*COSECHA[[#This Row],[KG]],"")</f>
        <v/>
      </c>
      <c r="P85" s="2"/>
      <c r="Q85" s="2"/>
      <c r="R85" s="2">
        <f>+INDEX(Tabla2[Gamela DOV],MATCH(COSECHA[[#This Row],[Mes]],Tabla2[Mes],0))*COSECHA[[#This Row],[Bins]]</f>
        <v>1674929.6583549536</v>
      </c>
      <c r="S85" s="2"/>
      <c r="T85" s="2"/>
      <c r="U85" s="2"/>
    </row>
    <row r="86" spans="1:21">
      <c r="A86" t="s">
        <v>14</v>
      </c>
      <c r="B86" t="s">
        <v>10</v>
      </c>
      <c r="C86" t="s">
        <v>170</v>
      </c>
      <c r="D86" t="s">
        <v>162</v>
      </c>
      <c r="E86" s="69">
        <v>747950</v>
      </c>
      <c r="F86" s="25">
        <v>15.634017207147583</v>
      </c>
      <c r="G86">
        <f>+COSECHA[[#This Row],[KG]]/4/12</f>
        <v>2597.0486111111109</v>
      </c>
      <c r="H86" s="2">
        <f>+IFERROR(COSECHA[[#This Row],[KG uva]]/COUNTIFS(COSECHA[Finca],COSECHA[[#This Row],[Finca]],COSECHA[Variedad],COSECHA[[#This Row],[Variedad]],COSECHA[Tipo de Cosecha],COSECHA[[#This Row],[Tipo de Cosecha]]),0)</f>
        <v>124658.33333333333</v>
      </c>
      <c r="K86" t="s">
        <v>97</v>
      </c>
      <c r="L86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13140138.533119407</v>
      </c>
      <c r="M86" s="2">
        <f>+IFERROR(INDEX(Tabla2[Precio Jornal],MATCH(COSECHA[[#This Row],[Mes]],Tabla2[Mes],0))*COSECHA[[#This Row],[Jornales]],0)</f>
        <v>351049.34917273326</v>
      </c>
      <c r="N86" s="2">
        <f>+COSECHA[[#This Row],[Jornales $]]+SUM(COSECHA[[#This Row],[PA]:[EE III]])</f>
        <v>2025979.0075276869</v>
      </c>
      <c r="O86" s="2" t="str">
        <f>+IF(COSECHA[[#This Row],[Finca]]="Puente Alto",INDEX(Tabla2[kg pa],MATCH(COSECHA[[#This Row],[Mes]],Tabla2[Mes],0))*COSECHA[[#This Row],[KG]],"")</f>
        <v/>
      </c>
      <c r="P86" s="2"/>
      <c r="Q86" s="2"/>
      <c r="R86" s="2">
        <f>+INDEX(Tabla2[Gamela DOV],MATCH(COSECHA[[#This Row],[Mes]],Tabla2[Mes],0))*COSECHA[[#This Row],[Bins]]</f>
        <v>1674929.6583549536</v>
      </c>
      <c r="S86" s="2"/>
      <c r="T86" s="2"/>
      <c r="U86" s="2"/>
    </row>
    <row r="87" spans="1:21">
      <c r="A87" t="s">
        <v>14</v>
      </c>
      <c r="B87" t="s">
        <v>6</v>
      </c>
      <c r="C87" t="s">
        <v>126</v>
      </c>
      <c r="D87" t="s">
        <v>162</v>
      </c>
      <c r="E87" s="69">
        <v>886400</v>
      </c>
      <c r="F87" s="25">
        <v>7.5066957334163815</v>
      </c>
      <c r="G87">
        <f>+COSECHA[[#This Row],[KG]]/4/12</f>
        <v>3077.7777777777778</v>
      </c>
      <c r="H87" s="2">
        <f>+IFERROR(COSECHA[[#This Row],[KG uva]]/COUNTIFS(COSECHA[Finca],COSECHA[[#This Row],[Finca]],COSECHA[Variedad],COSECHA[[#This Row],[Variedad]],COSECHA[Tipo de Cosecha],COSECHA[[#This Row],[Tipo de Cosecha]]),0)</f>
        <v>147733.33333333334</v>
      </c>
      <c r="K87" t="s">
        <v>98</v>
      </c>
      <c r="L87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16040637.937338283</v>
      </c>
      <c r="M87" s="2">
        <f>+IFERROR(INDEX(Tabla2[Precio Jornal],MATCH(COSECHA[[#This Row],[Mes]],Tabla2[Mes],0))*COSECHA[[#This Row],[Jornales]],0)</f>
        <v>171409.39171597635</v>
      </c>
      <c r="N87" s="2">
        <f>+COSECHA[[#This Row],[Jornales $]]+SUM(COSECHA[[#This Row],[PA]:[EE III]])</f>
        <v>2216056.040795363</v>
      </c>
      <c r="O87" s="2" t="str">
        <f>+IF(COSECHA[[#This Row],[Finca]]="Puente Alto",INDEX(Tabla2[kg pa],MATCH(COSECHA[[#This Row],[Mes]],Tabla2[Mes],0))*COSECHA[[#This Row],[KG]],"")</f>
        <v/>
      </c>
      <c r="P87" s="2"/>
      <c r="Q87" s="2"/>
      <c r="R87" s="2">
        <f>+INDEX(Tabla2[Gamela DOV],MATCH(COSECHA[[#This Row],[Mes]],Tabla2[Mes],0))*COSECHA[[#This Row],[Bins]]</f>
        <v>2044646.6490793866</v>
      </c>
      <c r="S87" s="2"/>
      <c r="T87" s="2"/>
      <c r="U87" s="2"/>
    </row>
    <row r="88" spans="1:21">
      <c r="A88" t="s">
        <v>14</v>
      </c>
      <c r="B88" t="s">
        <v>6</v>
      </c>
      <c r="C88" t="s">
        <v>127</v>
      </c>
      <c r="D88" t="s">
        <v>162</v>
      </c>
      <c r="E88" s="69">
        <v>886400</v>
      </c>
      <c r="F88" s="25">
        <v>15.012222654729467</v>
      </c>
      <c r="G88">
        <f>+COSECHA[[#This Row],[KG]]/4/12</f>
        <v>3077.7777777777778</v>
      </c>
      <c r="H88" s="2">
        <f>+IFERROR(COSECHA[[#This Row],[KG uva]]/COUNTIFS(COSECHA[Finca],COSECHA[[#This Row],[Finca]],COSECHA[Variedad],COSECHA[[#This Row],[Variedad]],COSECHA[Tipo de Cosecha],COSECHA[[#This Row],[Tipo de Cosecha]]),0)</f>
        <v>147733.33333333334</v>
      </c>
      <c r="K88" t="s">
        <v>98</v>
      </c>
      <c r="L88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16040637.937338283</v>
      </c>
      <c r="M88" s="2">
        <f>+IFERROR(INDEX(Tabla2[Precio Jornal],MATCH(COSECHA[[#This Row],[Mes]],Tabla2[Mes],0))*COSECHA[[#This Row],[Jornales]],0)</f>
        <v>342792.09454262361</v>
      </c>
      <c r="N88" s="2">
        <f>+COSECHA[[#This Row],[Jornales $]]+SUM(COSECHA[[#This Row],[PA]:[EE III]])</f>
        <v>2387438.7436220101</v>
      </c>
      <c r="O88" s="2" t="str">
        <f>+IF(COSECHA[[#This Row],[Finca]]="Puente Alto",INDEX(Tabla2[kg pa],MATCH(COSECHA[[#This Row],[Mes]],Tabla2[Mes],0))*COSECHA[[#This Row],[KG]],"")</f>
        <v/>
      </c>
      <c r="P88" s="2"/>
      <c r="Q88" s="2"/>
      <c r="R88" s="2">
        <f>+INDEX(Tabla2[Gamela DOV],MATCH(COSECHA[[#This Row],[Mes]],Tabla2[Mes],0))*COSECHA[[#This Row],[Bins]]</f>
        <v>2044646.6490793866</v>
      </c>
      <c r="S88" s="2"/>
      <c r="T88" s="2"/>
      <c r="U88" s="2"/>
    </row>
    <row r="89" spans="1:21">
      <c r="A89" t="s">
        <v>14</v>
      </c>
      <c r="B89" t="s">
        <v>6</v>
      </c>
      <c r="C89" t="s">
        <v>128</v>
      </c>
      <c r="D89" t="s">
        <v>162</v>
      </c>
      <c r="E89" s="69">
        <v>886400</v>
      </c>
      <c r="F89" s="25">
        <v>15.012222654729467</v>
      </c>
      <c r="G89">
        <f>+COSECHA[[#This Row],[KG]]/4/12</f>
        <v>3077.7777777777778</v>
      </c>
      <c r="H89" s="2">
        <f>+IFERROR(COSECHA[[#This Row],[KG uva]]/COUNTIFS(COSECHA[Finca],COSECHA[[#This Row],[Finca]],COSECHA[Variedad],COSECHA[[#This Row],[Variedad]],COSECHA[Tipo de Cosecha],COSECHA[[#This Row],[Tipo de Cosecha]]),0)</f>
        <v>147733.33333333334</v>
      </c>
      <c r="K89" t="s">
        <v>98</v>
      </c>
      <c r="L89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16040637.937338283</v>
      </c>
      <c r="M89" s="2">
        <f>+IFERROR(INDEX(Tabla2[Precio Jornal],MATCH(COSECHA[[#This Row],[Mes]],Tabla2[Mes],0))*COSECHA[[#This Row],[Jornales]],0)</f>
        <v>342792.09454262361</v>
      </c>
      <c r="N89" s="2">
        <f>+COSECHA[[#This Row],[Jornales $]]+SUM(COSECHA[[#This Row],[PA]:[EE III]])</f>
        <v>2387438.7436220101</v>
      </c>
      <c r="O89" s="2" t="str">
        <f>+IF(COSECHA[[#This Row],[Finca]]="Puente Alto",INDEX(Tabla2[kg pa],MATCH(COSECHA[[#This Row],[Mes]],Tabla2[Mes],0))*COSECHA[[#This Row],[KG]],"")</f>
        <v/>
      </c>
      <c r="P89" s="2"/>
      <c r="Q89" s="2"/>
      <c r="R89" s="2">
        <f>+INDEX(Tabla2[Gamela DOV],MATCH(COSECHA[[#This Row],[Mes]],Tabla2[Mes],0))*COSECHA[[#This Row],[Bins]]</f>
        <v>2044646.6490793866</v>
      </c>
      <c r="S89" s="2"/>
      <c r="T89" s="2"/>
      <c r="U89" s="2"/>
    </row>
    <row r="90" spans="1:21">
      <c r="A90" t="s">
        <v>14</v>
      </c>
      <c r="B90" t="s">
        <v>6</v>
      </c>
      <c r="C90" t="s">
        <v>130</v>
      </c>
      <c r="D90" t="s">
        <v>162</v>
      </c>
      <c r="E90" s="69">
        <v>886400</v>
      </c>
      <c r="F90" s="25">
        <v>11.259166114506336</v>
      </c>
      <c r="G90">
        <f>+COSECHA[[#This Row],[KG]]/4/12</f>
        <v>3077.7777777777778</v>
      </c>
      <c r="H90" s="2">
        <f>+IFERROR(COSECHA[[#This Row],[KG uva]]/COUNTIFS(COSECHA[Finca],COSECHA[[#This Row],[Finca]],COSECHA[Variedad],COSECHA[[#This Row],[Variedad]],COSECHA[Tipo de Cosecha],COSECHA[[#This Row],[Tipo de Cosecha]]),0)</f>
        <v>147733.33333333334</v>
      </c>
      <c r="K90" t="s">
        <v>98</v>
      </c>
      <c r="L90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16040637.937338283</v>
      </c>
      <c r="M90" s="2">
        <f>+IFERROR(INDEX(Tabla2[Precio Jornal],MATCH(COSECHA[[#This Row],[Mes]],Tabla2[Mes],0))*COSECHA[[#This Row],[Jornales]],0)</f>
        <v>257094.05089186056</v>
      </c>
      <c r="N90" s="2">
        <f>+COSECHA[[#This Row],[Jornales $]]+SUM(COSECHA[[#This Row],[PA]:[EE III]])</f>
        <v>2301740.699971247</v>
      </c>
      <c r="O90" s="2" t="str">
        <f>+IF(COSECHA[[#This Row],[Finca]]="Puente Alto",INDEX(Tabla2[kg pa],MATCH(COSECHA[[#This Row],[Mes]],Tabla2[Mes],0))*COSECHA[[#This Row],[KG]],"")</f>
        <v/>
      </c>
      <c r="P90" s="2"/>
      <c r="Q90" s="2"/>
      <c r="R90" s="2">
        <f>+INDEX(Tabla2[Gamela DOV],MATCH(COSECHA[[#This Row],[Mes]],Tabla2[Mes],0))*COSECHA[[#This Row],[Bins]]</f>
        <v>2044646.6490793866</v>
      </c>
      <c r="S90" s="2"/>
      <c r="T90" s="2"/>
      <c r="U90" s="2"/>
    </row>
    <row r="91" spans="1:21">
      <c r="A91" t="s">
        <v>14</v>
      </c>
      <c r="B91" t="s">
        <v>6</v>
      </c>
      <c r="C91" t="s">
        <v>169</v>
      </c>
      <c r="D91" t="s">
        <v>162</v>
      </c>
      <c r="E91" s="69">
        <v>886400</v>
      </c>
      <c r="F91" s="25">
        <v>43.197132616487458</v>
      </c>
      <c r="G91">
        <f>+COSECHA[[#This Row],[KG]]/4/12</f>
        <v>3077.7777777777778</v>
      </c>
      <c r="H91" s="2">
        <f>+IFERROR(COSECHA[[#This Row],[KG uva]]/COUNTIFS(COSECHA[Finca],COSECHA[[#This Row],[Finca]],COSECHA[Variedad],COSECHA[[#This Row],[Variedad]],COSECHA[Tipo de Cosecha],COSECHA[[#This Row],[Tipo de Cosecha]]),0)</f>
        <v>147733.33333333334</v>
      </c>
      <c r="K91" t="s">
        <v>98</v>
      </c>
      <c r="L91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16040637.937338283</v>
      </c>
      <c r="M91" s="2">
        <f>+IFERROR(INDEX(Tabla2[Precio Jornal],MATCH(COSECHA[[#This Row],[Mes]],Tabla2[Mes],0))*COSECHA[[#This Row],[Jornales]],0)</f>
        <v>986371.96559139795</v>
      </c>
      <c r="N91" s="2">
        <f>+COSECHA[[#This Row],[Jornales $]]+SUM(COSECHA[[#This Row],[PA]:[EE III]])</f>
        <v>3031018.6146707847</v>
      </c>
      <c r="O91" s="2" t="str">
        <f>+IF(COSECHA[[#This Row],[Finca]]="Puente Alto",INDEX(Tabla2[kg pa],MATCH(COSECHA[[#This Row],[Mes]],Tabla2[Mes],0))*COSECHA[[#This Row],[KG]],"")</f>
        <v/>
      </c>
      <c r="P91" s="2"/>
      <c r="Q91" s="2"/>
      <c r="R91" s="2">
        <f>+INDEX(Tabla2[Gamela DOV],MATCH(COSECHA[[#This Row],[Mes]],Tabla2[Mes],0))*COSECHA[[#This Row],[Bins]]</f>
        <v>2044646.6490793866</v>
      </c>
      <c r="S91" s="2"/>
      <c r="T91" s="2"/>
      <c r="U91" s="2"/>
    </row>
    <row r="92" spans="1:21">
      <c r="A92" t="s">
        <v>14</v>
      </c>
      <c r="B92" t="s">
        <v>6</v>
      </c>
      <c r="C92" t="s">
        <v>170</v>
      </c>
      <c r="D92" t="s">
        <v>162</v>
      </c>
      <c r="E92" s="69">
        <v>886400</v>
      </c>
      <c r="F92" s="25">
        <v>15.952349437458636</v>
      </c>
      <c r="G92">
        <f>+COSECHA[[#This Row],[KG]]/4/12</f>
        <v>3077.7777777777778</v>
      </c>
      <c r="H92" s="2">
        <f>+IFERROR(COSECHA[[#This Row],[KG uva]]/COUNTIFS(COSECHA[Finca],COSECHA[[#This Row],[Finca]],COSECHA[Variedad],COSECHA[[#This Row],[Variedad]],COSECHA[Tipo de Cosecha],COSECHA[[#This Row],[Tipo de Cosecha]]),0)</f>
        <v>147733.33333333334</v>
      </c>
      <c r="K92" t="s">
        <v>98</v>
      </c>
      <c r="L92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16040637.937338283</v>
      </c>
      <c r="M92" s="2">
        <f>+IFERROR(INDEX(Tabla2[Precio Jornal],MATCH(COSECHA[[#This Row],[Mes]],Tabla2[Mes],0))*COSECHA[[#This Row],[Jornales]],0)</f>
        <v>364259.13752481801</v>
      </c>
      <c r="N92" s="2">
        <f>+COSECHA[[#This Row],[Jornales $]]+SUM(COSECHA[[#This Row],[PA]:[EE III]])</f>
        <v>2408905.7866042047</v>
      </c>
      <c r="O92" s="2" t="str">
        <f>+IF(COSECHA[[#This Row],[Finca]]="Puente Alto",INDEX(Tabla2[kg pa],MATCH(COSECHA[[#This Row],[Mes]],Tabla2[Mes],0))*COSECHA[[#This Row],[KG]],"")</f>
        <v/>
      </c>
      <c r="P92" s="2"/>
      <c r="Q92" s="2"/>
      <c r="R92" s="2">
        <f>+INDEX(Tabla2[Gamela DOV],MATCH(COSECHA[[#This Row],[Mes]],Tabla2[Mes],0))*COSECHA[[#This Row],[Bins]]</f>
        <v>2044646.6490793866</v>
      </c>
      <c r="S92" s="2"/>
      <c r="T92" s="2"/>
      <c r="U92" s="2"/>
    </row>
    <row r="93" spans="1:21">
      <c r="A93" t="s">
        <v>14</v>
      </c>
      <c r="B93" t="s">
        <v>5</v>
      </c>
      <c r="C93" t="s">
        <v>126</v>
      </c>
      <c r="D93" t="s">
        <v>162</v>
      </c>
      <c r="E93" s="69">
        <v>1246500</v>
      </c>
      <c r="F93" s="25">
        <v>15.013391466832761</v>
      </c>
      <c r="G93">
        <f>+COSECHA[[#This Row],[KG]]/4/12</f>
        <v>4328.125</v>
      </c>
      <c r="H93" s="2">
        <f>+IFERROR(COSECHA[[#This Row],[KG uva]]/COUNTIFS(COSECHA[Finca],COSECHA[[#This Row],[Finca]],COSECHA[Variedad],COSECHA[[#This Row],[Variedad]],COSECHA[Tipo de Cosecha],COSECHA[[#This Row],[Tipo de Cosecha]]),0)</f>
        <v>207750</v>
      </c>
      <c r="K93" t="s">
        <v>97</v>
      </c>
      <c r="L93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21898766.871493205</v>
      </c>
      <c r="M93" s="2">
        <f>+IFERROR(INDEX(Tabla2[Precio Jornal],MATCH(COSECHA[[#This Row],[Mes]],Tabla2[Mes],0))*COSECHA[[#This Row],[Jornales]],0)</f>
        <v>337113.6946745562</v>
      </c>
      <c r="N93" s="2">
        <f>+COSECHA[[#This Row],[Jornales $]]+SUM(COSECHA[[#This Row],[PA]:[EE III]])</f>
        <v>3128476.5118942233</v>
      </c>
      <c r="O93" s="2" t="str">
        <f>+IF(COSECHA[[#This Row],[Finca]]="Puente Alto",INDEX(Tabla2[kg pa],MATCH(COSECHA[[#This Row],[Mes]],Tabla2[Mes],0))*COSECHA[[#This Row],[KG]],"")</f>
        <v/>
      </c>
      <c r="P93" s="2"/>
      <c r="Q93" s="2"/>
      <c r="R93" s="2">
        <f>+INDEX(Tabla2[Gamela DOV],MATCH(COSECHA[[#This Row],[Mes]],Tabla2[Mes],0))*COSECHA[[#This Row],[Bins]]</f>
        <v>2791362.8172196671</v>
      </c>
      <c r="S93" s="2"/>
      <c r="T93" s="2"/>
      <c r="U93" s="2"/>
    </row>
    <row r="94" spans="1:21">
      <c r="A94" t="s">
        <v>14</v>
      </c>
      <c r="B94" t="s">
        <v>5</v>
      </c>
      <c r="C94" t="s">
        <v>127</v>
      </c>
      <c r="D94" t="s">
        <v>162</v>
      </c>
      <c r="E94" s="69">
        <v>1246500</v>
      </c>
      <c r="F94" s="25">
        <v>30.024445309458937</v>
      </c>
      <c r="G94">
        <f>+COSECHA[[#This Row],[KG]]/4/12</f>
        <v>4328.125</v>
      </c>
      <c r="H94" s="2">
        <f>+IFERROR(COSECHA[[#This Row],[KG uva]]/COUNTIFS(COSECHA[Finca],COSECHA[[#This Row],[Finca]],COSECHA[Variedad],COSECHA[[#This Row],[Variedad]],COSECHA[Tipo de Cosecha],COSECHA[[#This Row],[Tipo de Cosecha]]),0)</f>
        <v>207750</v>
      </c>
      <c r="K94" t="s">
        <v>97</v>
      </c>
      <c r="L94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21898766.871493205</v>
      </c>
      <c r="M94" s="2">
        <f>+IFERROR(INDEX(Tabla2[Precio Jornal],MATCH(COSECHA[[#This Row],[Mes]],Tabla2[Mes],0))*COSECHA[[#This Row],[Jornales]],0)</f>
        <v>674174.89986765292</v>
      </c>
      <c r="N94" s="2">
        <f>+COSECHA[[#This Row],[Jornales $]]+SUM(COSECHA[[#This Row],[PA]:[EE III]])</f>
        <v>3465537.7170873201</v>
      </c>
      <c r="O94" s="2" t="str">
        <f>+IF(COSECHA[[#This Row],[Finca]]="Puente Alto",INDEX(Tabla2[kg pa],MATCH(COSECHA[[#This Row],[Mes]],Tabla2[Mes],0))*COSECHA[[#This Row],[KG]],"")</f>
        <v/>
      </c>
      <c r="P94" s="2"/>
      <c r="Q94" s="2"/>
      <c r="R94" s="2">
        <f>+INDEX(Tabla2[Gamela DOV],MATCH(COSECHA[[#This Row],[Mes]],Tabla2[Mes],0))*COSECHA[[#This Row],[Bins]]</f>
        <v>2791362.8172196671</v>
      </c>
      <c r="S94" s="2"/>
      <c r="T94" s="2"/>
    </row>
    <row r="95" spans="1:21">
      <c r="A95" t="s">
        <v>14</v>
      </c>
      <c r="B95" t="s">
        <v>5</v>
      </c>
      <c r="C95" t="s">
        <v>128</v>
      </c>
      <c r="D95" t="s">
        <v>162</v>
      </c>
      <c r="E95" s="69">
        <v>1246500</v>
      </c>
      <c r="F95" s="25">
        <v>30.024445309458937</v>
      </c>
      <c r="G95">
        <f>+COSECHA[[#This Row],[KG]]/4/12</f>
        <v>4328.125</v>
      </c>
      <c r="H95" s="2">
        <f>+IFERROR(COSECHA[[#This Row],[KG uva]]/COUNTIFS(COSECHA[Finca],COSECHA[[#This Row],[Finca]],COSECHA[Variedad],COSECHA[[#This Row],[Variedad]],COSECHA[Tipo de Cosecha],COSECHA[[#This Row],[Tipo de Cosecha]]),0)</f>
        <v>207750</v>
      </c>
      <c r="K95" t="s">
        <v>97</v>
      </c>
      <c r="L95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21898766.871493205</v>
      </c>
      <c r="M95" s="2">
        <f>+IFERROR(INDEX(Tabla2[Precio Jornal],MATCH(COSECHA[[#This Row],[Mes]],Tabla2[Mes],0))*COSECHA[[#This Row],[Jornales]],0)</f>
        <v>674174.89986765292</v>
      </c>
      <c r="N95" s="2">
        <f>+COSECHA[[#This Row],[Jornales $]]+SUM(COSECHA[[#This Row],[PA]:[EE III]])</f>
        <v>3465537.7170873201</v>
      </c>
      <c r="O95" s="2" t="str">
        <f>+IF(COSECHA[[#This Row],[Finca]]="Puente Alto",INDEX(Tabla2[kg pa],MATCH(COSECHA[[#This Row],[Mes]],Tabla2[Mes],0))*COSECHA[[#This Row],[KG]],"")</f>
        <v/>
      </c>
      <c r="P95" s="2"/>
      <c r="Q95" s="2"/>
      <c r="R95" s="2">
        <f>+INDEX(Tabla2[Gamela DOV],MATCH(COSECHA[[#This Row],[Mes]],Tabla2[Mes],0))*COSECHA[[#This Row],[Bins]]</f>
        <v>2791362.8172196671</v>
      </c>
      <c r="S95" s="2"/>
    </row>
    <row r="96" spans="1:21">
      <c r="A96" t="s">
        <v>14</v>
      </c>
      <c r="B96" t="s">
        <v>5</v>
      </c>
      <c r="C96" t="s">
        <v>130</v>
      </c>
      <c r="D96" t="s">
        <v>162</v>
      </c>
      <c r="E96" s="69">
        <v>1246500</v>
      </c>
      <c r="F96" s="25">
        <v>22.518332229012671</v>
      </c>
      <c r="G96">
        <f>+COSECHA[[#This Row],[KG]]/4/12</f>
        <v>4328.125</v>
      </c>
      <c r="H96" s="2">
        <f>+IFERROR(COSECHA[[#This Row],[KG uva]]/COUNTIFS(COSECHA[Finca],COSECHA[[#This Row],[Finca]],COSECHA[Variedad],COSECHA[[#This Row],[Variedad]],COSECHA[Tipo de Cosecha],COSECHA[[#This Row],[Tipo de Cosecha]]),0)</f>
        <v>207750</v>
      </c>
      <c r="K96" t="s">
        <v>97</v>
      </c>
      <c r="L96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21898766.871493205</v>
      </c>
      <c r="M96" s="2">
        <f>+IFERROR(INDEX(Tabla2[Precio Jornal],MATCH(COSECHA[[#This Row],[Mes]],Tabla2[Mes],0))*COSECHA[[#This Row],[Jornales]],0)</f>
        <v>505631.13553669635</v>
      </c>
      <c r="N96" s="2">
        <f>+COSECHA[[#This Row],[Jornales $]]+SUM(COSECHA[[#This Row],[PA]:[EE III]])</f>
        <v>3296993.9527563634</v>
      </c>
      <c r="O96" s="2" t="str">
        <f>+IF(COSECHA[[#This Row],[Finca]]="Puente Alto",INDEX(Tabla2[kg pa],MATCH(COSECHA[[#This Row],[Mes]],Tabla2[Mes],0))*COSECHA[[#This Row],[KG]],"")</f>
        <v/>
      </c>
      <c r="P96" s="2"/>
      <c r="Q96" s="2"/>
      <c r="R96" s="2">
        <f>+INDEX(Tabla2[Gamela DOV],MATCH(COSECHA[[#This Row],[Mes]],Tabla2[Mes],0))*COSECHA[[#This Row],[Bins]]</f>
        <v>2791362.8172196671</v>
      </c>
      <c r="S96" s="2"/>
    </row>
    <row r="97" spans="1:19">
      <c r="A97" t="s">
        <v>14</v>
      </c>
      <c r="B97" t="s">
        <v>5</v>
      </c>
      <c r="C97" t="s">
        <v>169</v>
      </c>
      <c r="D97" t="s">
        <v>162</v>
      </c>
      <c r="E97" s="69">
        <v>1246500</v>
      </c>
      <c r="F97" s="25">
        <v>86.394265232974917</v>
      </c>
      <c r="G97">
        <f>+COSECHA[[#This Row],[KG]]/4/12</f>
        <v>4328.125</v>
      </c>
      <c r="H97" s="2">
        <f>+IFERROR(COSECHA[[#This Row],[KG uva]]/COUNTIFS(COSECHA[Finca],COSECHA[[#This Row],[Finca]],COSECHA[Variedad],COSECHA[[#This Row],[Variedad]],COSECHA[Tipo de Cosecha],COSECHA[[#This Row],[Tipo de Cosecha]]),0)</f>
        <v>207750</v>
      </c>
      <c r="K97" t="s">
        <v>97</v>
      </c>
      <c r="L97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21898766.871493205</v>
      </c>
      <c r="M97" s="2">
        <f>+IFERROR(INDEX(Tabla2[Precio Jornal],MATCH(COSECHA[[#This Row],[Mes]],Tabla2[Mes],0))*COSECHA[[#This Row],[Jornales]],0)</f>
        <v>1939914.1103942655</v>
      </c>
      <c r="N97" s="2">
        <f>+COSECHA[[#This Row],[Jornales $]]+SUM(COSECHA[[#This Row],[PA]:[EE III]])</f>
        <v>4731276.9276139326</v>
      </c>
      <c r="O97" s="2" t="str">
        <f>+IF(COSECHA[[#This Row],[Finca]]="Puente Alto",INDEX(Tabla2[kg pa],MATCH(COSECHA[[#This Row],[Mes]],Tabla2[Mes],0))*COSECHA[[#This Row],[KG]],"")</f>
        <v/>
      </c>
      <c r="P97" s="2"/>
      <c r="Q97" s="2"/>
      <c r="R97" s="2">
        <f>+INDEX(Tabla2[Gamela DOV],MATCH(COSECHA[[#This Row],[Mes]],Tabla2[Mes],0))*COSECHA[[#This Row],[Bins]]</f>
        <v>2791362.8172196671</v>
      </c>
      <c r="S97" s="2"/>
    </row>
    <row r="98" spans="1:19">
      <c r="A98" t="s">
        <v>14</v>
      </c>
      <c r="B98" t="s">
        <v>5</v>
      </c>
      <c r="C98" t="s">
        <v>170</v>
      </c>
      <c r="D98" t="s">
        <v>162</v>
      </c>
      <c r="E98" s="69">
        <v>1246500</v>
      </c>
      <c r="F98" s="25">
        <v>31.904698874917273</v>
      </c>
      <c r="G98">
        <f>+COSECHA[[#This Row],[KG]]/4/12</f>
        <v>4328.125</v>
      </c>
      <c r="H98" s="2">
        <f>+IFERROR(COSECHA[[#This Row],[KG uva]]/COUNTIFS(COSECHA[Finca],COSECHA[[#This Row],[Finca]],COSECHA[Variedad],COSECHA[[#This Row],[Variedad]],COSECHA[Tipo de Cosecha],COSECHA[[#This Row],[Tipo de Cosecha]]),0)</f>
        <v>207750</v>
      </c>
      <c r="K98" t="s">
        <v>97</v>
      </c>
      <c r="L98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21898766.871493205</v>
      </c>
      <c r="M98" s="2">
        <f>+IFERROR(INDEX(Tabla2[Precio Jornal],MATCH(COSECHA[[#This Row],[Mes]],Tabla2[Mes],0))*COSECHA[[#This Row],[Jornales]],0)</f>
        <v>716394.48947716749</v>
      </c>
      <c r="N98" s="2">
        <f>+COSECHA[[#This Row],[Jornales $]]+SUM(COSECHA[[#This Row],[PA]:[EE III]])</f>
        <v>3507757.3066968345</v>
      </c>
      <c r="O98" s="2" t="str">
        <f>+IF(COSECHA[[#This Row],[Finca]]="Puente Alto",INDEX(Tabla2[kg pa],MATCH(COSECHA[[#This Row],[Mes]],Tabla2[Mes],0))*COSECHA[[#This Row],[KG]],"")</f>
        <v/>
      </c>
      <c r="P98" s="2"/>
      <c r="Q98" s="2"/>
      <c r="R98" s="2">
        <f>+INDEX(Tabla2[Gamela DOV],MATCH(COSECHA[[#This Row],[Mes]],Tabla2[Mes],0))*COSECHA[[#This Row],[Bins]]</f>
        <v>2791362.8172196671</v>
      </c>
      <c r="S98" s="2"/>
    </row>
    <row r="99" spans="1:19">
      <c r="A99" t="s">
        <v>15</v>
      </c>
      <c r="B99" t="s">
        <v>10</v>
      </c>
      <c r="C99" t="s">
        <v>126</v>
      </c>
      <c r="D99" t="s">
        <v>163</v>
      </c>
      <c r="E99" s="69">
        <v>776810</v>
      </c>
      <c r="F99" s="25">
        <v>25.364396264611766</v>
      </c>
      <c r="G99">
        <f>+COSECHA[[#This Row],[KG]]/300</f>
        <v>517.87333333333333</v>
      </c>
      <c r="H99">
        <f>+IFERROR(COSECHA[[#This Row],[KG uva]]/COUNTIFS(COSECHA[Finca],COSECHA[[#This Row],[Finca]],COSECHA[Variedad],COSECHA[[#This Row],[Variedad]],COSECHA[Tipo de Cosecha],COSECHA[[#This Row],[Tipo de Cosecha]]),0)</f>
        <v>155362</v>
      </c>
      <c r="K99" t="s">
        <v>96</v>
      </c>
      <c r="L99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2544052.75</v>
      </c>
      <c r="M99">
        <f>+IFERROR(INDEX(Tabla2[Precio Jornal],MATCH(COSECHA[[#This Row],[Mes]],Tabla2[Mes],0))*COSECHA[[#This Row],[Jornales]],0)</f>
        <v>560139.71778880688</v>
      </c>
      <c r="N99" s="2">
        <f>+COSECHA[[#This Row],[Jornales $]]+SUM(COSECHA[[#This Row],[PA]:[EE III]])</f>
        <v>5851769.4377888078</v>
      </c>
      <c r="O99" s="2" t="str">
        <f>+IF(COSECHA[[#This Row],[Finca]]="Puente Alto",INDEX(Tabla2[kg pa],MATCH(COSECHA[[#This Row],[Mes]],Tabla2[Mes],0))*COSECHA[[#This Row],[KG]],"")</f>
        <v/>
      </c>
      <c r="P99" s="2"/>
      <c r="Q99" s="2"/>
      <c r="R99" s="2"/>
      <c r="S99" s="2">
        <f>+(INDEX(Tabla2[kg pa],MATCH(COSECHA[[#This Row],[Mes]],Tabla2[Mes],0))*COSECHA[[#This Row],[KG]])*1.3</f>
        <v>5291629.7200000007</v>
      </c>
    </row>
    <row r="100" spans="1:19">
      <c r="A100" t="s">
        <v>15</v>
      </c>
      <c r="B100" t="s">
        <v>10</v>
      </c>
      <c r="C100" t="s">
        <v>127</v>
      </c>
      <c r="D100" t="s">
        <v>163</v>
      </c>
      <c r="E100" s="69">
        <v>776810</v>
      </c>
      <c r="F100" s="25">
        <v>25.364396264611766</v>
      </c>
      <c r="G100">
        <f>+COSECHA[[#This Row],[KG]]/300</f>
        <v>517.87333333333333</v>
      </c>
      <c r="H100">
        <f>+IFERROR(COSECHA[[#This Row],[KG uva]]/COUNTIFS(COSECHA[Finca],COSECHA[[#This Row],[Finca]],COSECHA[Variedad],COSECHA[[#This Row],[Variedad]],COSECHA[Tipo de Cosecha],COSECHA[[#This Row],[Tipo de Cosecha]]),0)</f>
        <v>155362</v>
      </c>
      <c r="K100" t="s">
        <v>96</v>
      </c>
      <c r="L100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2544052.75</v>
      </c>
      <c r="M100">
        <f>+IFERROR(INDEX(Tabla2[Precio Jornal],MATCH(COSECHA[[#This Row],[Mes]],Tabla2[Mes],0))*COSECHA[[#This Row],[Jornales]],0)</f>
        <v>560139.71778880688</v>
      </c>
      <c r="N100" s="2">
        <f>+COSECHA[[#This Row],[Jornales $]]+SUM(COSECHA[[#This Row],[PA]:[EE III]])</f>
        <v>5851769.4377888078</v>
      </c>
      <c r="O100" s="2" t="str">
        <f>+IF(COSECHA[[#This Row],[Finca]]="Puente Alto",INDEX(Tabla2[kg pa],MATCH(COSECHA[[#This Row],[Mes]],Tabla2[Mes],0))*COSECHA[[#This Row],[KG]],"")</f>
        <v/>
      </c>
      <c r="P100" s="2"/>
      <c r="Q100" s="2"/>
      <c r="R100" s="2"/>
      <c r="S100" s="2">
        <f>+(INDEX(Tabla2[kg pa],MATCH(COSECHA[[#This Row],[Mes]],Tabla2[Mes],0))*COSECHA[[#This Row],[KG]])*1.3</f>
        <v>5291629.7200000007</v>
      </c>
    </row>
    <row r="101" spans="1:19">
      <c r="A101" t="s">
        <v>15</v>
      </c>
      <c r="B101" t="s">
        <v>10</v>
      </c>
      <c r="C101" t="s">
        <v>128</v>
      </c>
      <c r="D101" t="s">
        <v>163</v>
      </c>
      <c r="E101" s="69">
        <v>776810</v>
      </c>
      <c r="F101" s="25">
        <v>51.995314591700129</v>
      </c>
      <c r="G101">
        <f>+COSECHA[[#This Row],[KG]]/300</f>
        <v>517.87333333333333</v>
      </c>
      <c r="H101">
        <f>+IFERROR(COSECHA[[#This Row],[KG uva]]/COUNTIFS(COSECHA[Finca],COSECHA[[#This Row],[Finca]],COSECHA[Variedad],COSECHA[[#This Row],[Variedad]],COSECHA[Tipo de Cosecha],COSECHA[[#This Row],[Tipo de Cosecha]]),0)</f>
        <v>155362</v>
      </c>
      <c r="K101" t="s">
        <v>96</v>
      </c>
      <c r="L101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2544052.75</v>
      </c>
      <c r="M101">
        <f>+IFERROR(INDEX(Tabla2[Precio Jornal],MATCH(COSECHA[[#This Row],[Mes]],Tabla2[Mes],0))*COSECHA[[#This Row],[Jornales]],0)</f>
        <v>1148248.9288487281</v>
      </c>
      <c r="N101" s="2">
        <f>+COSECHA[[#This Row],[Jornales $]]+SUM(COSECHA[[#This Row],[PA]:[EE III]])</f>
        <v>6439878.6488487292</v>
      </c>
      <c r="O101" s="2" t="str">
        <f>+IF(COSECHA[[#This Row],[Finca]]="Puente Alto",INDEX(Tabla2[kg pa],MATCH(COSECHA[[#This Row],[Mes]],Tabla2[Mes],0))*COSECHA[[#This Row],[KG]],"")</f>
        <v/>
      </c>
      <c r="P101" s="2"/>
      <c r="Q101" s="2"/>
      <c r="R101" s="2"/>
      <c r="S101" s="2">
        <f>+(INDEX(Tabla2[kg pa],MATCH(COSECHA[[#This Row],[Mes]],Tabla2[Mes],0))*COSECHA[[#This Row],[KG]])*1.3</f>
        <v>5291629.7200000007</v>
      </c>
    </row>
    <row r="102" spans="1:19">
      <c r="A102" t="s">
        <v>15</v>
      </c>
      <c r="B102" t="s">
        <v>10</v>
      </c>
      <c r="C102" t="s">
        <v>129</v>
      </c>
      <c r="D102" t="s">
        <v>163</v>
      </c>
      <c r="E102" s="69">
        <v>776810</v>
      </c>
      <c r="F102" s="25">
        <v>6.9116744223291899</v>
      </c>
      <c r="G102">
        <f>+COSECHA[[#This Row],[KG]]/300</f>
        <v>517.87333333333333</v>
      </c>
      <c r="H102">
        <f>+IFERROR(COSECHA[[#This Row],[KG uva]]/COUNTIFS(COSECHA[Finca],COSECHA[[#This Row],[Finca]],COSECHA[Variedad],COSECHA[[#This Row],[Variedad]],COSECHA[Tipo de Cosecha],COSECHA[[#This Row],[Tipo de Cosecha]]),0)</f>
        <v>155362</v>
      </c>
      <c r="K102" t="s">
        <v>96</v>
      </c>
      <c r="L102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2544052.75</v>
      </c>
      <c r="M102">
        <f>+IFERROR(INDEX(Tabla2[Precio Jornal],MATCH(COSECHA[[#This Row],[Mes]],Tabla2[Mes],0))*COSECHA[[#This Row],[Jornales]],0)</f>
        <v>152635.34444039114</v>
      </c>
      <c r="N102" s="2">
        <f>+COSECHA[[#This Row],[Jornales $]]+SUM(COSECHA[[#This Row],[PA]:[EE III]])</f>
        <v>5444265.064440392</v>
      </c>
      <c r="O102" s="2" t="str">
        <f>+IF(COSECHA[[#This Row],[Finca]]="Puente Alto",INDEX(Tabla2[kg pa],MATCH(COSECHA[[#This Row],[Mes]],Tabla2[Mes],0))*COSECHA[[#This Row],[KG]],"")</f>
        <v/>
      </c>
      <c r="P102" s="2"/>
      <c r="Q102" s="2"/>
      <c r="R102" s="2"/>
      <c r="S102" s="2">
        <f>+(INDEX(Tabla2[kg pa],MATCH(COSECHA[[#This Row],[Mes]],Tabla2[Mes],0))*COSECHA[[#This Row],[KG]])*1.3</f>
        <v>5291629.7200000007</v>
      </c>
    </row>
    <row r="103" spans="1:19">
      <c r="A103" t="s">
        <v>15</v>
      </c>
      <c r="B103" t="s">
        <v>10</v>
      </c>
      <c r="C103" t="s">
        <v>130</v>
      </c>
      <c r="D103" t="s">
        <v>163</v>
      </c>
      <c r="E103" s="69">
        <v>776810</v>
      </c>
      <c r="F103" s="25">
        <v>25.364396264611766</v>
      </c>
      <c r="G103">
        <f>+COSECHA[[#This Row],[KG]]/300</f>
        <v>517.87333333333333</v>
      </c>
      <c r="H103">
        <f>+IFERROR(COSECHA[[#This Row],[KG uva]]/COUNTIFS(COSECHA[Finca],COSECHA[[#This Row],[Finca]],COSECHA[Variedad],COSECHA[[#This Row],[Variedad]],COSECHA[Tipo de Cosecha],COSECHA[[#This Row],[Tipo de Cosecha]]),0)</f>
        <v>155362</v>
      </c>
      <c r="K103" t="s">
        <v>96</v>
      </c>
      <c r="L103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2544052.75</v>
      </c>
      <c r="M103">
        <f>+IFERROR(INDEX(Tabla2[Precio Jornal],MATCH(COSECHA[[#This Row],[Mes]],Tabla2[Mes],0))*COSECHA[[#This Row],[Jornales]],0)</f>
        <v>560139.71778880688</v>
      </c>
      <c r="N103" s="2">
        <f>+COSECHA[[#This Row],[Jornales $]]+SUM(COSECHA[[#This Row],[PA]:[EE III]])</f>
        <v>5851769.4377888078</v>
      </c>
      <c r="O103" s="2" t="str">
        <f>+IF(COSECHA[[#This Row],[Finca]]="Puente Alto",INDEX(Tabla2[kg pa],MATCH(COSECHA[[#This Row],[Mes]],Tabla2[Mes],0))*COSECHA[[#This Row],[KG]],"")</f>
        <v/>
      </c>
      <c r="P103" s="2"/>
      <c r="Q103" s="2"/>
      <c r="R103" s="2"/>
      <c r="S103" s="2">
        <f>+(INDEX(Tabla2[kg pa],MATCH(COSECHA[[#This Row],[Mes]],Tabla2[Mes],0))*COSECHA[[#This Row],[KG]])*1.3</f>
        <v>5291629.7200000007</v>
      </c>
    </row>
    <row r="104" spans="1:19">
      <c r="A104" t="s">
        <v>15</v>
      </c>
      <c r="B104" t="s">
        <v>6</v>
      </c>
      <c r="C104" t="s">
        <v>126</v>
      </c>
      <c r="D104" t="s">
        <v>163</v>
      </c>
      <c r="E104" s="69">
        <v>384660</v>
      </c>
      <c r="F104" s="25">
        <v>12.559916410892704</v>
      </c>
      <c r="G104">
        <f>+COSECHA[[#This Row],[KG]]/300</f>
        <v>256.44</v>
      </c>
      <c r="H104">
        <f>+IFERROR(COSECHA[[#This Row],[KG uva]]/COUNTIFS(COSECHA[Finca],COSECHA[[#This Row],[Finca]],COSECHA[Variedad],COSECHA[[#This Row],[Variedad]],COSECHA[Tipo de Cosecha],COSECHA[[#This Row],[Tipo de Cosecha]]),0)</f>
        <v>76932</v>
      </c>
      <c r="K104" t="s">
        <v>97</v>
      </c>
      <c r="L104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1297494.8220131621</v>
      </c>
      <c r="M104">
        <f>+IFERROR(INDEX(Tabla2[Precio Jornal],MATCH(COSECHA[[#This Row],[Mes]],Tabla2[Mes],0))*COSECHA[[#This Row],[Jornales]],0)</f>
        <v>282022.87507346697</v>
      </c>
      <c r="N104" s="2">
        <f>+COSECHA[[#This Row],[Jornales $]]+SUM(COSECHA[[#This Row],[PA]:[EE III]])</f>
        <v>2980812.1048608446</v>
      </c>
      <c r="O104" s="2" t="str">
        <f>+IF(COSECHA[[#This Row],[Finca]]="Puente Alto",INDEX(Tabla2[kg pa],MATCH(COSECHA[[#This Row],[Mes]],Tabla2[Mes],0))*COSECHA[[#This Row],[KG]],"")</f>
        <v/>
      </c>
      <c r="P104" s="2"/>
      <c r="Q104" s="2"/>
      <c r="R104" s="2"/>
      <c r="S104" s="2">
        <f>+(INDEX(Tabla2[kg pa],MATCH(COSECHA[[#This Row],[Mes]],Tabla2[Mes],0))*COSECHA[[#This Row],[KG]])*1.3</f>
        <v>2698789.2297873776</v>
      </c>
    </row>
    <row r="105" spans="1:19">
      <c r="A105" t="s">
        <v>15</v>
      </c>
      <c r="B105" t="s">
        <v>6</v>
      </c>
      <c r="C105" t="s">
        <v>127</v>
      </c>
      <c r="D105" t="s">
        <v>163</v>
      </c>
      <c r="E105" s="69">
        <v>384660</v>
      </c>
      <c r="F105" s="25">
        <v>12.559916410892704</v>
      </c>
      <c r="G105">
        <f>+COSECHA[[#This Row],[KG]]/300</f>
        <v>256.44</v>
      </c>
      <c r="H105">
        <f>+IFERROR(COSECHA[[#This Row],[KG uva]]/COUNTIFS(COSECHA[Finca],COSECHA[[#This Row],[Finca]],COSECHA[Variedad],COSECHA[[#This Row],[Variedad]],COSECHA[Tipo de Cosecha],COSECHA[[#This Row],[Tipo de Cosecha]]),0)</f>
        <v>76932</v>
      </c>
      <c r="K105" t="s">
        <v>97</v>
      </c>
      <c r="L105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1297494.8220131621</v>
      </c>
      <c r="M105">
        <f>+IFERROR(INDEX(Tabla2[Precio Jornal],MATCH(COSECHA[[#This Row],[Mes]],Tabla2[Mes],0))*COSECHA[[#This Row],[Jornales]],0)</f>
        <v>282022.87507346697</v>
      </c>
      <c r="N105" s="2">
        <f>+COSECHA[[#This Row],[Jornales $]]+SUM(COSECHA[[#This Row],[PA]:[EE III]])</f>
        <v>2980812.1048608446</v>
      </c>
      <c r="O105" s="2" t="str">
        <f>+IF(COSECHA[[#This Row],[Finca]]="Puente Alto",INDEX(Tabla2[kg pa],MATCH(COSECHA[[#This Row],[Mes]],Tabla2[Mes],0))*COSECHA[[#This Row],[KG]],"")</f>
        <v/>
      </c>
      <c r="P105" s="2"/>
      <c r="Q105" s="2"/>
      <c r="R105" s="2"/>
      <c r="S105" s="2">
        <f>+(INDEX(Tabla2[kg pa],MATCH(COSECHA[[#This Row],[Mes]],Tabla2[Mes],0))*COSECHA[[#This Row],[KG]])*1.3</f>
        <v>2698789.2297873776</v>
      </c>
    </row>
    <row r="106" spans="1:19">
      <c r="A106" t="s">
        <v>15</v>
      </c>
      <c r="B106" t="s">
        <v>6</v>
      </c>
      <c r="C106" t="s">
        <v>128</v>
      </c>
      <c r="D106" t="s">
        <v>163</v>
      </c>
      <c r="E106" s="69">
        <v>384660</v>
      </c>
      <c r="F106" s="25">
        <v>25.746987951807228</v>
      </c>
      <c r="G106">
        <f>+COSECHA[[#This Row],[KG]]/300</f>
        <v>256.44</v>
      </c>
      <c r="H106">
        <f>+IFERROR(COSECHA[[#This Row],[KG uva]]/COUNTIFS(COSECHA[Finca],COSECHA[[#This Row],[Finca]],COSECHA[Variedad],COSECHA[[#This Row],[Variedad]],COSECHA[Tipo de Cosecha],COSECHA[[#This Row],[Tipo de Cosecha]]),0)</f>
        <v>76932</v>
      </c>
      <c r="K106" t="s">
        <v>97</v>
      </c>
      <c r="L106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1297494.8220131621</v>
      </c>
      <c r="M106">
        <f>+IFERROR(INDEX(Tabla2[Precio Jornal],MATCH(COSECHA[[#This Row],[Mes]],Tabla2[Mes],0))*COSECHA[[#This Row],[Jornales]],0)</f>
        <v>578128.01686746988</v>
      </c>
      <c r="N106" s="2">
        <f>+COSECHA[[#This Row],[Jornales $]]+SUM(COSECHA[[#This Row],[PA]:[EE III]])</f>
        <v>3276917.2466548476</v>
      </c>
      <c r="O106" s="2" t="str">
        <f>+IF(COSECHA[[#This Row],[Finca]]="Puente Alto",INDEX(Tabla2[kg pa],MATCH(COSECHA[[#This Row],[Mes]],Tabla2[Mes],0))*COSECHA[[#This Row],[KG]],"")</f>
        <v/>
      </c>
      <c r="P106" s="2"/>
      <c r="Q106" s="2"/>
      <c r="R106" s="2"/>
      <c r="S106" s="2">
        <f>+(INDEX(Tabla2[kg pa],MATCH(COSECHA[[#This Row],[Mes]],Tabla2[Mes],0))*COSECHA[[#This Row],[KG]])*1.3</f>
        <v>2698789.2297873776</v>
      </c>
    </row>
    <row r="107" spans="1:19">
      <c r="A107" t="s">
        <v>15</v>
      </c>
      <c r="B107" t="s">
        <v>6</v>
      </c>
      <c r="C107" t="s">
        <v>129</v>
      </c>
      <c r="D107" t="s">
        <v>163</v>
      </c>
      <c r="E107" s="69">
        <v>384660</v>
      </c>
      <c r="F107" s="25">
        <v>3.4225160377610302</v>
      </c>
      <c r="G107">
        <f>+COSECHA[[#This Row],[KG]]/300</f>
        <v>256.44</v>
      </c>
      <c r="H107">
        <f>+IFERROR(COSECHA[[#This Row],[KG uva]]/COUNTIFS(COSECHA[Finca],COSECHA[[#This Row],[Finca]],COSECHA[Variedad],COSECHA[[#This Row],[Variedad]],COSECHA[Tipo de Cosecha],COSECHA[[#This Row],[Tipo de Cosecha]]),0)</f>
        <v>76932</v>
      </c>
      <c r="K107" t="s">
        <v>97</v>
      </c>
      <c r="L107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1297494.8220131621</v>
      </c>
      <c r="M107">
        <f>+IFERROR(INDEX(Tabla2[Precio Jornal],MATCH(COSECHA[[#This Row],[Mes]],Tabla2[Mes],0))*COSECHA[[#This Row],[Jornales]],0)</f>
        <v>76849.859615093723</v>
      </c>
      <c r="N107" s="2">
        <f>+COSECHA[[#This Row],[Jornales $]]+SUM(COSECHA[[#This Row],[PA]:[EE III]])</f>
        <v>2775639.0894024712</v>
      </c>
      <c r="O107" s="2" t="str">
        <f>+IF(COSECHA[[#This Row],[Finca]]="Puente Alto",INDEX(Tabla2[kg pa],MATCH(COSECHA[[#This Row],[Mes]],Tabla2[Mes],0))*COSECHA[[#This Row],[KG]],"")</f>
        <v/>
      </c>
      <c r="P107" s="2"/>
      <c r="Q107" s="2"/>
      <c r="R107" s="2"/>
      <c r="S107" s="2">
        <f>+(INDEX(Tabla2[kg pa],MATCH(COSECHA[[#This Row],[Mes]],Tabla2[Mes],0))*COSECHA[[#This Row],[KG]])*1.3</f>
        <v>2698789.2297873776</v>
      </c>
    </row>
    <row r="108" spans="1:19">
      <c r="A108" t="s">
        <v>15</v>
      </c>
      <c r="B108" t="s">
        <v>6</v>
      </c>
      <c r="C108" t="s">
        <v>130</v>
      </c>
      <c r="D108" t="s">
        <v>163</v>
      </c>
      <c r="E108" s="69">
        <v>384660</v>
      </c>
      <c r="F108" s="25">
        <v>12.559916410892704</v>
      </c>
      <c r="G108">
        <f>+COSECHA[[#This Row],[KG]]/300</f>
        <v>256.44</v>
      </c>
      <c r="H108">
        <f>+IFERROR(COSECHA[[#This Row],[KG uva]]/COUNTIFS(COSECHA[Finca],COSECHA[[#This Row],[Finca]],COSECHA[Variedad],COSECHA[[#This Row],[Variedad]],COSECHA[Tipo de Cosecha],COSECHA[[#This Row],[Tipo de Cosecha]]),0)</f>
        <v>76932</v>
      </c>
      <c r="K108" t="s">
        <v>97</v>
      </c>
      <c r="L108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1297494.8220131621</v>
      </c>
      <c r="M108">
        <f>+IFERROR(INDEX(Tabla2[Precio Jornal],MATCH(COSECHA[[#This Row],[Mes]],Tabla2[Mes],0))*COSECHA[[#This Row],[Jornales]],0)</f>
        <v>282022.87507346697</v>
      </c>
      <c r="N108" s="2">
        <f>+COSECHA[[#This Row],[Jornales $]]+SUM(COSECHA[[#This Row],[PA]:[EE III]])</f>
        <v>2980812.1048608446</v>
      </c>
      <c r="O108" s="2" t="str">
        <f>+IF(COSECHA[[#This Row],[Finca]]="Puente Alto",INDEX(Tabla2[kg pa],MATCH(COSECHA[[#This Row],[Mes]],Tabla2[Mes],0))*COSECHA[[#This Row],[KG]],"")</f>
        <v/>
      </c>
      <c r="P108" s="2"/>
      <c r="Q108" s="2"/>
      <c r="R108" s="2"/>
      <c r="S108" s="2">
        <f>+(INDEX(Tabla2[kg pa],MATCH(COSECHA[[#This Row],[Mes]],Tabla2[Mes],0))*COSECHA[[#This Row],[KG]])*1.3</f>
        <v>2698789.2297873776</v>
      </c>
    </row>
    <row r="109" spans="1:19">
      <c r="A109" t="s">
        <v>15</v>
      </c>
      <c r="B109" t="s">
        <v>5</v>
      </c>
      <c r="C109" t="s">
        <v>126</v>
      </c>
      <c r="D109" t="s">
        <v>163</v>
      </c>
      <c r="E109" s="69">
        <v>63600.000000000007</v>
      </c>
      <c r="F109" s="25">
        <v>2.0766668843466336</v>
      </c>
      <c r="G109">
        <f>+COSECHA[[#This Row],[KG]]/300</f>
        <v>42.400000000000006</v>
      </c>
      <c r="H109">
        <f>+IFERROR(COSECHA[[#This Row],[KG uva]]/COUNTIFS(COSECHA[Finca],COSECHA[[#This Row],[Finca]],COSECHA[Variedad],COSECHA[[#This Row],[Variedad]],COSECHA[Tipo de Cosecha],COSECHA[[#This Row],[Tipo de Cosecha]]),0)</f>
        <v>12720.000000000002</v>
      </c>
      <c r="K109" t="s">
        <v>96</v>
      </c>
      <c r="L109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208290.00000000003</v>
      </c>
      <c r="M109">
        <f>+IFERROR(INDEX(Tabla2[Precio Jornal],MATCH(COSECHA[[#This Row],[Mes]],Tabla2[Mes],0))*COSECHA[[#This Row],[Jornales]],0)</f>
        <v>45860.488473845755</v>
      </c>
      <c r="N109" s="2">
        <f>+COSECHA[[#This Row],[Jornales $]]+SUM(COSECHA[[#This Row],[PA]:[EE III]])</f>
        <v>479103.68847384583</v>
      </c>
      <c r="O109" s="2" t="str">
        <f>+IF(COSECHA[[#This Row],[Finca]]="Puente Alto",INDEX(Tabla2[kg pa],MATCH(COSECHA[[#This Row],[Mes]],Tabla2[Mes],0))*COSECHA[[#This Row],[KG]],"")</f>
        <v/>
      </c>
      <c r="P109" s="2"/>
      <c r="Q109" s="2"/>
      <c r="R109" s="2"/>
      <c r="S109" s="2">
        <f>+(INDEX(Tabla2[kg pa],MATCH(COSECHA[[#This Row],[Mes]],Tabla2[Mes],0))*COSECHA[[#This Row],[KG]])*1.3</f>
        <v>433243.20000000007</v>
      </c>
    </row>
    <row r="110" spans="1:19">
      <c r="A110" t="s">
        <v>15</v>
      </c>
      <c r="B110" t="s">
        <v>5</v>
      </c>
      <c r="C110" t="s">
        <v>127</v>
      </c>
      <c r="D110" t="s">
        <v>163</v>
      </c>
      <c r="E110" s="69">
        <v>63600.000000000007</v>
      </c>
      <c r="F110" s="25">
        <v>2.0766668843466336</v>
      </c>
      <c r="G110">
        <f>+COSECHA[[#This Row],[KG]]/300</f>
        <v>42.400000000000006</v>
      </c>
      <c r="H110">
        <f>+IFERROR(COSECHA[[#This Row],[KG uva]]/COUNTIFS(COSECHA[Finca],COSECHA[[#This Row],[Finca]],COSECHA[Variedad],COSECHA[[#This Row],[Variedad]],COSECHA[Tipo de Cosecha],COSECHA[[#This Row],[Tipo de Cosecha]]),0)</f>
        <v>12720.000000000002</v>
      </c>
      <c r="K110" t="s">
        <v>96</v>
      </c>
      <c r="L110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208290.00000000003</v>
      </c>
      <c r="M110">
        <f>+IFERROR(INDEX(Tabla2[Precio Jornal],MATCH(COSECHA[[#This Row],[Mes]],Tabla2[Mes],0))*COSECHA[[#This Row],[Jornales]],0)</f>
        <v>45860.488473845755</v>
      </c>
      <c r="N110" s="2">
        <f>+COSECHA[[#This Row],[Jornales $]]+SUM(COSECHA[[#This Row],[PA]:[EE III]])</f>
        <v>479103.68847384583</v>
      </c>
      <c r="O110" s="2" t="str">
        <f>+IF(COSECHA[[#This Row],[Finca]]="Puente Alto",INDEX(Tabla2[kg pa],MATCH(COSECHA[[#This Row],[Mes]],Tabla2[Mes],0))*COSECHA[[#This Row],[KG]],"")</f>
        <v/>
      </c>
      <c r="P110" s="2"/>
      <c r="Q110" s="2"/>
      <c r="R110" s="2"/>
      <c r="S110" s="2">
        <f>+(INDEX(Tabla2[kg pa],MATCH(COSECHA[[#This Row],[Mes]],Tabla2[Mes],0))*COSECHA[[#This Row],[KG]])*1.3</f>
        <v>433243.20000000007</v>
      </c>
    </row>
    <row r="111" spans="1:19">
      <c r="A111" t="s">
        <v>15</v>
      </c>
      <c r="B111" t="s">
        <v>5</v>
      </c>
      <c r="C111" t="s">
        <v>128</v>
      </c>
      <c r="D111" t="s">
        <v>163</v>
      </c>
      <c r="E111" s="69">
        <v>63600.000000000007</v>
      </c>
      <c r="F111" s="25">
        <v>4.2570281124497997</v>
      </c>
      <c r="G111">
        <f>+COSECHA[[#This Row],[KG]]/300</f>
        <v>42.400000000000006</v>
      </c>
      <c r="H111">
        <f>+IFERROR(COSECHA[[#This Row],[KG uva]]/COUNTIFS(COSECHA[Finca],COSECHA[[#This Row],[Finca]],COSECHA[Variedad],COSECHA[[#This Row],[Variedad]],COSECHA[Tipo de Cosecha],COSECHA[[#This Row],[Tipo de Cosecha]]),0)</f>
        <v>12720.000000000002</v>
      </c>
      <c r="K111" t="s">
        <v>96</v>
      </c>
      <c r="L111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208290.00000000003</v>
      </c>
      <c r="M111">
        <f>+IFERROR(INDEX(Tabla2[Precio Jornal],MATCH(COSECHA[[#This Row],[Mes]],Tabla2[Mes],0))*COSECHA[[#This Row],[Jornales]],0)</f>
        <v>94010.931726907642</v>
      </c>
      <c r="N111" s="2">
        <f>+COSECHA[[#This Row],[Jornales $]]+SUM(COSECHA[[#This Row],[PA]:[EE III]])</f>
        <v>527254.13172690768</v>
      </c>
      <c r="O111" s="2" t="str">
        <f>+IF(COSECHA[[#This Row],[Finca]]="Puente Alto",INDEX(Tabla2[kg pa],MATCH(COSECHA[[#This Row],[Mes]],Tabla2[Mes],0))*COSECHA[[#This Row],[KG]],"")</f>
        <v/>
      </c>
      <c r="P111" s="2"/>
      <c r="Q111" s="2"/>
      <c r="R111" s="2"/>
      <c r="S111" s="2">
        <f>+(INDEX(Tabla2[kg pa],MATCH(COSECHA[[#This Row],[Mes]],Tabla2[Mes],0))*COSECHA[[#This Row],[KG]])*1.3</f>
        <v>433243.20000000007</v>
      </c>
    </row>
    <row r="112" spans="1:19">
      <c r="A112" t="s">
        <v>15</v>
      </c>
      <c r="B112" t="s">
        <v>5</v>
      </c>
      <c r="C112" t="s">
        <v>129</v>
      </c>
      <c r="D112" t="s">
        <v>163</v>
      </c>
      <c r="E112" s="69">
        <v>63600.000000000007</v>
      </c>
      <c r="F112" s="25">
        <v>0.56588160973743462</v>
      </c>
      <c r="G112">
        <f>+COSECHA[[#This Row],[KG]]/300</f>
        <v>42.400000000000006</v>
      </c>
      <c r="H112">
        <f>+IFERROR(COSECHA[[#This Row],[KG uva]]/COUNTIFS(COSECHA[Finca],COSECHA[[#This Row],[Finca]],COSECHA[Variedad],COSECHA[[#This Row],[Variedad]],COSECHA[Tipo de Cosecha],COSECHA[[#This Row],[Tipo de Cosecha]]),0)</f>
        <v>12720.000000000002</v>
      </c>
      <c r="K112" t="s">
        <v>96</v>
      </c>
      <c r="L112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208290.00000000003</v>
      </c>
      <c r="M112">
        <f>+IFERROR(INDEX(Tabla2[Precio Jornal],MATCH(COSECHA[[#This Row],[Mes]],Tabla2[Mes],0))*COSECHA[[#This Row],[Jornales]],0)</f>
        <v>12496.759704958586</v>
      </c>
      <c r="N112" s="2">
        <f>+COSECHA[[#This Row],[Jornales $]]+SUM(COSECHA[[#This Row],[PA]:[EE III]])</f>
        <v>445739.95970495866</v>
      </c>
      <c r="O112" s="2" t="str">
        <f>+IF(COSECHA[[#This Row],[Finca]]="Puente Alto",INDEX(Tabla2[kg pa],MATCH(COSECHA[[#This Row],[Mes]],Tabla2[Mes],0))*COSECHA[[#This Row],[KG]],"")</f>
        <v/>
      </c>
      <c r="P112" s="2"/>
      <c r="Q112" s="2"/>
      <c r="R112" s="2"/>
      <c r="S112" s="2">
        <f>+(INDEX(Tabla2[kg pa],MATCH(COSECHA[[#This Row],[Mes]],Tabla2[Mes],0))*COSECHA[[#This Row],[KG]])*1.3</f>
        <v>433243.20000000007</v>
      </c>
    </row>
    <row r="113" spans="1:19">
      <c r="A113" t="s">
        <v>15</v>
      </c>
      <c r="B113" t="s">
        <v>5</v>
      </c>
      <c r="C113" t="s">
        <v>130</v>
      </c>
      <c r="D113" t="s">
        <v>163</v>
      </c>
      <c r="E113" s="69">
        <v>63600.000000000007</v>
      </c>
      <c r="F113" s="25">
        <v>2.0766668843466336</v>
      </c>
      <c r="G113">
        <f>+COSECHA[[#This Row],[KG]]/300</f>
        <v>42.400000000000006</v>
      </c>
      <c r="H113">
        <f>+IFERROR(COSECHA[[#This Row],[KG uva]]/COUNTIFS(COSECHA[Finca],COSECHA[[#This Row],[Finca]],COSECHA[Variedad],COSECHA[[#This Row],[Variedad]],COSECHA[Tipo de Cosecha],COSECHA[[#This Row],[Tipo de Cosecha]]),0)</f>
        <v>12720.000000000002</v>
      </c>
      <c r="K113" t="s">
        <v>96</v>
      </c>
      <c r="L113" s="2">
        <f>+IFERROR(IF(COSECHA[[#This Row],[Bins]]="",COSECHA[[#This Row],[KG]]*INDEX(Tabla2[Precio Kg Uva Carro],MATCH(COSECHA[[#This Row],[Mes]],Tabla2[Mes],0)),COSECHA[[#This Row],[Bins]]*INDEX(Tabla2[Precio Bins],MATCH(COSECHA[[#This Row],[Mes]],Tabla2[Mes],0))),0)</f>
        <v>208290.00000000003</v>
      </c>
      <c r="M113">
        <f>+IFERROR(INDEX(Tabla2[Precio Jornal],MATCH(COSECHA[[#This Row],[Mes]],Tabla2[Mes],0))*COSECHA[[#This Row],[Jornales]],0)</f>
        <v>45860.488473845755</v>
      </c>
      <c r="N113" s="2">
        <f>+COSECHA[[#This Row],[Jornales $]]+SUM(COSECHA[[#This Row],[PA]:[EE III]])</f>
        <v>479103.68847384583</v>
      </c>
      <c r="O113" s="2" t="str">
        <f>+IF(COSECHA[[#This Row],[Finca]]="Puente Alto",INDEX(Tabla2[kg pa],MATCH(COSECHA[[#This Row],[Mes]],Tabla2[Mes],0))*COSECHA[[#This Row],[KG]],"")</f>
        <v/>
      </c>
      <c r="P113" s="2"/>
      <c r="Q113" s="2"/>
      <c r="R113" s="2"/>
      <c r="S113" s="2">
        <f>+(INDEX(Tabla2[kg pa],MATCH(COSECHA[[#This Row],[Mes]],Tabla2[Mes],0))*COSECHA[[#This Row],[KG]])*1.3</f>
        <v>433243.20000000007</v>
      </c>
    </row>
    <row r="114" spans="1:19">
      <c r="E114" s="134"/>
      <c r="F114" s="25">
        <f>SUBTOTAL(109,COSECHA[Jornales])</f>
        <v>1802.1593725371486</v>
      </c>
      <c r="H114">
        <f>SUBTOTAL(109,COSECHA[KG])</f>
        <v>10199052.999999998</v>
      </c>
      <c r="L114" s="2">
        <f>SUBTOTAL(109,COSECHA[Bins + Carros])</f>
        <v>558208970.07551396</v>
      </c>
      <c r="M114" s="2">
        <f>SUBTOTAL(109,COSECHA[Jornales $])</f>
        <v>40549733.713656031</v>
      </c>
      <c r="N114" s="2">
        <f>SUBTOTAL(109,COSECHA[Cosecha])</f>
        <v>257241221.18426377</v>
      </c>
    </row>
    <row r="117" spans="1:19">
      <c r="H117" s="2"/>
    </row>
  </sheetData>
  <phoneticPr fontId="3" type="noConversion"/>
  <pageMargins left="0.7" right="0.7" top="0.75" bottom="0.75" header="0.3" footer="0.3"/>
  <pageSetup paperSize="9" orientation="portrait" r:id="rId1"/>
  <legacyDrawing r:id="rId2"/>
  <tableParts count="2">
    <tablePart r:id="rId3"/>
    <tablePart r:id="rId4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H218"/>
  <sheetViews>
    <sheetView topLeftCell="AE176" workbookViewId="0">
      <selection activeCell="AF184" activeCellId="2" sqref="AF86:AH86 AF113:AH113 AF184:AH184"/>
      <pivotSelection pane="bottomRight" showHeader="1" extendable="1" axis="axisRow" dimension="1" start="182" min="157" max="194" activeRow="183" activeCol="31" previousRow="183" previousCol="31" click="1" r:id="rId1">
        <pivotArea dataOnly="0" fieldPosition="0">
          <references count="1">
            <reference field="1" count="1">
              <x v="3"/>
            </reference>
          </references>
        </pivotArea>
      </pivotSelection>
    </sheetView>
  </sheetViews>
  <sheetFormatPr baseColWidth="10" defaultRowHeight="15"/>
  <cols>
    <col min="1" max="1" width="16.42578125" bestFit="1" customWidth="1"/>
    <col min="2" max="2" width="11.28515625" bestFit="1" customWidth="1"/>
    <col min="3" max="3" width="48.42578125" bestFit="1" customWidth="1"/>
    <col min="4" max="4" width="17.42578125" bestFit="1" customWidth="1"/>
    <col min="5" max="5" width="9.42578125" bestFit="1" customWidth="1"/>
    <col min="6" max="6" width="12.140625" bestFit="1" customWidth="1"/>
    <col min="7" max="7" width="9.28515625" bestFit="1" customWidth="1"/>
    <col min="9" max="9" width="16.42578125" bestFit="1" customWidth="1"/>
    <col min="10" max="10" width="22.28515625" bestFit="1" customWidth="1"/>
    <col min="11" max="11" width="13.28515625" bestFit="1" customWidth="1"/>
    <col min="12" max="12" width="7.85546875" customWidth="1"/>
    <col min="13" max="13" width="8.140625" bestFit="1" customWidth="1"/>
    <col min="14" max="14" width="9.28515625" customWidth="1"/>
    <col min="15" max="15" width="13.42578125" customWidth="1"/>
    <col min="16" max="16" width="10.28515625" customWidth="1"/>
    <col min="17" max="17" width="13.140625" customWidth="1"/>
    <col min="18" max="18" width="12.28515625" customWidth="1"/>
    <col min="19" max="19" width="8.28515625" customWidth="1"/>
    <col min="20" max="20" width="10.140625" customWidth="1"/>
    <col min="21" max="21" width="8.7109375" customWidth="1"/>
    <col min="22" max="22" width="8.140625" bestFit="1" customWidth="1"/>
    <col min="31" max="31" width="53.85546875" bestFit="1" customWidth="1"/>
    <col min="32" max="32" width="16.42578125" bestFit="1" customWidth="1"/>
    <col min="33" max="33" width="48.28515625" bestFit="1" customWidth="1"/>
    <col min="34" max="34" width="16.42578125" bestFit="1" customWidth="1"/>
  </cols>
  <sheetData>
    <row r="1" spans="1:34">
      <c r="A1" t="s">
        <v>0</v>
      </c>
      <c r="B1" t="s">
        <v>3</v>
      </c>
      <c r="C1" t="s">
        <v>379</v>
      </c>
      <c r="D1" t="s">
        <v>43</v>
      </c>
      <c r="E1" t="s">
        <v>380</v>
      </c>
      <c r="F1" t="s">
        <v>105</v>
      </c>
      <c r="G1" t="s">
        <v>381</v>
      </c>
      <c r="K1" s="16">
        <v>1127</v>
      </c>
      <c r="L1" s="16">
        <v>1138.27</v>
      </c>
      <c r="M1" s="16">
        <v>1149.6527000000001</v>
      </c>
      <c r="N1" s="16">
        <v>1161.1492270000001</v>
      </c>
      <c r="O1" s="16">
        <v>1172.7607192700002</v>
      </c>
      <c r="P1" s="16">
        <v>1184.4883264627001</v>
      </c>
      <c r="Q1" s="16">
        <v>1196.3332097273271</v>
      </c>
      <c r="R1" s="16">
        <v>1208.2965418246004</v>
      </c>
      <c r="S1" s="16">
        <v>1220.3795072428463</v>
      </c>
      <c r="T1" s="16">
        <v>1232.5833023152748</v>
      </c>
      <c r="U1" s="16">
        <v>1244.9091353384274</v>
      </c>
      <c r="V1" s="16">
        <v>1257.3582266918118</v>
      </c>
      <c r="X1" t="s">
        <v>480</v>
      </c>
      <c r="Y1">
        <v>314186</v>
      </c>
      <c r="Z1" s="114">
        <f>+Y1/$Y$5</f>
        <v>0.10919290958201788</v>
      </c>
      <c r="AA1" t="s">
        <v>481</v>
      </c>
      <c r="AB1">
        <v>413080</v>
      </c>
      <c r="AC1">
        <f>+AB1/$AB$3</f>
        <v>0.24870853151905592</v>
      </c>
      <c r="AE1" s="21" t="s">
        <v>0</v>
      </c>
      <c r="AF1" s="21" t="s">
        <v>3</v>
      </c>
      <c r="AG1" s="21" t="s">
        <v>379</v>
      </c>
      <c r="AH1" t="s">
        <v>485</v>
      </c>
    </row>
    <row r="2" spans="1:34">
      <c r="A2" t="s">
        <v>4</v>
      </c>
      <c r="B2" t="s">
        <v>5</v>
      </c>
      <c r="C2" t="s">
        <v>135</v>
      </c>
      <c r="D2" t="s">
        <v>41</v>
      </c>
      <c r="E2">
        <v>99950</v>
      </c>
      <c r="F2">
        <v>1.9248089237760793</v>
      </c>
      <c r="G2" s="2">
        <f>+IFERROR(SECADERO[[#This Row],[KG uva]]/COUNTIFS(SECADERO[Finca],SECADERO[[#This Row],[Finca]],SECADERO[Variedad],SECADERO[[#This Row],[Variedad]],SECADERO[Tipo de Cosecha],SECADERO[[#This Row],[Tipo de Cosecha]]),0)</f>
        <v>9086.363636363636</v>
      </c>
      <c r="K2" s="105">
        <v>0.13762691087531609</v>
      </c>
      <c r="L2" s="105">
        <v>0.11849192935137204</v>
      </c>
      <c r="M2" s="105">
        <v>0</v>
      </c>
      <c r="N2" s="105">
        <v>0</v>
      </c>
      <c r="O2" s="105">
        <v>9.5674907619720303E-3</v>
      </c>
      <c r="P2" s="105">
        <v>0</v>
      </c>
      <c r="Q2" s="105">
        <v>0</v>
      </c>
      <c r="R2" s="105">
        <v>3.1891635873240102E-3</v>
      </c>
      <c r="S2" s="105">
        <v>7.9047858546892752E-2</v>
      </c>
      <c r="T2" s="105">
        <v>0.26001824615716052</v>
      </c>
      <c r="U2" s="105">
        <v>0.24167483549535038</v>
      </c>
      <c r="V2" s="105">
        <v>0.15038356522461213</v>
      </c>
      <c r="X2" t="s">
        <v>471</v>
      </c>
      <c r="Y2">
        <v>696930</v>
      </c>
      <c r="Z2" s="114">
        <f t="shared" ref="Z2:Z4" si="0">+Y2/$Y$5</f>
        <v>0.24221262078830924</v>
      </c>
      <c r="AA2" t="s">
        <v>482</v>
      </c>
      <c r="AB2">
        <f>1660900-AB1</f>
        <v>1247820</v>
      </c>
      <c r="AC2">
        <f>+AB2/$AB$3</f>
        <v>0.75129146848094408</v>
      </c>
      <c r="AE2" t="s">
        <v>8</v>
      </c>
      <c r="AH2" s="151"/>
    </row>
    <row r="3" spans="1:34">
      <c r="A3" t="s">
        <v>4</v>
      </c>
      <c r="B3" t="s">
        <v>5</v>
      </c>
      <c r="C3" t="s">
        <v>143</v>
      </c>
      <c r="D3" t="s">
        <v>41</v>
      </c>
      <c r="E3">
        <v>99950</v>
      </c>
      <c r="F3">
        <v>1.4455476264349985</v>
      </c>
      <c r="G3" s="2">
        <f>+IFERROR(SECADERO[[#This Row],[KG uva]]/COUNTIFS(SECADERO[Finca],SECADERO[[#This Row],[Finca]],SECADERO[Variedad],SECADERO[[#This Row],[Variedad]],SECADERO[Tipo de Cosecha],SECADERO[[#This Row],[Tipo de Cosecha]]),0)</f>
        <v>9086.363636363636</v>
      </c>
      <c r="I3" t="s">
        <v>0</v>
      </c>
      <c r="J3" t="s">
        <v>364</v>
      </c>
      <c r="K3" t="s">
        <v>88</v>
      </c>
      <c r="L3" t="s">
        <v>89</v>
      </c>
      <c r="M3" t="s">
        <v>90</v>
      </c>
      <c r="N3" t="s">
        <v>91</v>
      </c>
      <c r="O3" t="s">
        <v>92</v>
      </c>
      <c r="P3" t="s">
        <v>93</v>
      </c>
      <c r="Q3" t="s">
        <v>94</v>
      </c>
      <c r="R3" t="s">
        <v>95</v>
      </c>
      <c r="S3" t="s">
        <v>96</v>
      </c>
      <c r="T3" t="s">
        <v>97</v>
      </c>
      <c r="U3" t="s">
        <v>98</v>
      </c>
      <c r="V3" t="s">
        <v>99</v>
      </c>
      <c r="X3" t="s">
        <v>472</v>
      </c>
      <c r="Y3">
        <v>0</v>
      </c>
      <c r="Z3" s="114">
        <f t="shared" si="0"/>
        <v>0</v>
      </c>
      <c r="AB3">
        <f>SUM(AB1:AB2)</f>
        <v>1660900</v>
      </c>
      <c r="AE3" t="s">
        <v>8</v>
      </c>
      <c r="AF3" t="s">
        <v>7</v>
      </c>
      <c r="AH3" s="151"/>
    </row>
    <row r="4" spans="1:34">
      <c r="A4" t="s">
        <v>4</v>
      </c>
      <c r="B4" t="s">
        <v>5</v>
      </c>
      <c r="C4" t="s">
        <v>136</v>
      </c>
      <c r="D4" t="s">
        <v>41</v>
      </c>
      <c r="E4">
        <v>99950</v>
      </c>
      <c r="F4">
        <v>3.0977393617021276</v>
      </c>
      <c r="G4" s="2">
        <f>+IFERROR(SECADERO[[#This Row],[KG uva]]/COUNTIFS(SECADERO[Finca],SECADERO[[#This Row],[Finca]],SECADERO[Variedad],SECADERO[[#This Row],[Variedad]],SECADERO[Tipo de Cosecha],SECADERO[[#This Row],[Tipo de Cosecha]]),0)</f>
        <v>9086.363636363636</v>
      </c>
      <c r="I4" t="s">
        <v>8</v>
      </c>
      <c r="J4" t="s">
        <v>353</v>
      </c>
      <c r="K4" s="107"/>
      <c r="L4" s="107"/>
      <c r="M4" s="107"/>
      <c r="N4" s="107"/>
      <c r="O4" s="107"/>
      <c r="P4" s="107"/>
      <c r="Q4" s="107"/>
      <c r="R4" s="107"/>
      <c r="S4" s="107">
        <f>1500*6*0.5</f>
        <v>4500</v>
      </c>
      <c r="T4" s="107">
        <f>1500*6*0.5</f>
        <v>4500</v>
      </c>
      <c r="U4" s="107">
        <f>1500*6*0.5*0.5</f>
        <v>2250</v>
      </c>
      <c r="V4" s="107"/>
      <c r="X4" t="s">
        <v>473</v>
      </c>
      <c r="Y4">
        <v>1866232</v>
      </c>
      <c r="Z4" s="114">
        <f t="shared" si="0"/>
        <v>0.64859446962967293</v>
      </c>
      <c r="AE4" t="s">
        <v>8</v>
      </c>
      <c r="AF4" t="s">
        <v>7</v>
      </c>
      <c r="AG4" t="s">
        <v>135</v>
      </c>
      <c r="AH4" s="151">
        <v>33.344636183371541</v>
      </c>
    </row>
    <row r="5" spans="1:34">
      <c r="A5" t="s">
        <v>4</v>
      </c>
      <c r="B5" t="s">
        <v>5</v>
      </c>
      <c r="C5" t="s">
        <v>137</v>
      </c>
      <c r="D5" t="s">
        <v>41</v>
      </c>
      <c r="E5">
        <v>99950</v>
      </c>
      <c r="F5">
        <v>2.271574841540712</v>
      </c>
      <c r="G5" s="2">
        <f>+IFERROR(SECADERO[[#This Row],[KG uva]]/COUNTIFS(SECADERO[Finca],SECADERO[[#This Row],[Finca]],SECADERO[Variedad],SECADERO[[#This Row],[Variedad]],SECADERO[Tipo de Cosecha],SECADERO[[#This Row],[Tipo de Cosecha]]),0)</f>
        <v>9086.363636363636</v>
      </c>
      <c r="I5" t="s">
        <v>8</v>
      </c>
      <c r="J5" t="s">
        <v>354</v>
      </c>
      <c r="K5" s="107">
        <f>+((((SUMIFS(TablaGeneral[Resumen de Jornales tractoristas de Secado],TablaGeneral[Finca],$I$5)*10)*K25)+(((SUMIFS(TablaGeneral[Resumen de Jornales tractoristas de Secado],TablaGeneral[Finca],$I$5)*10/100)+(SUMIFS(TablaGeneral[Resumen de Jornales tractoristas de Secado],TablaGeneral[Finca],$I$5)*10/150)+(SUMIFS(TablaGeneral[Resumen de Jornales tractoristas de Secado],TablaGeneral[Finca],$I$5)*10/200))*K26))*K2)/K1</f>
        <v>329.87021165232625</v>
      </c>
      <c r="L5" s="107">
        <f>+((((SUMIFS(TablaGeneral[Resumen de Jornales tractoristas de Secado],TablaGeneral[Finca],$I$5)*10)*L25)+(((SUMIFS(TablaGeneral[Resumen de Jornales tractoristas de Secado],TablaGeneral[Finca],$I$5)*10/100)+(SUMIFS(TablaGeneral[Resumen de Jornales tractoristas de Secado],TablaGeneral[Finca],$I$5)*10/150)+(SUMIFS(TablaGeneral[Resumen de Jornales tractoristas de Secado],TablaGeneral[Finca],$I$5)*10/200))*L26))*L2)/L1</f>
        <v>284.00664932195309</v>
      </c>
      <c r="M5" s="107">
        <f>+((((SUMIFS(TablaGeneral[Resumen de Jornales tractoristas de Secado],TablaGeneral[Finca],$I$5)*10)*M25)+(((SUMIFS(TablaGeneral[Resumen de Jornales tractoristas de Secado],TablaGeneral[Finca],$I$5)*10/100)+(SUMIFS(TablaGeneral[Resumen de Jornales tractoristas de Secado],TablaGeneral[Finca],$I$5)*10/150)+(SUMIFS(TablaGeneral[Resumen de Jornales tractoristas de Secado],TablaGeneral[Finca],$I$5)*10/200))*M26))*M2)/M1</f>
        <v>0</v>
      </c>
      <c r="N5" s="107">
        <f>+((((SUMIFS(TablaGeneral[Resumen de Jornales tractoristas de Secado],TablaGeneral[Finca],$I$5)*10)*N25)+(((SUMIFS(TablaGeneral[Resumen de Jornales tractoristas de Secado],TablaGeneral[Finca],$I$5)*10/100)+(SUMIFS(TablaGeneral[Resumen de Jornales tractoristas de Secado],TablaGeneral[Finca],$I$5)*10/150)+(SUMIFS(TablaGeneral[Resumen de Jornales tractoristas de Secado],TablaGeneral[Finca],$I$5)*10/200))*N26))*N2)/N1</f>
        <v>0</v>
      </c>
      <c r="O5" s="107">
        <f>+((((SUMIFS(TablaGeneral[Resumen de Jornales tractoristas de Secado],TablaGeneral[Finca],$I$5)*10)*O25)+(((SUMIFS(TablaGeneral[Resumen de Jornales tractoristas de Secado],TablaGeneral[Finca],$I$5)*10/100)+(SUMIFS(TablaGeneral[Resumen de Jornales tractoristas de Secado],TablaGeneral[Finca],$I$5)*10/150)+(SUMIFS(TablaGeneral[Resumen de Jornales tractoristas de Secado],TablaGeneral[Finca],$I$5)*10/200))*O26))*O2)/O1</f>
        <v>22.931781165186614</v>
      </c>
      <c r="P5" s="107">
        <f>+((((SUMIFS(TablaGeneral[Resumen de Jornales tractoristas de Secado],TablaGeneral[Finca],$I$5)*10)*P25)+(((SUMIFS(TablaGeneral[Resumen de Jornales tractoristas de Secado],TablaGeneral[Finca],$I$5)*10/100)+(SUMIFS(TablaGeneral[Resumen de Jornales tractoristas de Secado],TablaGeneral[Finca],$I$5)*10/150)+(SUMIFS(TablaGeneral[Resumen de Jornales tractoristas de Secado],TablaGeneral[Finca],$I$5)*10/200))*P26))*P2)/P1</f>
        <v>0</v>
      </c>
      <c r="Q5" s="107">
        <f>+((((SUMIFS(TablaGeneral[Resumen de Jornales tractoristas de Secado],TablaGeneral[Finca],$I$5)*10)*Q25)+(((SUMIFS(TablaGeneral[Resumen de Jornales tractoristas de Secado],TablaGeneral[Finca],$I$5)*10/100)+(SUMIFS(TablaGeneral[Resumen de Jornales tractoristas de Secado],TablaGeneral[Finca],$I$5)*10/150)+(SUMIFS(TablaGeneral[Resumen de Jornales tractoristas de Secado],TablaGeneral[Finca],$I$5)*10/200))*Q26))*Q2)/Q1</f>
        <v>0</v>
      </c>
      <c r="R5" s="107">
        <f>+((((SUMIFS(TablaGeneral[Resumen de Jornales tractoristas de Secado],TablaGeneral[Finca],$I$5)*10)*R25)+(((SUMIFS(TablaGeneral[Resumen de Jornales tractoristas de Secado],TablaGeneral[Finca],$I$5)*10/100)+(SUMIFS(TablaGeneral[Resumen de Jornales tractoristas de Secado],TablaGeneral[Finca],$I$5)*10/150)+(SUMIFS(TablaGeneral[Resumen de Jornales tractoristas de Secado],TablaGeneral[Finca],$I$5)*10/200))*R26))*R2)/R1</f>
        <v>7.6439270550622052</v>
      </c>
      <c r="S5" s="107">
        <f>+((((SUMIFS(TablaGeneral[Resumen de Jornales tractoristas de Secado],TablaGeneral[Finca],$I$5)*10)*S25)+(((SUMIFS(TablaGeneral[Resumen de Jornales tractoristas de Secado],TablaGeneral[Finca],$I$5)*10/100)+(SUMIFS(TablaGeneral[Resumen de Jornales tractoristas de Secado],TablaGeneral[Finca],$I$5)*10/150)+(SUMIFS(TablaGeneral[Resumen de Jornales tractoristas de Secado],TablaGeneral[Finca],$I$5)*10/200))*S26))*S2)/S1</f>
        <v>189.4653717335118</v>
      </c>
      <c r="T5" s="107">
        <f>+((((SUMIFS(TablaGeneral[Resumen de Jornales tractoristas de Secado],TablaGeneral[Finca],$I$5)*10)*T25)+(((SUMIFS(TablaGeneral[Resumen de Jornales tractoristas de Secado],TablaGeneral[Finca],$I$5)*10/100)+(SUMIFS(TablaGeneral[Resumen de Jornales tractoristas de Secado],TablaGeneral[Finca],$I$5)*10/150)+(SUMIFS(TablaGeneral[Resumen de Jornales tractoristas de Secado],TablaGeneral[Finca],$I$5)*10/200))*T26))*T2)/T1</f>
        <v>623.22312800463214</v>
      </c>
      <c r="U5" s="107">
        <f>+((((SUMIFS(TablaGeneral[Resumen de Jornales tractoristas de Secado],TablaGeneral[Finca],$I$5)*10)*U25)+(((SUMIFS(TablaGeneral[Resumen de Jornales tractoristas de Secado],TablaGeneral[Finca],$I$5)*10/100)+(SUMIFS(TablaGeneral[Resumen de Jornales tractoristas de Secado],TablaGeneral[Finca],$I$5)*10/150)+(SUMIFS(TablaGeneral[Resumen de Jornales tractoristas de Secado],TablaGeneral[Finca],$I$5)*10/200))*U26))*U2)/U1</f>
        <v>579.25683740817499</v>
      </c>
      <c r="V5" s="107">
        <f>+((((SUMIFS(TablaGeneral[Resumen de Jornales tractoristas de Secado],TablaGeneral[Finca],$I$5)*10)*V25)+(((SUMIFS(TablaGeneral[Resumen de Jornales tractoristas de Secado],TablaGeneral[Finca],$I$5)*10/100)+(SUMIFS(TablaGeneral[Resumen de Jornales tractoristas de Secado],TablaGeneral[Finca],$I$5)*10/150)+(SUMIFS(TablaGeneral[Resumen de Jornales tractoristas de Secado],TablaGeneral[Finca],$I$5)*10/200))*V26))*V2)/V1</f>
        <v>360.44591987257513</v>
      </c>
      <c r="Y5">
        <f>SUM(Y1:Y4)</f>
        <v>2877348</v>
      </c>
      <c r="AE5" t="s">
        <v>8</v>
      </c>
      <c r="AF5" t="s">
        <v>7</v>
      </c>
      <c r="AG5" t="s">
        <v>137</v>
      </c>
      <c r="AH5" s="151">
        <v>41.680872041058905</v>
      </c>
    </row>
    <row r="6" spans="1:34">
      <c r="A6" t="s">
        <v>4</v>
      </c>
      <c r="B6" t="s">
        <v>5</v>
      </c>
      <c r="C6" t="s">
        <v>138</v>
      </c>
      <c r="D6" t="s">
        <v>41</v>
      </c>
      <c r="E6">
        <v>99950</v>
      </c>
      <c r="F6">
        <v>3.5109269027882437</v>
      </c>
      <c r="G6" s="2">
        <f>+IFERROR(SECADERO[[#This Row],[KG uva]]/COUNTIFS(SECADERO[Finca],SECADERO[[#This Row],[Finca]],SECADERO[Variedad],SECADERO[[#This Row],[Variedad]],SECADERO[Tipo de Cosecha],SECADERO[[#This Row],[Tipo de Cosecha]]),0)</f>
        <v>9086.363636363636</v>
      </c>
      <c r="I6" t="s">
        <v>8</v>
      </c>
      <c r="J6" t="s">
        <v>355</v>
      </c>
      <c r="K6" s="107">
        <v>0</v>
      </c>
      <c r="L6" s="107">
        <v>0</v>
      </c>
      <c r="M6" s="107">
        <v>0</v>
      </c>
      <c r="N6" s="107">
        <v>0</v>
      </c>
      <c r="O6" s="107">
        <v>0</v>
      </c>
      <c r="P6" s="107">
        <v>0</v>
      </c>
      <c r="Q6" s="107">
        <v>0</v>
      </c>
      <c r="R6" s="107">
        <v>0</v>
      </c>
      <c r="S6" s="107">
        <v>0</v>
      </c>
      <c r="T6" s="107">
        <v>0</v>
      </c>
      <c r="U6" s="107">
        <v>0</v>
      </c>
      <c r="V6" s="107">
        <v>0</v>
      </c>
      <c r="AE6" t="s">
        <v>8</v>
      </c>
      <c r="AF6" t="s">
        <v>7</v>
      </c>
      <c r="AG6" t="s">
        <v>142</v>
      </c>
      <c r="AH6" s="151">
        <v>24.452673117465807</v>
      </c>
    </row>
    <row r="7" spans="1:34">
      <c r="A7" t="s">
        <v>4</v>
      </c>
      <c r="B7" t="s">
        <v>5</v>
      </c>
      <c r="C7" t="s">
        <v>139</v>
      </c>
      <c r="D7" t="s">
        <v>41</v>
      </c>
      <c r="E7">
        <v>99950</v>
      </c>
      <c r="F7">
        <v>1.8587672052663076</v>
      </c>
      <c r="G7" s="2">
        <f>+IFERROR(SECADERO[[#This Row],[KG uva]]/COUNTIFS(SECADERO[Finca],SECADERO[[#This Row],[Finca]],SECADERO[Variedad],SECADERO[[#This Row],[Variedad]],SECADERO[Tipo de Cosecha],SECADERO[[#This Row],[Tipo de Cosecha]]),0)</f>
        <v>9086.363636363636</v>
      </c>
      <c r="I7" t="s">
        <v>8</v>
      </c>
      <c r="J7" t="s">
        <v>133</v>
      </c>
      <c r="K7" s="107">
        <v>2068.9233079178989</v>
      </c>
      <c r="L7" s="107">
        <v>1793.4671597401477</v>
      </c>
      <c r="M7" s="107">
        <v>0</v>
      </c>
      <c r="N7" s="107">
        <v>0</v>
      </c>
      <c r="O7" s="107">
        <v>147.77043267088436</v>
      </c>
      <c r="P7" s="107">
        <v>0</v>
      </c>
      <c r="Q7" s="107">
        <v>0</v>
      </c>
      <c r="R7" s="107">
        <v>50.266529708531259</v>
      </c>
      <c r="S7" s="107">
        <v>1254.4196528678133</v>
      </c>
      <c r="T7" s="107">
        <v>4153.946884138858</v>
      </c>
      <c r="U7" s="107">
        <v>3887.3655916534581</v>
      </c>
      <c r="V7" s="107">
        <v>2435.2410938939111</v>
      </c>
      <c r="AE7" t="s">
        <v>8</v>
      </c>
      <c r="AF7" t="s">
        <v>7</v>
      </c>
      <c r="AG7" t="s">
        <v>136</v>
      </c>
      <c r="AH7" s="151">
        <v>54.184943928435381</v>
      </c>
    </row>
    <row r="8" spans="1:34">
      <c r="A8" t="s">
        <v>4</v>
      </c>
      <c r="B8" t="s">
        <v>5</v>
      </c>
      <c r="C8" t="s">
        <v>140</v>
      </c>
      <c r="D8" t="s">
        <v>41</v>
      </c>
      <c r="E8">
        <v>99950</v>
      </c>
      <c r="F8">
        <v>0.24145213324177606</v>
      </c>
      <c r="G8" s="2">
        <f>+IFERROR(SECADERO[[#This Row],[KG uva]]/COUNTIFS(SECADERO[Finca],SECADERO[[#This Row],[Finca]],SECADERO[Variedad],SECADERO[[#This Row],[Variedad]],SECADERO[Tipo de Cosecha],SECADERO[[#This Row],[Tipo de Cosecha]]),0)</f>
        <v>9086.363636363636</v>
      </c>
      <c r="I8" t="s">
        <v>12</v>
      </c>
      <c r="J8" t="s">
        <v>353</v>
      </c>
      <c r="K8" s="106"/>
      <c r="L8" s="106"/>
      <c r="M8" s="106"/>
      <c r="N8" s="106"/>
      <c r="O8" s="106"/>
      <c r="P8" s="106"/>
      <c r="Q8" s="106"/>
      <c r="R8" s="106"/>
      <c r="S8" s="107">
        <f>1500*6*0.3</f>
        <v>2700</v>
      </c>
      <c r="T8" s="107">
        <f>1500*6*0.3</f>
        <v>2700</v>
      </c>
      <c r="U8" s="107">
        <f>1500*6*0.3*0.5</f>
        <v>1350</v>
      </c>
      <c r="V8" s="106"/>
      <c r="AE8" t="s">
        <v>8</v>
      </c>
      <c r="AF8" t="s">
        <v>7</v>
      </c>
      <c r="AG8" t="s">
        <v>138</v>
      </c>
      <c r="AH8" s="151">
        <v>63.640724999191036</v>
      </c>
    </row>
    <row r="9" spans="1:34">
      <c r="A9" t="s">
        <v>4</v>
      </c>
      <c r="B9" t="s">
        <v>5</v>
      </c>
      <c r="C9" t="s">
        <v>144</v>
      </c>
      <c r="D9" t="s">
        <v>41</v>
      </c>
      <c r="E9">
        <v>99950</v>
      </c>
      <c r="F9">
        <v>0.16106616884463804</v>
      </c>
      <c r="G9" s="2">
        <f>+IFERROR(SECADERO[[#This Row],[KG uva]]/COUNTIFS(SECADERO[Finca],SECADERO[[#This Row],[Finca]],SECADERO[Variedad],SECADERO[[#This Row],[Variedad]],SECADERO[Tipo de Cosecha],SECADERO[[#This Row],[Tipo de Cosecha]]),0)</f>
        <v>9086.363636363636</v>
      </c>
      <c r="I9" t="s">
        <v>12</v>
      </c>
      <c r="J9" t="s">
        <v>354</v>
      </c>
      <c r="K9" s="107">
        <f>+((((SUMIFS(TablaGeneral[Resumen de Jornales tractoristas de Secado],TablaGeneral[Finca],$I$9)*10)*K25)+(((SUMIFS(TablaGeneral[Resumen de Jornales tractoristas de Secado],TablaGeneral[Finca],$I$9)*10/100)+(SUMIFS(TablaGeneral[Resumen de Jornales tractoristas de Secado],TablaGeneral[Finca],$I$9)*10/150)+(SUMIFS(TablaGeneral[Resumen de Jornales tractoristas de Secado],TablaGeneral[Finca],$I$9)*10/200))*K26))*K2)/K1</f>
        <v>67.916524969850187</v>
      </c>
      <c r="L9" s="107">
        <f>+((((SUMIFS(TablaGeneral[Resumen de Jornales tractoristas de Secado],TablaGeneral[Finca],$I$9)*10)*L25)+(((SUMIFS(TablaGeneral[Resumen de Jornales tractoristas de Secado],TablaGeneral[Finca],$I$9)*10/100)+(SUMIFS(TablaGeneral[Resumen de Jornales tractoristas de Secado],TablaGeneral[Finca],$I$9)*10/150)+(SUMIFS(TablaGeneral[Resumen de Jornales tractoristas de Secado],TablaGeneral[Finca],$I$9)*10/200))*L26))*L2)/L1</f>
        <v>58.473739091687655</v>
      </c>
      <c r="M9" s="107">
        <f>+((((SUMIFS(TablaGeneral[Resumen de Jornales tractoristas de Secado],TablaGeneral[Finca],$I$9)*10)*M25)+(((SUMIFS(TablaGeneral[Resumen de Jornales tractoristas de Secado],TablaGeneral[Finca],$I$9)*10/100)+(SUMIFS(TablaGeneral[Resumen de Jornales tractoristas de Secado],TablaGeneral[Finca],$I$9)*10/150)+(SUMIFS(TablaGeneral[Resumen de Jornales tractoristas de Secado],TablaGeneral[Finca],$I$9)*10/200))*M26))*M2)/M1</f>
        <v>0</v>
      </c>
      <c r="N9" s="107">
        <f>+((((SUMIFS(TablaGeneral[Resumen de Jornales tractoristas de Secado],TablaGeneral[Finca],$I$9)*10)*N25)+(((SUMIFS(TablaGeneral[Resumen de Jornales tractoristas de Secado],TablaGeneral[Finca],$I$9)*10/100)+(SUMIFS(TablaGeneral[Resumen de Jornales tractoristas de Secado],TablaGeneral[Finca],$I$9)*10/150)+(SUMIFS(TablaGeneral[Resumen de Jornales tractoristas de Secado],TablaGeneral[Finca],$I$9)*10/200))*N26))*N2)/N1</f>
        <v>0</v>
      </c>
      <c r="O9" s="107">
        <f>+((((SUMIFS(TablaGeneral[Resumen de Jornales tractoristas de Secado],TablaGeneral[Finca],$I$9)*10)*O25)+(((SUMIFS(TablaGeneral[Resumen de Jornales tractoristas de Secado],TablaGeneral[Finca],$I$9)*10/100)+(SUMIFS(TablaGeneral[Resumen de Jornales tractoristas de Secado],TablaGeneral[Finca],$I$9)*10/150)+(SUMIFS(TablaGeneral[Resumen de Jornales tractoristas de Secado],TablaGeneral[Finca],$I$9)*10/200))*O26))*O2)/O1</f>
        <v>4.7213929390812686</v>
      </c>
      <c r="P9" s="107">
        <f>+((((SUMIFS(TablaGeneral[Resumen de Jornales tractoristas de Secado],TablaGeneral[Finca],$I$9)*10)*P25)+(((SUMIFS(TablaGeneral[Resumen de Jornales tractoristas de Secado],TablaGeneral[Finca],$I$9)*10/100)+(SUMIFS(TablaGeneral[Resumen de Jornales tractoristas de Secado],TablaGeneral[Finca],$I$9)*10/150)+(SUMIFS(TablaGeneral[Resumen de Jornales tractoristas de Secado],TablaGeneral[Finca],$I$9)*10/200))*P26))*P2)/P1</f>
        <v>0</v>
      </c>
      <c r="Q9" s="107">
        <f>+((((SUMIFS(TablaGeneral[Resumen de Jornales tractoristas de Secado],TablaGeneral[Finca],$I$9)*10)*Q25)+(((SUMIFS(TablaGeneral[Resumen de Jornales tractoristas de Secado],TablaGeneral[Finca],$I$9)*10/100)+(SUMIFS(TablaGeneral[Resumen de Jornales tractoristas de Secado],TablaGeneral[Finca],$I$9)*10/150)+(SUMIFS(TablaGeneral[Resumen de Jornales tractoristas de Secado],TablaGeneral[Finca],$I$9)*10/200))*Q26))*Q2)/Q1</f>
        <v>0</v>
      </c>
      <c r="R9" s="107">
        <f>+((((SUMIFS(TablaGeneral[Resumen de Jornales tractoristas de Secado],TablaGeneral[Finca],$I$9)*10)*R25)+(((SUMIFS(TablaGeneral[Resumen de Jornales tractoristas de Secado],TablaGeneral[Finca],$I$9)*10/100)+(SUMIFS(TablaGeneral[Resumen de Jornales tractoristas de Secado],TablaGeneral[Finca],$I$9)*10/150)+(SUMIFS(TablaGeneral[Resumen de Jornales tractoristas de Secado],TablaGeneral[Finca],$I$9)*10/200))*R26))*R2)/R1</f>
        <v>1.5737976463604229</v>
      </c>
      <c r="S9" s="107">
        <f>+((((SUMIFS(TablaGeneral[Resumen de Jornales tractoristas de Secado],TablaGeneral[Finca],$I$9)*10)*S25)+(((SUMIFS(TablaGeneral[Resumen de Jornales tractoristas de Secado],TablaGeneral[Finca],$I$9)*10/100)+(SUMIFS(TablaGeneral[Resumen de Jornales tractoristas de Secado],TablaGeneral[Finca],$I$9)*10/150)+(SUMIFS(TablaGeneral[Resumen de Jornales tractoristas de Secado],TablaGeneral[Finca],$I$9)*10/200))*S26))*S2)/S1</f>
        <v>39.008765252872607</v>
      </c>
      <c r="T9" s="107">
        <f>+((((SUMIFS(TablaGeneral[Resumen de Jornales tractoristas de Secado],TablaGeneral[Finca],$I$9)*10)*T25)+(((SUMIFS(TablaGeneral[Resumen de Jornales tractoristas de Secado],TablaGeneral[Finca],$I$9)*10/100)+(SUMIFS(TablaGeneral[Resumen de Jornales tractoristas de Secado],TablaGeneral[Finca],$I$9)*10/150)+(SUMIFS(TablaGeneral[Resumen de Jornales tractoristas de Secado],TablaGeneral[Finca],$I$9)*10/200))*T26))*T2)/T1</f>
        <v>128.31455414812154</v>
      </c>
      <c r="U9" s="107">
        <f>+((((SUMIFS(TablaGeneral[Resumen de Jornales tractoristas de Secado],TablaGeneral[Finca],$I$9)*10)*U25)+(((SUMIFS(TablaGeneral[Resumen de Jornales tractoristas de Secado],TablaGeneral[Finca],$I$9)*10/100)+(SUMIFS(TablaGeneral[Resumen de Jornales tractoristas de Secado],TablaGeneral[Finca],$I$9)*10/150)+(SUMIFS(TablaGeneral[Resumen de Jornales tractoristas de Secado],TablaGeneral[Finca],$I$9)*10/200))*U26))*U2)/U1</f>
        <v>119.26239494232708</v>
      </c>
      <c r="V9" s="107">
        <f>+((((SUMIFS(TablaGeneral[Resumen de Jornales tractoristas de Secado],TablaGeneral[Finca],$I$9)*10)*V25)+(((SUMIFS(TablaGeneral[Resumen de Jornales tractoristas de Secado],TablaGeneral[Finca],$I$9)*10/100)+(SUMIFS(TablaGeneral[Resumen de Jornales tractoristas de Secado],TablaGeneral[Finca],$I$9)*10/150)+(SUMIFS(TablaGeneral[Resumen de Jornales tractoristas de Secado],TablaGeneral[Finca],$I$9)*10/200))*V26))*V2)/V1</f>
        <v>74.21171555529186</v>
      </c>
      <c r="AE9" t="s">
        <v>8</v>
      </c>
      <c r="AF9" t="s">
        <v>7</v>
      </c>
      <c r="AG9" t="s">
        <v>140</v>
      </c>
      <c r="AH9" s="151">
        <v>4.1680872041058912</v>
      </c>
    </row>
    <row r="10" spans="1:34">
      <c r="A10" t="s">
        <v>4</v>
      </c>
      <c r="B10" t="s">
        <v>5</v>
      </c>
      <c r="C10" t="s">
        <v>141</v>
      </c>
      <c r="D10" t="s">
        <v>41</v>
      </c>
      <c r="E10">
        <v>99950</v>
      </c>
      <c r="F10">
        <v>6.8163862472567667</v>
      </c>
      <c r="G10" s="2">
        <f>+IFERROR(SECADERO[[#This Row],[KG uva]]/COUNTIFS(SECADERO[Finca],SECADERO[[#This Row],[Finca]],SECADERO[Variedad],SECADERO[[#This Row],[Variedad]],SECADERO[Tipo de Cosecha],SECADERO[[#This Row],[Tipo de Cosecha]]),0)</f>
        <v>9086.363636363636</v>
      </c>
      <c r="I10" t="s">
        <v>12</v>
      </c>
      <c r="J10" t="s">
        <v>355</v>
      </c>
      <c r="K10" s="108">
        <v>0</v>
      </c>
      <c r="L10" s="108">
        <v>0</v>
      </c>
      <c r="M10" s="108">
        <v>0</v>
      </c>
      <c r="N10" s="108">
        <v>0</v>
      </c>
      <c r="O10" s="108">
        <v>0</v>
      </c>
      <c r="P10" s="108">
        <v>0</v>
      </c>
      <c r="Q10" s="108">
        <v>0</v>
      </c>
      <c r="R10" s="108">
        <v>0</v>
      </c>
      <c r="S10" s="108">
        <v>0</v>
      </c>
      <c r="T10" s="108">
        <v>0</v>
      </c>
      <c r="U10" s="108">
        <v>0</v>
      </c>
      <c r="V10" s="108">
        <v>0</v>
      </c>
      <c r="AE10" t="s">
        <v>8</v>
      </c>
      <c r="AF10" t="s">
        <v>7</v>
      </c>
      <c r="AG10" t="s">
        <v>139</v>
      </c>
      <c r="AH10" s="151">
        <v>33.344636183371541</v>
      </c>
    </row>
    <row r="11" spans="1:34">
      <c r="A11" t="s">
        <v>4</v>
      </c>
      <c r="B11" t="s">
        <v>5</v>
      </c>
      <c r="C11" t="s">
        <v>146</v>
      </c>
      <c r="D11" t="s">
        <v>41</v>
      </c>
      <c r="E11">
        <v>99950</v>
      </c>
      <c r="F11">
        <v>1.239095744680851</v>
      </c>
      <c r="G11" s="2">
        <f>+IFERROR(SECADERO[[#This Row],[KG uva]]/COUNTIFS(SECADERO[Finca],SECADERO[[#This Row],[Finca]],SECADERO[Variedad],SECADERO[[#This Row],[Variedad]],SECADERO[Tipo de Cosecha],SECADERO[[#This Row],[Tipo de Cosecha]]),0)</f>
        <v>9086.363636363636</v>
      </c>
      <c r="I11" t="s">
        <v>12</v>
      </c>
      <c r="J11" t="s">
        <v>133</v>
      </c>
      <c r="K11" s="107">
        <f>+(SUMIFS(SECADERO[Jornales],SECADERO[Finca],$I$11)*K2*INDEX(Tabla2[Precio Jornal],MATCH(K3,Tabla2[Mes],0)))/K1</f>
        <v>743.26731557894834</v>
      </c>
      <c r="L11" s="107">
        <f>+(SUMIFS(SECADERO[Jornales],SECADERO[Finca],$I$11)*L2*INDEX(Tabla2[Precio Jornal],MATCH(L3,Tabla2[Mes],0)))/L1</f>
        <v>644.30881333178877</v>
      </c>
      <c r="M11" s="107">
        <f>+(SUMIFS(SECADERO[Jornales],SECADERO[Finca],$I$11)*M2*INDEX(Tabla2[Precio Jornal],MATCH(M3,Tabla2[Mes],0)))/M1</f>
        <v>0</v>
      </c>
      <c r="N11" s="107">
        <f>+(SUMIFS(SECADERO[Jornales],SECADERO[Finca],$I$11)*N2*INDEX(Tabla2[Precio Jornal],MATCH(N3,Tabla2[Mes],0)))/N1</f>
        <v>0</v>
      </c>
      <c r="O11" s="107">
        <f>+(SUMIFS(SECADERO[Jornales],SECADERO[Finca],$I$11)*O2*INDEX(Tabla2[Precio Jornal],MATCH(O3,Tabla2[Mes],0)))/O1</f>
        <v>53.087000563476884</v>
      </c>
      <c r="P11" s="107">
        <f>+(SUMIFS(SECADERO[Jornales],SECADERO[Finca],$I$11)*P2*INDEX(Tabla2[Precio Jornal],MATCH(P3,Tabla2[Mes],0)))/P1</f>
        <v>0</v>
      </c>
      <c r="Q11" s="107">
        <f>+(SUMIFS(SECADERO[Jornales],SECADERO[Finca],$I$11)*Q2*INDEX(Tabla2[Precio Jornal],MATCH(Q3,Tabla2[Mes],0)))/Q1</f>
        <v>0</v>
      </c>
      <c r="R11" s="107">
        <f>+(SUMIFS(SECADERO[Jornales],SECADERO[Finca],$I$11)*R2*INDEX(Tabla2[Precio Jornal],MATCH(R3,Tabla2[Mes],0)))/R1</f>
        <v>18.058411569411401</v>
      </c>
      <c r="S11" s="107">
        <f>+(SUMIFS(SECADERO[Jornales],SECADERO[Finca],$I$11)*S2*INDEX(Tabla2[Precio Jornal],MATCH(S3,Tabla2[Mes],0)))/S1</f>
        <v>450.65427240744066</v>
      </c>
      <c r="T11" s="107">
        <f>+(SUMIFS(SECADERO[Jornales],SECADERO[Finca],$I$11)*T2*INDEX(Tabla2[Precio Jornal],MATCH(T3,Tabla2[Mes],0)))/T1</f>
        <v>1492.318704040598</v>
      </c>
      <c r="U11" s="107">
        <f>+(SUMIFS(SECADERO[Jornales],SECADERO[Finca],$I$11)*U2*INDEX(Tabla2[Precio Jornal],MATCH(U3,Tabla2[Mes],0)))/U1</f>
        <v>1396.5485220861046</v>
      </c>
      <c r="V11" s="107">
        <f>+(SUMIFS(SECADERO[Jornales],SECADERO[Finca],$I$11)*V2*INDEX(Tabla2[Precio Jornal],MATCH(V3,Tabla2[Mes],0)))/V1</f>
        <v>874.86815181546422</v>
      </c>
      <c r="AE11" t="s">
        <v>8</v>
      </c>
      <c r="AF11" t="s">
        <v>7</v>
      </c>
      <c r="AG11" t="s">
        <v>141</v>
      </c>
      <c r="AH11" s="151">
        <v>125.04215525295918</v>
      </c>
    </row>
    <row r="12" spans="1:34">
      <c r="A12" t="s">
        <v>4</v>
      </c>
      <c r="B12" t="s">
        <v>5</v>
      </c>
      <c r="C12" t="s">
        <v>142</v>
      </c>
      <c r="D12" t="s">
        <v>41</v>
      </c>
      <c r="E12">
        <v>99950</v>
      </c>
      <c r="F12">
        <v>1.3401409463540919</v>
      </c>
      <c r="G12" s="2">
        <f>+IFERROR(SECADERO[[#This Row],[KG uva]]/COUNTIFS(SECADERO[Finca],SECADERO[[#This Row],[Finca]],SECADERO[Variedad],SECADERO[[#This Row],[Variedad]],SECADERO[Tipo de Cosecha],SECADERO[[#This Row],[Tipo de Cosecha]]),0)</f>
        <v>9086.363636363636</v>
      </c>
      <c r="I12" t="s">
        <v>4</v>
      </c>
      <c r="J12" t="s">
        <v>353</v>
      </c>
      <c r="K12" s="106"/>
      <c r="L12" s="106"/>
      <c r="M12" s="106"/>
      <c r="N12" s="106"/>
      <c r="O12" s="106"/>
      <c r="P12" s="106"/>
      <c r="Q12" s="106"/>
      <c r="R12" s="106"/>
      <c r="S12" s="107">
        <f>1500*6*0.2</f>
        <v>1800</v>
      </c>
      <c r="T12" s="107">
        <f>1500*6*0.2</f>
        <v>1800</v>
      </c>
      <c r="U12" s="107">
        <f>1500*6*0.2*0.5</f>
        <v>900</v>
      </c>
      <c r="V12" s="106"/>
      <c r="AE12" t="s">
        <v>8</v>
      </c>
      <c r="AF12" t="s">
        <v>7</v>
      </c>
      <c r="AG12" t="s">
        <v>144</v>
      </c>
      <c r="AH12" s="151">
        <v>2.7787162680983593</v>
      </c>
    </row>
    <row r="13" spans="1:34">
      <c r="A13" t="s">
        <v>4</v>
      </c>
      <c r="B13" t="s">
        <v>6</v>
      </c>
      <c r="C13" t="s">
        <v>135</v>
      </c>
      <c r="D13" t="s">
        <v>41</v>
      </c>
      <c r="E13">
        <v>522280</v>
      </c>
      <c r="F13">
        <v>5.0398677959099354</v>
      </c>
      <c r="G13" s="2">
        <f>+IFERROR(SECADERO[[#This Row],[KG uva]]/COUNTIFS(SECADERO[Finca],SECADERO[[#This Row],[Finca]],SECADERO[Variedad],SECADERO[[#This Row],[Variedad]],SECADERO[Tipo de Cosecha],SECADERO[[#This Row],[Tipo de Cosecha]]),0)</f>
        <v>47480</v>
      </c>
      <c r="I13" t="s">
        <v>4</v>
      </c>
      <c r="J13" t="s">
        <v>354</v>
      </c>
      <c r="K13" s="107">
        <f>+((((SUMIFS(TablaGeneral[Resumen de Jornales tractoristas de Secado],TablaGeneral[Finca],$I$13)*10)*K25)+(((SUMIFS(TablaGeneral[Resumen de Jornales tractoristas de Secado],TablaGeneral[Finca],$I$13)*10/100)+(SUMIFS(TablaGeneral[Resumen de Jornales tractoristas de Secado],TablaGeneral[Finca],$I$13)*10/150)+(SUMIFS(TablaGeneral[Resumen de Jornales tractoristas de Secado],TablaGeneral[Finca],$I$13)*10/200))*K26))*K2)/K1</f>
        <v>32.011257614146125</v>
      </c>
      <c r="L13" s="107">
        <f>+((((SUMIFS(TablaGeneral[Resumen de Jornales tractoristas de Secado],TablaGeneral[Finca],$I$13)*10)*L25)+(((SUMIFS(TablaGeneral[Resumen de Jornales tractoristas de Secado],TablaGeneral[Finca],$I$13)*10/100)+(SUMIFS(TablaGeneral[Resumen de Jornales tractoristas de Secado],TablaGeneral[Finca],$I$13)*10/150)+(SUMIFS(TablaGeneral[Resumen de Jornales tractoristas de Secado],TablaGeneral[Finca],$I$13)*10/200))*L26))*L2)/L1</f>
        <v>27.560566836382254</v>
      </c>
      <c r="M13" s="107">
        <f>+((((SUMIFS(TablaGeneral[Resumen de Jornales tractoristas de Secado],TablaGeneral[Finca],$I$13)*10)*M25)+(((SUMIFS(TablaGeneral[Resumen de Jornales tractoristas de Secado],TablaGeneral[Finca],$I$13)*10/100)+(SUMIFS(TablaGeneral[Resumen de Jornales tractoristas de Secado],TablaGeneral[Finca],$I$13)*10/150)+(SUMIFS(TablaGeneral[Resumen de Jornales tractoristas de Secado],TablaGeneral[Finca],$I$13)*10/200))*M26))*M2)/M1</f>
        <v>0</v>
      </c>
      <c r="N13" s="107">
        <f>+((((SUMIFS(TablaGeneral[Resumen de Jornales tractoristas de Secado],TablaGeneral[Finca],$I$13)*10)*N25)+(((SUMIFS(TablaGeneral[Resumen de Jornales tractoristas de Secado],TablaGeneral[Finca],$I$13)*10/100)+(SUMIFS(TablaGeneral[Resumen de Jornales tractoristas de Secado],TablaGeneral[Finca],$I$13)*10/150)+(SUMIFS(TablaGeneral[Resumen de Jornales tractoristas de Secado],TablaGeneral[Finca],$I$13)*10/200))*N26))*N2)/N1</f>
        <v>0</v>
      </c>
      <c r="O13" s="107">
        <f>+((((SUMIFS(TablaGeneral[Resumen de Jornales tractoristas de Secado],TablaGeneral[Finca],$I$13)*10)*O25)+(((SUMIFS(TablaGeneral[Resumen de Jornales tractoristas de Secado],TablaGeneral[Finca],$I$13)*10/100)+(SUMIFS(TablaGeneral[Resumen de Jornales tractoristas de Secado],TablaGeneral[Finca],$I$13)*10/150)+(SUMIFS(TablaGeneral[Resumen de Jornales tractoristas de Secado],TablaGeneral[Finca],$I$13)*10/200))*O26))*O2)/O1</f>
        <v>2.2253453888819359</v>
      </c>
      <c r="P13" s="107">
        <f>+((((SUMIFS(TablaGeneral[Resumen de Jornales tractoristas de Secado],TablaGeneral[Finca],$I$13)*10)*P25)+(((SUMIFS(TablaGeneral[Resumen de Jornales tractoristas de Secado],TablaGeneral[Finca],$I$13)*10/100)+(SUMIFS(TablaGeneral[Resumen de Jornales tractoristas de Secado],TablaGeneral[Finca],$I$13)*10/150)+(SUMIFS(TablaGeneral[Resumen de Jornales tractoristas de Secado],TablaGeneral[Finca],$I$13)*10/200))*P26))*P2)/P1</f>
        <v>0</v>
      </c>
      <c r="Q13" s="107">
        <f>+((((SUMIFS(TablaGeneral[Resumen de Jornales tractoristas de Secado],TablaGeneral[Finca],$I$13)*10)*Q25)+(((SUMIFS(TablaGeneral[Resumen de Jornales tractoristas de Secado],TablaGeneral[Finca],$I$13)*10/100)+(SUMIFS(TablaGeneral[Resumen de Jornales tractoristas de Secado],TablaGeneral[Finca],$I$13)*10/150)+(SUMIFS(TablaGeneral[Resumen de Jornales tractoristas de Secado],TablaGeneral[Finca],$I$13)*10/200))*Q26))*Q2)/Q1</f>
        <v>0</v>
      </c>
      <c r="R13" s="107">
        <f>+((((SUMIFS(TablaGeneral[Resumen de Jornales tractoristas de Secado],TablaGeneral[Finca],$I$13)*10)*R25)+(((SUMIFS(TablaGeneral[Resumen de Jornales tractoristas de Secado],TablaGeneral[Finca],$I$13)*10/100)+(SUMIFS(TablaGeneral[Resumen de Jornales tractoristas de Secado],TablaGeneral[Finca],$I$13)*10/150)+(SUMIFS(TablaGeneral[Resumen de Jornales tractoristas de Secado],TablaGeneral[Finca],$I$13)*10/200))*R26))*R2)/R1</f>
        <v>0.74178179629397878</v>
      </c>
      <c r="S13" s="107">
        <f>+((((SUMIFS(TablaGeneral[Resumen de Jornales tractoristas de Secado],TablaGeneral[Finca],$I$13)*10)*S25)+(((SUMIFS(TablaGeneral[Resumen de Jornales tractoristas de Secado],TablaGeneral[Finca],$I$13)*10/100)+(SUMIFS(TablaGeneral[Resumen de Jornales tractoristas de Secado],TablaGeneral[Finca],$I$13)*10/150)+(SUMIFS(TablaGeneral[Resumen de Jornales tractoristas de Secado],TablaGeneral[Finca],$I$13)*10/200))*S26))*S2)/S1</f>
        <v>18.386094316129906</v>
      </c>
      <c r="T13" s="107">
        <f>+((((SUMIFS(TablaGeneral[Resumen de Jornales tractoristas de Secado],TablaGeneral[Finca],$I$13)*10)*T25)+(((SUMIFS(TablaGeneral[Resumen de Jornales tractoristas de Secado],TablaGeneral[Finca],$I$13)*10/100)+(SUMIFS(TablaGeneral[Resumen de Jornales tractoristas de Secado],TablaGeneral[Finca],$I$13)*10/150)+(SUMIFS(TablaGeneral[Resumen de Jornales tractoristas de Secado],TablaGeneral[Finca],$I$13)*10/200))*T26))*T2)/T1</f>
        <v>60.478804684180261</v>
      </c>
      <c r="U13" s="107">
        <f>+((((SUMIFS(TablaGeneral[Resumen de Jornales tractoristas de Secado],TablaGeneral[Finca],$I$13)*10)*U25)+(((SUMIFS(TablaGeneral[Resumen de Jornales tractoristas de Secado],TablaGeneral[Finca],$I$13)*10/100)+(SUMIFS(TablaGeneral[Resumen de Jornales tractoristas de Secado],TablaGeneral[Finca],$I$13)*10/150)+(SUMIFS(TablaGeneral[Resumen de Jornales tractoristas de Secado],TablaGeneral[Finca],$I$13)*10/200))*U26))*U2)/U1</f>
        <v>56.212228907083492</v>
      </c>
      <c r="V13" s="107">
        <f>+((((SUMIFS(TablaGeneral[Resumen de Jornales tractoristas de Secado],TablaGeneral[Finca],$I$13)*10)*V25)+(((SUMIFS(TablaGeneral[Resumen de Jornales tractoristas de Secado],TablaGeneral[Finca],$I$13)*10/100)+(SUMIFS(TablaGeneral[Resumen de Jornales tractoristas de Secado],TablaGeneral[Finca],$I$13)*10/150)+(SUMIFS(TablaGeneral[Resumen de Jornales tractoristas de Secado],TablaGeneral[Finca],$I$13)*10/200))*V26))*V2)/V1</f>
        <v>34.978384799322036</v>
      </c>
      <c r="AE13" t="s">
        <v>8</v>
      </c>
      <c r="AF13" t="s">
        <v>7</v>
      </c>
      <c r="AG13" t="s">
        <v>130</v>
      </c>
      <c r="AH13" s="151">
        <v>39.999823146576119</v>
      </c>
    </row>
    <row r="14" spans="1:34">
      <c r="A14" t="s">
        <v>4</v>
      </c>
      <c r="B14" t="s">
        <v>6</v>
      </c>
      <c r="C14" t="s">
        <v>143</v>
      </c>
      <c r="D14" t="s">
        <v>41</v>
      </c>
      <c r="E14">
        <v>522280</v>
      </c>
      <c r="F14">
        <v>3.7849829351535833</v>
      </c>
      <c r="G14" s="2">
        <f>+IFERROR(SECADERO[[#This Row],[KG uva]]/COUNTIFS(SECADERO[Finca],SECADERO[[#This Row],[Finca]],SECADERO[Variedad],SECADERO[[#This Row],[Variedad]],SECADERO[Tipo de Cosecha],SECADERO[[#This Row],[Tipo de Cosecha]]),0)</f>
        <v>47480</v>
      </c>
      <c r="I14" t="s">
        <v>4</v>
      </c>
      <c r="J14" t="s">
        <v>355</v>
      </c>
      <c r="K14" s="108">
        <v>0</v>
      </c>
      <c r="L14" s="108">
        <v>0</v>
      </c>
      <c r="M14" s="108">
        <v>0</v>
      </c>
      <c r="N14" s="108">
        <v>0</v>
      </c>
      <c r="O14" s="108">
        <v>0</v>
      </c>
      <c r="P14" s="108">
        <v>0</v>
      </c>
      <c r="Q14" s="108">
        <v>0</v>
      </c>
      <c r="R14" s="108">
        <v>0</v>
      </c>
      <c r="S14" s="108">
        <v>0</v>
      </c>
      <c r="T14" s="108">
        <v>0</v>
      </c>
      <c r="U14" s="108">
        <v>0</v>
      </c>
      <c r="V14" s="108">
        <v>0</v>
      </c>
      <c r="AE14" t="s">
        <v>8</v>
      </c>
      <c r="AF14" t="s">
        <v>7</v>
      </c>
      <c r="AG14" t="s">
        <v>146</v>
      </c>
      <c r="AH14" s="151">
        <v>25.842073992824659</v>
      </c>
    </row>
    <row r="15" spans="1:34">
      <c r="A15" t="s">
        <v>4</v>
      </c>
      <c r="B15" t="s">
        <v>6</v>
      </c>
      <c r="C15" t="s">
        <v>136</v>
      </c>
      <c r="D15" t="s">
        <v>41</v>
      </c>
      <c r="E15">
        <v>522280</v>
      </c>
      <c r="F15">
        <v>8.1110372340425538</v>
      </c>
      <c r="G15" s="2">
        <f>+IFERROR(SECADERO[[#This Row],[KG uva]]/COUNTIFS(SECADERO[Finca],SECADERO[[#This Row],[Finca]],SECADERO[Variedad],SECADERO[[#This Row],[Variedad]],SECADERO[Tipo de Cosecha],SECADERO[[#This Row],[Tipo de Cosecha]]),0)</f>
        <v>47480</v>
      </c>
      <c r="I15" t="s">
        <v>4</v>
      </c>
      <c r="J15" t="s">
        <v>133</v>
      </c>
      <c r="K15" s="107">
        <v>763.91014446199335</v>
      </c>
      <c r="L15" s="107">
        <v>662.20325898097758</v>
      </c>
      <c r="M15" s="107">
        <v>0</v>
      </c>
      <c r="N15" s="107">
        <v>0</v>
      </c>
      <c r="O15" s="107">
        <v>54.56139052463422</v>
      </c>
      <c r="P15" s="107">
        <v>0</v>
      </c>
      <c r="Q15" s="107">
        <v>0</v>
      </c>
      <c r="R15" s="107">
        <v>18.559949430842309</v>
      </c>
      <c r="S15" s="107">
        <v>463.17033336657715</v>
      </c>
      <c r="T15" s="107">
        <v>1533.7650033743475</v>
      </c>
      <c r="U15" s="107">
        <v>1435.3349876874306</v>
      </c>
      <c r="V15" s="107">
        <v>899.16594236082858</v>
      </c>
      <c r="AE15" t="s">
        <v>8</v>
      </c>
      <c r="AF15" t="s">
        <v>7</v>
      </c>
      <c r="AG15" t="s">
        <v>143</v>
      </c>
      <c r="AH15" s="151">
        <v>27.231462919819641</v>
      </c>
    </row>
    <row r="16" spans="1:34">
      <c r="A16" t="s">
        <v>4</v>
      </c>
      <c r="B16" t="s">
        <v>6</v>
      </c>
      <c r="C16" t="s">
        <v>137</v>
      </c>
      <c r="D16" t="s">
        <v>41</v>
      </c>
      <c r="E16">
        <v>522280</v>
      </c>
      <c r="F16">
        <v>5.9478303266699175</v>
      </c>
      <c r="G16" s="2">
        <f>+IFERROR(SECADERO[[#This Row],[KG uva]]/COUNTIFS(SECADERO[Finca],SECADERO[[#This Row],[Finca]],SECADERO[Variedad],SECADERO[[#This Row],[Variedad]],SECADERO[Tipo de Cosecha],SECADERO[[#This Row],[Tipo de Cosecha]]),0)</f>
        <v>47480</v>
      </c>
      <c r="I16" t="s">
        <v>373</v>
      </c>
      <c r="J16" t="s">
        <v>353</v>
      </c>
      <c r="K16" s="107"/>
      <c r="L16" s="107"/>
      <c r="M16" s="107"/>
      <c r="N16" s="107"/>
      <c r="O16" s="107"/>
      <c r="P16" s="107"/>
      <c r="Q16" s="107"/>
      <c r="R16" s="107">
        <f>1500*2*0.6925</f>
        <v>2077.5</v>
      </c>
      <c r="S16" s="107">
        <f>1500*2*0.6925</f>
        <v>2077.5</v>
      </c>
      <c r="T16" s="107">
        <f>1500*2*0.6925</f>
        <v>2077.5</v>
      </c>
      <c r="U16" s="107">
        <f>1500*2*0.6925*0.5</f>
        <v>1038.75</v>
      </c>
      <c r="V16" s="107"/>
      <c r="AE16" t="s">
        <v>8</v>
      </c>
      <c r="AF16" t="s">
        <v>10</v>
      </c>
      <c r="AH16" s="151"/>
    </row>
    <row r="17" spans="1:34">
      <c r="A17" t="s">
        <v>4</v>
      </c>
      <c r="B17" t="s">
        <v>6</v>
      </c>
      <c r="C17" t="s">
        <v>138</v>
      </c>
      <c r="D17" t="s">
        <v>41</v>
      </c>
      <c r="E17">
        <v>522280</v>
      </c>
      <c r="F17">
        <v>9.1929163526752067</v>
      </c>
      <c r="G17" s="2">
        <f>+IFERROR(SECADERO[[#This Row],[KG uva]]/COUNTIFS(SECADERO[Finca],SECADERO[[#This Row],[Finca]],SECADERO[Variedad],SECADERO[[#This Row],[Variedad]],SECADERO[Tipo de Cosecha],SECADERO[[#This Row],[Tipo de Cosecha]]),0)</f>
        <v>47480</v>
      </c>
      <c r="I17" t="s">
        <v>373</v>
      </c>
      <c r="J17" t="s">
        <v>354</v>
      </c>
      <c r="K17" s="107">
        <f>+(((SUMIFS(TablaGeneral[Resumen de Jornales tractoristas de Secado],TablaGeneral[Finca],$I$13)*10)+((SUMIFS(TablaGeneral[Resumen de Jornales tractoristas de Secado],TablaGeneral[Finca],$I$13)*10/100)+(SUMIFS(TablaGeneral[Resumen de Jornales tractoristas de Secado],TablaGeneral[Finca],$I$13)*10/150)+(SUMIFS(TablaGeneral[Resumen de Jornales tractoristas de Secado],TablaGeneral[Finca],$I$13)*10/200))*INDEX(Tabla2[Lubricantes],MATCH(K$3,Tabla2[Mes],0)))*K$2)/K1</f>
        <v>3.4400018083147157</v>
      </c>
      <c r="L17" s="107">
        <f>+(((SUMIFS(TablaGeneral[Resumen de Jornales tractoristas de Secado],TablaGeneral[Finca],$I$13)*10)+((SUMIFS(TablaGeneral[Resumen de Jornales tractoristas de Secado],TablaGeneral[Finca],$I$13)*10/100)+(SUMIFS(TablaGeneral[Resumen de Jornales tractoristas de Secado],TablaGeneral[Finca],$I$13)*10/150)+(SUMIFS(TablaGeneral[Resumen de Jornales tractoristas de Secado],TablaGeneral[Finca],$I$13)*10/200))*INDEX(Tabla2[Lubricantes],MATCH(L$3,Tabla2[Mes],0)))*L$2)/L1</f>
        <v>2.9615095386841213</v>
      </c>
      <c r="M17" s="107">
        <f>+(((SUMIFS(TablaGeneral[Resumen de Jornales tractoristas de Secado],TablaGeneral[Finca],$I$13)*10)+((SUMIFS(TablaGeneral[Resumen de Jornales tractoristas de Secado],TablaGeneral[Finca],$I$13)*10/100)+(SUMIFS(TablaGeneral[Resumen de Jornales tractoristas de Secado],TablaGeneral[Finca],$I$13)*10/150)+(SUMIFS(TablaGeneral[Resumen de Jornales tractoristas de Secado],TablaGeneral[Finca],$I$13)*10/200))*INDEX(Tabla2[Lubricantes],MATCH(M$3,Tabla2[Mes],0)))*M$2)/M1</f>
        <v>0</v>
      </c>
      <c r="N17" s="107">
        <f>+(((SUMIFS(TablaGeneral[Resumen de Jornales tractoristas de Secado],TablaGeneral[Finca],$I$13)*10)+((SUMIFS(TablaGeneral[Resumen de Jornales tractoristas de Secado],TablaGeneral[Finca],$I$13)*10/100)+(SUMIFS(TablaGeneral[Resumen de Jornales tractoristas de Secado],TablaGeneral[Finca],$I$13)*10/150)+(SUMIFS(TablaGeneral[Resumen de Jornales tractoristas de Secado],TablaGeneral[Finca],$I$13)*10/200))*INDEX(Tabla2[Lubricantes],MATCH(N$3,Tabla2[Mes],0)))*N$2)/N1</f>
        <v>0</v>
      </c>
      <c r="O17" s="107">
        <f>+(((SUMIFS(TablaGeneral[Resumen de Jornales tractoristas de Secado],TablaGeneral[Finca],$I$13)*10)+((SUMIFS(TablaGeneral[Resumen de Jornales tractoristas de Secado],TablaGeneral[Finca],$I$13)*10/100)+(SUMIFS(TablaGeneral[Resumen de Jornales tractoristas de Secado],TablaGeneral[Finca],$I$13)*10/150)+(SUMIFS(TablaGeneral[Resumen de Jornales tractoristas de Secado],TablaGeneral[Finca],$I$13)*10/200))*INDEX(Tabla2[Lubricantes],MATCH(O$3,Tabla2[Mes],0)))*O$2)/O1</f>
        <v>0.23907347686274394</v>
      </c>
      <c r="P17" s="107">
        <f>+(((SUMIFS(TablaGeneral[Resumen de Jornales tractoristas de Secado],TablaGeneral[Finca],$I$13)*10)+((SUMIFS(TablaGeneral[Resumen de Jornales tractoristas de Secado],TablaGeneral[Finca],$I$13)*10/100)+(SUMIFS(TablaGeneral[Resumen de Jornales tractoristas de Secado],TablaGeneral[Finca],$I$13)*10/150)+(SUMIFS(TablaGeneral[Resumen de Jornales tractoristas de Secado],TablaGeneral[Finca],$I$13)*10/200))*INDEX(Tabla2[Lubricantes],MATCH(P$3,Tabla2[Mes],0)))*P$2)/P1</f>
        <v>0</v>
      </c>
      <c r="Q17" s="107">
        <f>+(((SUMIFS(TablaGeneral[Resumen de Jornales tractoristas de Secado],TablaGeneral[Finca],$I$13)*10)+((SUMIFS(TablaGeneral[Resumen de Jornales tractoristas de Secado],TablaGeneral[Finca],$I$13)*10/100)+(SUMIFS(TablaGeneral[Resumen de Jornales tractoristas de Secado],TablaGeneral[Finca],$I$13)*10/150)+(SUMIFS(TablaGeneral[Resumen de Jornales tractoristas de Secado],TablaGeneral[Finca],$I$13)*10/200))*INDEX(Tabla2[Lubricantes],MATCH(Q$3,Tabla2[Mes],0)))*Q$2)/Q1</f>
        <v>0</v>
      </c>
      <c r="R17" s="107">
        <f>+(((SUMIFS(TablaGeneral[Resumen de Jornales tractoristas de Secado],TablaGeneral[Finca],$I$13)*10)+((SUMIFS(TablaGeneral[Resumen de Jornales tractoristas de Secado],TablaGeneral[Finca],$I$13)*10/100)+(SUMIFS(TablaGeneral[Resumen de Jornales tractoristas de Secado],TablaGeneral[Finca],$I$13)*10/150)+(SUMIFS(TablaGeneral[Resumen de Jornales tractoristas de Secado],TablaGeneral[Finca],$I$13)*10/200))*INDEX(Tabla2[Lubricantes],MATCH(R$3,Tabla2[Mes],0)))*R$2)/R1</f>
        <v>7.967494688514154E-2</v>
      </c>
      <c r="S17" s="107">
        <f>+(((SUMIFS(TablaGeneral[Resumen de Jornales tractoristas de Secado],TablaGeneral[Finca],$I$13)*10)+((SUMIFS(TablaGeneral[Resumen de Jornales tractoristas de Secado],TablaGeneral[Finca],$I$13)*10/100)+(SUMIFS(TablaGeneral[Resumen de Jornales tractoristas de Secado],TablaGeneral[Finca],$I$13)*10/150)+(SUMIFS(TablaGeneral[Resumen de Jornales tractoristas de Secado],TablaGeneral[Finca],$I$13)*10/200))*INDEX(Tabla2[Lubricantes],MATCH(S$3,Tabla2[Mes],0)))*S$2)/S1</f>
        <v>1.974723156433418</v>
      </c>
      <c r="T17" s="107">
        <f>+(((SUMIFS(TablaGeneral[Resumen de Jornales tractoristas de Secado],TablaGeneral[Finca],$I$13)*10)+((SUMIFS(TablaGeneral[Resumen de Jornales tractoristas de Secado],TablaGeneral[Finca],$I$13)*10/100)+(SUMIFS(TablaGeneral[Resumen de Jornales tractoristas de Secado],TablaGeneral[Finca],$I$13)*10/150)+(SUMIFS(TablaGeneral[Resumen de Jornales tractoristas de Secado],TablaGeneral[Finca],$I$13)*10/200))*INDEX(Tabla2[Lubricantes],MATCH(T$3,Tabla2[Mes],0)))*T$2)/T1</f>
        <v>6.4951822626317899</v>
      </c>
      <c r="U17" s="107">
        <f>+(((SUMIFS(TablaGeneral[Resumen de Jornales tractoristas de Secado],TablaGeneral[Finca],$I$13)*10)+((SUMIFS(TablaGeneral[Resumen de Jornales tractoristas de Secado],TablaGeneral[Finca],$I$13)*10/100)+(SUMIFS(TablaGeneral[Resumen de Jornales tractoristas de Secado],TablaGeneral[Finca],$I$13)*10/150)+(SUMIFS(TablaGeneral[Resumen de Jornales tractoristas de Secado],TablaGeneral[Finca],$I$13)*10/200))*INDEX(Tabla2[Lubricantes],MATCH(U$3,Tabla2[Mes],0)))*U$2)/U1</f>
        <v>6.0365755266359029</v>
      </c>
      <c r="V17" s="107">
        <f>+(((SUMIFS(TablaGeneral[Resumen de Jornales tractoristas de Secado],TablaGeneral[Finca],$I$13)*10)+((SUMIFS(TablaGeneral[Resumen de Jornales tractoristas de Secado],TablaGeneral[Finca],$I$13)*10/100)+(SUMIFS(TablaGeneral[Resumen de Jornales tractoristas de Secado],TablaGeneral[Finca],$I$13)*10/150)+(SUMIFS(TablaGeneral[Resumen de Jornales tractoristas de Secado],TablaGeneral[Finca],$I$13)*10/200))*INDEX(Tabla2[Lubricantes],MATCH(V$3,Tabla2[Mes],0)))*V$2)/V1</f>
        <v>3.756051613201882</v>
      </c>
      <c r="AE17" t="s">
        <v>8</v>
      </c>
      <c r="AF17" t="s">
        <v>10</v>
      </c>
      <c r="AG17" t="s">
        <v>135</v>
      </c>
      <c r="AH17" s="151">
        <v>19.492256319153171</v>
      </c>
    </row>
    <row r="18" spans="1:34">
      <c r="A18" t="s">
        <v>4</v>
      </c>
      <c r="B18" t="s">
        <v>6</v>
      </c>
      <c r="C18" t="s">
        <v>139</v>
      </c>
      <c r="D18" t="s">
        <v>41</v>
      </c>
      <c r="E18">
        <v>522280</v>
      </c>
      <c r="F18">
        <v>4.8669459405545581</v>
      </c>
      <c r="G18" s="2">
        <f>+IFERROR(SECADERO[[#This Row],[KG uva]]/COUNTIFS(SECADERO[Finca],SECADERO[[#This Row],[Finca]],SECADERO[Variedad],SECADERO[[#This Row],[Variedad]],SECADERO[Tipo de Cosecha],SECADERO[[#This Row],[Tipo de Cosecha]]),0)</f>
        <v>47480</v>
      </c>
      <c r="I18" t="s">
        <v>373</v>
      </c>
      <c r="J18" t="s">
        <v>355</v>
      </c>
      <c r="K18" s="107">
        <v>0</v>
      </c>
      <c r="L18" s="107">
        <v>0</v>
      </c>
      <c r="M18" s="107">
        <v>0</v>
      </c>
      <c r="N18" s="107">
        <v>0</v>
      </c>
      <c r="O18" s="107">
        <v>0</v>
      </c>
      <c r="P18" s="107">
        <v>0</v>
      </c>
      <c r="Q18" s="107">
        <v>0</v>
      </c>
      <c r="R18" s="107">
        <v>0</v>
      </c>
      <c r="S18" s="107">
        <v>0</v>
      </c>
      <c r="T18" s="107">
        <v>0</v>
      </c>
      <c r="U18" s="107">
        <v>0</v>
      </c>
      <c r="V18" s="107">
        <v>0</v>
      </c>
      <c r="AE18" t="s">
        <v>8</v>
      </c>
      <c r="AF18" t="s">
        <v>10</v>
      </c>
      <c r="AG18" t="s">
        <v>137</v>
      </c>
      <c r="AH18" s="151">
        <v>24.365365300800725</v>
      </c>
    </row>
    <row r="19" spans="1:34">
      <c r="A19" t="s">
        <v>4</v>
      </c>
      <c r="B19" t="s">
        <v>6</v>
      </c>
      <c r="C19" t="s">
        <v>140</v>
      </c>
      <c r="D19" t="s">
        <v>41</v>
      </c>
      <c r="E19">
        <v>522280</v>
      </c>
      <c r="F19">
        <v>0.63221175647487138</v>
      </c>
      <c r="G19" s="2">
        <f>+IFERROR(SECADERO[[#This Row],[KG uva]]/COUNTIFS(SECADERO[Finca],SECADERO[[#This Row],[Finca]],SECADERO[Variedad],SECADERO[[#This Row],[Variedad]],SECADERO[Tipo de Cosecha],SECADERO[[#This Row],[Tipo de Cosecha]]),0)</f>
        <v>47480</v>
      </c>
      <c r="I19" t="s">
        <v>373</v>
      </c>
      <c r="J19" t="s">
        <v>133</v>
      </c>
      <c r="K19" s="109">
        <v>606.81040989613746</v>
      </c>
      <c r="L19" s="107">
        <v>526.01976021644168</v>
      </c>
      <c r="M19" s="107">
        <v>0</v>
      </c>
      <c r="N19" s="107">
        <v>0</v>
      </c>
      <c r="O19" s="107">
        <v>43.340725331084748</v>
      </c>
      <c r="P19" s="107">
        <v>0</v>
      </c>
      <c r="Q19" s="107">
        <v>0</v>
      </c>
      <c r="R19" s="107">
        <v>14.743056632286077</v>
      </c>
      <c r="S19" s="107">
        <v>367.91837610671593</v>
      </c>
      <c r="T19" s="107">
        <v>1218.342991160845</v>
      </c>
      <c r="U19" s="107">
        <v>1140.1553160814328</v>
      </c>
      <c r="V19" s="107">
        <v>714.25056730054621</v>
      </c>
      <c r="AE19" t="s">
        <v>8</v>
      </c>
      <c r="AF19" t="s">
        <v>10</v>
      </c>
      <c r="AG19" t="s">
        <v>142</v>
      </c>
      <c r="AH19" s="151">
        <v>14.294286177631221</v>
      </c>
    </row>
    <row r="20" spans="1:34">
      <c r="A20" t="s">
        <v>4</v>
      </c>
      <c r="B20" t="s">
        <v>6</v>
      </c>
      <c r="C20" t="s">
        <v>144</v>
      </c>
      <c r="D20" t="s">
        <v>41</v>
      </c>
      <c r="E20">
        <v>522280</v>
      </c>
      <c r="F20">
        <v>0.42173131438843947</v>
      </c>
      <c r="G20" s="2">
        <f>+IFERROR(SECADERO[[#This Row],[KG uva]]/COUNTIFS(SECADERO[Finca],SECADERO[[#This Row],[Finca]],SECADERO[Variedad],SECADERO[[#This Row],[Variedad]],SECADERO[Tipo de Cosecha],SECADERO[[#This Row],[Tipo de Cosecha]]),0)</f>
        <v>47480</v>
      </c>
      <c r="I20" t="s">
        <v>15</v>
      </c>
      <c r="J20" t="s">
        <v>353</v>
      </c>
      <c r="R20" s="107">
        <f>1500*2*0.2908</f>
        <v>872.4</v>
      </c>
      <c r="S20" s="107">
        <f>1500*2*0.2908</f>
        <v>872.4</v>
      </c>
      <c r="T20" s="107">
        <f>1500*2*0.2908</f>
        <v>872.4</v>
      </c>
      <c r="U20" s="107">
        <f>1500*2*0.2908*0.5</f>
        <v>436.2</v>
      </c>
      <c r="AE20" t="s">
        <v>8</v>
      </c>
      <c r="AF20" t="s">
        <v>10</v>
      </c>
      <c r="AG20" t="s">
        <v>136</v>
      </c>
      <c r="AH20" s="151">
        <v>31.674863983632516</v>
      </c>
    </row>
    <row r="21" spans="1:34">
      <c r="A21" t="s">
        <v>4</v>
      </c>
      <c r="B21" t="s">
        <v>6</v>
      </c>
      <c r="C21" t="s">
        <v>141</v>
      </c>
      <c r="D21" t="s">
        <v>41</v>
      </c>
      <c r="E21">
        <v>522280</v>
      </c>
      <c r="F21">
        <v>17.847841989758596</v>
      </c>
      <c r="G21" s="2">
        <f>+IFERROR(SECADERO[[#This Row],[KG uva]]/COUNTIFS(SECADERO[Finca],SECADERO[[#This Row],[Finca]],SECADERO[Variedad],SECADERO[[#This Row],[Variedad]],SECADERO[Tipo de Cosecha],SECADERO[[#This Row],[Tipo de Cosecha]]),0)</f>
        <v>47480</v>
      </c>
      <c r="I21" t="s">
        <v>15</v>
      </c>
      <c r="J21" t="s">
        <v>354</v>
      </c>
      <c r="K21" s="107">
        <f>+((((SUMIFS(TablaGeneral[Resumen de Jornales tractoristas de Secado],TablaGeneral[Finca],$I$21)*10)*K25)+(((SUMIFS(TablaGeneral[Resumen de Jornales tractoristas de Secado],TablaGeneral[Finca],$I$21)*10/100)+(SUMIFS(TablaGeneral[Resumen de Jornales tractoristas de Secado],TablaGeneral[Finca],$I$21)*10/150)+(SUMIFS(TablaGeneral[Resumen de Jornales tractoristas de Secado],TablaGeneral[Finca],$I$21)*10/200))*K26))*K2)/K1</f>
        <v>199.10570148476123</v>
      </c>
      <c r="L21" s="107">
        <f>+((((SUMIFS(TablaGeneral[Resumen de Jornales tractoristas de Secado],TablaGeneral[Finca],$I$21)*10)*L25)+(((SUMIFS(TablaGeneral[Resumen de Jornales tractoristas de Secado],TablaGeneral[Finca],$I$21)*10/100)+(SUMIFS(TablaGeneral[Resumen de Jornales tractoristas de Secado],TablaGeneral[Finca],$I$21)*10/150)+(SUMIFS(TablaGeneral[Resumen de Jornales tractoristas de Secado],TablaGeneral[Finca],$I$21)*10/200))*L26))*L2)/L1</f>
        <v>171.42300560070979</v>
      </c>
      <c r="M21" s="107">
        <f>+((((SUMIFS(TablaGeneral[Resumen de Jornales tractoristas de Secado],TablaGeneral[Finca],$I$21)*10)*M25)+(((SUMIFS(TablaGeneral[Resumen de Jornales tractoristas de Secado],TablaGeneral[Finca],$I$21)*10/100)+(SUMIFS(TablaGeneral[Resumen de Jornales tractoristas de Secado],TablaGeneral[Finca],$I$21)*10/150)+(SUMIFS(TablaGeneral[Resumen de Jornales tractoristas de Secado],TablaGeneral[Finca],$I$21)*10/200))*M26))*M2)/M1</f>
        <v>0</v>
      </c>
      <c r="N21" s="107">
        <f>+((((SUMIFS(TablaGeneral[Resumen de Jornales tractoristas de Secado],TablaGeneral[Finca],$I$21)*10)*N25)+(((SUMIFS(TablaGeneral[Resumen de Jornales tractoristas de Secado],TablaGeneral[Finca],$I$21)*10/100)+(SUMIFS(TablaGeneral[Resumen de Jornales tractoristas de Secado],TablaGeneral[Finca],$I$21)*10/150)+(SUMIFS(TablaGeneral[Resumen de Jornales tractoristas de Secado],TablaGeneral[Finca],$I$21)*10/200))*N26))*N2)/N1</f>
        <v>0</v>
      </c>
      <c r="O21" s="107">
        <f>+((((SUMIFS(TablaGeneral[Resumen de Jornales tractoristas de Secado],TablaGeneral[Finca],$I$21)*10)*O25)+(((SUMIFS(TablaGeneral[Resumen de Jornales tractoristas de Secado],TablaGeneral[Finca],$I$21)*10/100)+(SUMIFS(TablaGeneral[Resumen de Jornales tractoristas de Secado],TablaGeneral[Finca],$I$21)*10/150)+(SUMIFS(TablaGeneral[Resumen de Jornales tractoristas de Secado],TablaGeneral[Finca],$I$21)*10/200))*O26))*O2)/O1</f>
        <v>13.841347942025722</v>
      </c>
      <c r="P21" s="107">
        <f>+((((SUMIFS(TablaGeneral[Resumen de Jornales tractoristas de Secado],TablaGeneral[Finca],$I$21)*10)*P25)+(((SUMIFS(TablaGeneral[Resumen de Jornales tractoristas de Secado],TablaGeneral[Finca],$I$21)*10/100)+(SUMIFS(TablaGeneral[Resumen de Jornales tractoristas de Secado],TablaGeneral[Finca],$I$21)*10/150)+(SUMIFS(TablaGeneral[Resumen de Jornales tractoristas de Secado],TablaGeneral[Finca],$I$21)*10/200))*P26))*P2)/P1</f>
        <v>0</v>
      </c>
      <c r="Q21" s="107">
        <f>+((((SUMIFS(TablaGeneral[Resumen de Jornales tractoristas de Secado],TablaGeneral[Finca],$I$21)*10)*Q25)+(((SUMIFS(TablaGeneral[Resumen de Jornales tractoristas de Secado],TablaGeneral[Finca],$I$21)*10/100)+(SUMIFS(TablaGeneral[Resumen de Jornales tractoristas de Secado],TablaGeneral[Finca],$I$21)*10/150)+(SUMIFS(TablaGeneral[Resumen de Jornales tractoristas de Secado],TablaGeneral[Finca],$I$21)*10/200))*Q26))*Q2)/Q1</f>
        <v>0</v>
      </c>
      <c r="R21" s="107">
        <f>+((((SUMIFS(TablaGeneral[Resumen de Jornales tractoristas de Secado],TablaGeneral[Finca],$I$21)*10)*R25)+(((SUMIFS(TablaGeneral[Resumen de Jornales tractoristas de Secado],TablaGeneral[Finca],$I$21)*10/100)+(SUMIFS(TablaGeneral[Resumen de Jornales tractoristas de Secado],TablaGeneral[Finca],$I$21)*10/150)+(SUMIFS(TablaGeneral[Resumen de Jornales tractoristas de Secado],TablaGeneral[Finca],$I$21)*10/200))*R26))*R2)/R1</f>
        <v>4.6137826473419068</v>
      </c>
      <c r="S21" s="107">
        <f>+((((SUMIFS(TablaGeneral[Resumen de Jornales tractoristas de Secado],TablaGeneral[Finca],$I$21)*10)*S25)+(((SUMIFS(TablaGeneral[Resumen de Jornales tractoristas de Secado],TablaGeneral[Finca],$I$21)*10/100)+(SUMIFS(TablaGeneral[Resumen de Jornales tractoristas de Secado],TablaGeneral[Finca],$I$21)*10/150)+(SUMIFS(TablaGeneral[Resumen de Jornales tractoristas de Secado],TablaGeneral[Finca],$I$21)*10/200))*S26))*S2)/S1</f>
        <v>114.3590248938014</v>
      </c>
      <c r="T21" s="107">
        <f>+((((SUMIFS(TablaGeneral[Resumen de Jornales tractoristas de Secado],TablaGeneral[Finca],$I$21)*10)*T25)+(((SUMIFS(TablaGeneral[Resumen de Jornales tractoristas de Secado],TablaGeneral[Finca],$I$21)*10/100)+(SUMIFS(TablaGeneral[Resumen de Jornales tractoristas de Secado],TablaGeneral[Finca],$I$21)*10/150)+(SUMIFS(TablaGeneral[Resumen de Jornales tractoristas de Secado],TablaGeneral[Finca],$I$21)*10/200))*T26))*T2)/T1</f>
        <v>376.17000171471631</v>
      </c>
      <c r="U21" s="107">
        <f>+((((SUMIFS(TablaGeneral[Resumen de Jornales tractoristas de Secado],TablaGeneral[Finca],$I$21)*10)*U25)+(((SUMIFS(TablaGeneral[Resumen de Jornales tractoristas de Secado],TablaGeneral[Finca],$I$21)*10/100)+(SUMIFS(TablaGeneral[Resumen de Jornales tractoristas de Secado],TablaGeneral[Finca],$I$21)*10/150)+(SUMIFS(TablaGeneral[Resumen de Jornales tractoristas de Secado],TablaGeneral[Finca],$I$21)*10/200))*U26))*U2)/U1</f>
        <v>349.63247628299632</v>
      </c>
      <c r="V21" s="107">
        <f>+((((SUMIFS(TablaGeneral[Resumen de Jornales tractoristas de Secado],TablaGeneral[Finca],$I$21)*10)*V25)+(((SUMIFS(TablaGeneral[Resumen de Jornales tractoristas de Secado],TablaGeneral[Finca],$I$21)*10/100)+(SUMIFS(TablaGeneral[Resumen de Jornales tractoristas de Secado],TablaGeneral[Finca],$I$21)*10/150)+(SUMIFS(TablaGeneral[Resumen de Jornales tractoristas de Secado],TablaGeneral[Finca],$I$21)*10/200))*V26))*V2)/V1</f>
        <v>217.56083207412885</v>
      </c>
      <c r="AE21" t="s">
        <v>8</v>
      </c>
      <c r="AF21" t="s">
        <v>10</v>
      </c>
      <c r="AG21" t="s">
        <v>138</v>
      </c>
      <c r="AH21" s="151">
        <v>37.202424917732031</v>
      </c>
    </row>
    <row r="22" spans="1:34">
      <c r="A22" t="s">
        <v>4</v>
      </c>
      <c r="B22" t="s">
        <v>6</v>
      </c>
      <c r="C22" t="s">
        <v>146</v>
      </c>
      <c r="D22" t="s">
        <v>41</v>
      </c>
      <c r="E22">
        <v>522280</v>
      </c>
      <c r="F22">
        <v>3.2444148936170216</v>
      </c>
      <c r="G22" s="2">
        <f>+IFERROR(SECADERO[[#This Row],[KG uva]]/COUNTIFS(SECADERO[Finca],SECADERO[[#This Row],[Finca]],SECADERO[Variedad],SECADERO[[#This Row],[Variedad]],SECADERO[Tipo de Cosecha],SECADERO[[#This Row],[Tipo de Cosecha]]),0)</f>
        <v>47480</v>
      </c>
      <c r="I22" t="s">
        <v>15</v>
      </c>
      <c r="J22" t="s">
        <v>355</v>
      </c>
      <c r="K22" s="107">
        <v>0</v>
      </c>
      <c r="L22" s="107">
        <v>0</v>
      </c>
      <c r="M22" s="107">
        <v>0</v>
      </c>
      <c r="N22" s="107">
        <v>0</v>
      </c>
      <c r="O22" s="107">
        <v>0</v>
      </c>
      <c r="P22" s="107">
        <v>0</v>
      </c>
      <c r="Q22" s="107">
        <v>0</v>
      </c>
      <c r="R22" s="107">
        <v>0</v>
      </c>
      <c r="S22" s="107">
        <v>0</v>
      </c>
      <c r="T22" s="107">
        <v>0</v>
      </c>
      <c r="U22" s="107">
        <v>0</v>
      </c>
      <c r="V22" s="107">
        <v>0</v>
      </c>
      <c r="AE22" t="s">
        <v>8</v>
      </c>
      <c r="AF22" t="s">
        <v>10</v>
      </c>
      <c r="AG22" t="s">
        <v>140</v>
      </c>
      <c r="AH22" s="151">
        <v>2.4365365300800721</v>
      </c>
    </row>
    <row r="23" spans="1:34">
      <c r="A23" t="s">
        <v>4</v>
      </c>
      <c r="B23" t="s">
        <v>6</v>
      </c>
      <c r="C23" t="s">
        <v>142</v>
      </c>
      <c r="D23" t="s">
        <v>41</v>
      </c>
      <c r="E23">
        <v>522280</v>
      </c>
      <c r="F23">
        <v>3.5089889256436071</v>
      </c>
      <c r="G23" s="2">
        <f>+IFERROR(SECADERO[[#This Row],[KG uva]]/COUNTIFS(SECADERO[Finca],SECADERO[[#This Row],[Finca]],SECADERO[Variedad],SECADERO[[#This Row],[Variedad]],SECADERO[Tipo de Cosecha],SECADERO[[#This Row],[Tipo de Cosecha]]),0)</f>
        <v>47480</v>
      </c>
      <c r="I23" t="s">
        <v>15</v>
      </c>
      <c r="J23" t="s">
        <v>133</v>
      </c>
      <c r="K23" s="107">
        <v>1685.5844719337149</v>
      </c>
      <c r="L23" s="107">
        <v>1461.1660006012266</v>
      </c>
      <c r="M23" s="107">
        <v>0</v>
      </c>
      <c r="N23" s="107">
        <v>0</v>
      </c>
      <c r="O23" s="107">
        <v>120.39090369745763</v>
      </c>
      <c r="P23" s="107">
        <v>0</v>
      </c>
      <c r="Q23" s="107">
        <v>0</v>
      </c>
      <c r="R23" s="107">
        <v>40.952935089683542</v>
      </c>
      <c r="S23" s="107">
        <v>1021.995489185322</v>
      </c>
      <c r="T23" s="107">
        <v>3384.2860865579028</v>
      </c>
      <c r="U23" s="107">
        <v>3167.0981002262024</v>
      </c>
      <c r="V23" s="107">
        <v>1984.0293536126283</v>
      </c>
      <c r="AE23" t="s">
        <v>8</v>
      </c>
      <c r="AF23" t="s">
        <v>10</v>
      </c>
      <c r="AG23" t="s">
        <v>139</v>
      </c>
      <c r="AH23" s="151">
        <v>19.492256319153171</v>
      </c>
    </row>
    <row r="24" spans="1:34">
      <c r="A24" t="s">
        <v>4</v>
      </c>
      <c r="B24" t="s">
        <v>7</v>
      </c>
      <c r="C24" t="s">
        <v>135</v>
      </c>
      <c r="D24" t="s">
        <v>41</v>
      </c>
      <c r="E24">
        <v>209520</v>
      </c>
      <c r="F24">
        <v>2.356744474282173</v>
      </c>
      <c r="G24" s="2">
        <f>+IFERROR(SECADERO[[#This Row],[KG uva]]/COUNTIFS(SECADERO[Finca],SECADERO[[#This Row],[Finca]],SECADERO[Variedad],SECADERO[[#This Row],[Variedad]],SECADERO[Tipo de Cosecha],SECADERO[[#This Row],[Tipo de Cosecha]]),0)</f>
        <v>19047.272727272728</v>
      </c>
      <c r="AE24" t="s">
        <v>8</v>
      </c>
      <c r="AF24" t="s">
        <v>10</v>
      </c>
      <c r="AG24" t="s">
        <v>141</v>
      </c>
      <c r="AH24" s="151">
        <v>73.095826491743097</v>
      </c>
    </row>
    <row r="25" spans="1:34">
      <c r="A25" t="s">
        <v>4</v>
      </c>
      <c r="B25" t="s">
        <v>7</v>
      </c>
      <c r="C25" t="s">
        <v>143</v>
      </c>
      <c r="D25" t="s">
        <v>41</v>
      </c>
      <c r="E25">
        <v>209520</v>
      </c>
      <c r="F25">
        <v>1.769934843313683</v>
      </c>
      <c r="G25" s="2">
        <f>+IFERROR(SECADERO[[#This Row],[KG uva]]/COUNTIFS(SECADERO[Finca],SECADERO[[#This Row],[Finca]],SECADERO[Variedad],SECADERO[[#This Row],[Variedad]],SECADERO[Tipo de Cosecha],SECADERO[[#This Row],[Tipo de Cosecha]]),0)</f>
        <v>19047.272727272728</v>
      </c>
      <c r="I25" s="161" t="s">
        <v>475</v>
      </c>
      <c r="J25" s="161"/>
      <c r="K25" s="63">
        <f>+INDEX(Tabla2[Combustible],MATCH(K3,Tabla2[Mes],0))</f>
        <v>1155.175</v>
      </c>
      <c r="L25" s="63">
        <f>+INDEX(Tabla2[Combustible],MATCH(L3,Tabla2[Mes],0))</f>
        <v>1166.7267499999998</v>
      </c>
      <c r="M25" s="63">
        <f>+INDEX(Tabla2[Combustible],MATCH(M3,Tabla2[Mes],0))</f>
        <v>1178.3940175</v>
      </c>
      <c r="N25" s="63">
        <f>+INDEX(Tabla2[Combustible],MATCH(N3,Tabla2[Mes],0))</f>
        <v>1190.177957675</v>
      </c>
      <c r="O25" s="63">
        <f>+INDEX(Tabla2[Combustible],MATCH(O3,Tabla2[Mes],0))</f>
        <v>1202.0797372517502</v>
      </c>
      <c r="P25" s="63">
        <f>+INDEX(Tabla2[Combustible],MATCH(P3,Tabla2[Mes],0))</f>
        <v>1214.1005346242675</v>
      </c>
      <c r="Q25" s="63">
        <f>+INDEX(Tabla2[Combustible],MATCH(Q3,Tabla2[Mes],0))</f>
        <v>1226.2415399705103</v>
      </c>
      <c r="R25" s="63">
        <f>+INDEX(Tabla2[Combustible],MATCH(R3,Tabla2[Mes],0))</f>
        <v>1238.5039553702152</v>
      </c>
      <c r="S25" s="63">
        <f>+INDEX(Tabla2[Combustible],MATCH(S3,Tabla2[Mes],0))</f>
        <v>1250.8889949239174</v>
      </c>
      <c r="T25" s="63">
        <f>+INDEX(Tabla2[Combustible],MATCH(T3,Tabla2[Mes],0))</f>
        <v>1263.3978848731565</v>
      </c>
      <c r="U25" s="63">
        <f>+INDEX(Tabla2[Combustible],MATCH(U3,Tabla2[Mes],0))</f>
        <v>1276.0318637218879</v>
      </c>
      <c r="V25" s="63">
        <f>+INDEX(Tabla2[Combustible],MATCH(V3,Tabla2[Mes],0))</f>
        <v>1288.7921823591068</v>
      </c>
      <c r="AE25" t="s">
        <v>8</v>
      </c>
      <c r="AF25" t="s">
        <v>10</v>
      </c>
      <c r="AG25" t="s">
        <v>144</v>
      </c>
      <c r="AH25" s="151">
        <v>1.6243526976307043</v>
      </c>
    </row>
    <row r="26" spans="1:34">
      <c r="A26" t="s">
        <v>4</v>
      </c>
      <c r="B26" t="s">
        <v>7</v>
      </c>
      <c r="C26" t="s">
        <v>136</v>
      </c>
      <c r="D26" t="s">
        <v>41</v>
      </c>
      <c r="E26">
        <v>209520</v>
      </c>
      <c r="F26">
        <v>3.7928856382978724</v>
      </c>
      <c r="G26" s="2">
        <f>+IFERROR(SECADERO[[#This Row],[KG uva]]/COUNTIFS(SECADERO[Finca],SECADERO[[#This Row],[Finca]],SECADERO[Variedad],SECADERO[[#This Row],[Variedad]],SECADERO[Tipo de Cosecha],SECADERO[[#This Row],[Tipo de Cosecha]]),0)</f>
        <v>19047.272727272728</v>
      </c>
      <c r="I26" s="161" t="s">
        <v>476</v>
      </c>
      <c r="J26" s="161"/>
      <c r="K26" s="63">
        <f>+INDEX(Tabla2[Lubricantes],MATCH(K3,Tabla2[Mes],0))</f>
        <v>6367.55</v>
      </c>
      <c r="L26" s="63">
        <f>+INDEX(Tabla2[Lubricantes],MATCH(L3,Tabla2[Mes],0))</f>
        <v>6431.2255000000005</v>
      </c>
      <c r="M26" s="63">
        <f>+INDEX(Tabla2[Lubricantes],MATCH(M3,Tabla2[Mes],0))</f>
        <v>6495.5377550000012</v>
      </c>
      <c r="N26" s="63">
        <f>+INDEX(Tabla2[Lubricantes],MATCH(N3,Tabla2[Mes],0))</f>
        <v>6560.4931325500011</v>
      </c>
      <c r="O26" s="63">
        <f>+INDEX(Tabla2[Lubricantes],MATCH(O3,Tabla2[Mes],0))</f>
        <v>6626.0980638755018</v>
      </c>
      <c r="P26" s="63">
        <f>+INDEX(Tabla2[Lubricantes],MATCH(P3,Tabla2[Mes],0))</f>
        <v>6692.3590445142563</v>
      </c>
      <c r="Q26" s="63">
        <f>+INDEX(Tabla2[Lubricantes],MATCH(Q3,Tabla2[Mes],0))</f>
        <v>6759.2826349593988</v>
      </c>
      <c r="R26" s="63">
        <f>+INDEX(Tabla2[Lubricantes],MATCH(R3,Tabla2[Mes],0))</f>
        <v>6826.8754613089923</v>
      </c>
      <c r="S26" s="63">
        <f>+INDEX(Tabla2[Lubricantes],MATCH(S3,Tabla2[Mes],0))</f>
        <v>6895.1442159220824</v>
      </c>
      <c r="T26" s="63">
        <f>+INDEX(Tabla2[Lubricantes],MATCH(T3,Tabla2[Mes],0))</f>
        <v>6964.0956580813026</v>
      </c>
      <c r="U26" s="63">
        <f>+INDEX(Tabla2[Lubricantes],MATCH(U3,Tabla2[Mes],0))</f>
        <v>7033.7366146621152</v>
      </c>
      <c r="V26" s="63">
        <f>+INDEX(Tabla2[Lubricantes],MATCH(V3,Tabla2[Mes],0))</f>
        <v>7104.0739808087365</v>
      </c>
      <c r="AE26" t="s">
        <v>8</v>
      </c>
      <c r="AF26" t="s">
        <v>10</v>
      </c>
      <c r="AG26" t="s">
        <v>130</v>
      </c>
      <c r="AH26" s="151">
        <v>17.316394355129173</v>
      </c>
    </row>
    <row r="27" spans="1:34">
      <c r="A27" t="s">
        <v>4</v>
      </c>
      <c r="B27" t="s">
        <v>7</v>
      </c>
      <c r="C27" t="s">
        <v>137</v>
      </c>
      <c r="D27" t="s">
        <v>41</v>
      </c>
      <c r="E27">
        <v>209520</v>
      </c>
      <c r="F27">
        <v>2.7813261823500728</v>
      </c>
      <c r="G27" s="2">
        <f>+IFERROR(SECADERO[[#This Row],[KG uva]]/COUNTIFS(SECADERO[Finca],SECADERO[[#This Row],[Finca]],SECADERO[Variedad],SECADERO[[#This Row],[Variedad]],SECADERO[Tipo de Cosecha],SECADERO[[#This Row],[Tipo de Cosecha]]),0)</f>
        <v>19047.272727272728</v>
      </c>
      <c r="I27" s="161" t="s">
        <v>387</v>
      </c>
      <c r="J27" s="161"/>
      <c r="K27" s="2">
        <f>+INDEX(Tabla2[Precio Jornal],MATCH(K3,Tabla2[Mes],0))</f>
        <v>19319.199999999997</v>
      </c>
      <c r="L27" s="2">
        <f>+INDEX(Tabla2[Precio Jornal],MATCH(L3,Tabla2[Mes],0))</f>
        <v>19646</v>
      </c>
      <c r="M27" s="2">
        <f>+INDEX(Tabla2[Precio Jornal],MATCH(M3,Tabla2[Mes],0))</f>
        <v>19976.599999999999</v>
      </c>
      <c r="N27" s="2">
        <f>+INDEX(Tabla2[Precio Jornal],MATCH(N3,Tabla2[Mes],0))</f>
        <v>20312.899999999998</v>
      </c>
      <c r="O27" s="2">
        <f>+INDEX(Tabla2[Precio Jornal],MATCH(O3,Tabla2[Mes],0))</f>
        <v>20654.899999999998</v>
      </c>
      <c r="P27" s="2">
        <f>+INDEX(Tabla2[Precio Jornal],MATCH(P3,Tabla2[Mes],0))</f>
        <v>21002.6</v>
      </c>
      <c r="Q27" s="2">
        <f>+INDEX(Tabla2[Precio Jornal],MATCH(Q3,Tabla2[Mes],0))</f>
        <v>21357.9</v>
      </c>
      <c r="R27" s="2">
        <f>+INDEX(Tabla2[Precio Jornal],MATCH(R3,Tabla2[Mes],0))</f>
        <v>21717</v>
      </c>
      <c r="S27" s="2">
        <f>+INDEX(Tabla2[Precio Jornal],MATCH(S3,Tabla2[Mes],0))</f>
        <v>22083.7</v>
      </c>
      <c r="T27" s="2">
        <f>+INDEX(Tabla2[Precio Jornal],MATCH(T3,Tabla2[Mes],0))</f>
        <v>22454.2</v>
      </c>
      <c r="U27" s="2">
        <f>+INDEX(Tabla2[Precio Jornal],MATCH(U3,Tabla2[Mes],0))</f>
        <v>22834.2</v>
      </c>
      <c r="V27" s="2">
        <f>+INDEX(Tabla2[Precio Jornal],MATCH(V3,Tabla2[Mes],0))</f>
        <v>23218</v>
      </c>
      <c r="AE27" t="s">
        <v>8</v>
      </c>
      <c r="AF27" t="s">
        <v>10</v>
      </c>
      <c r="AG27" t="s">
        <v>146</v>
      </c>
      <c r="AH27" s="151">
        <v>15.10648751171134</v>
      </c>
    </row>
    <row r="28" spans="1:34">
      <c r="A28" t="s">
        <v>4</v>
      </c>
      <c r="B28" t="s">
        <v>7</v>
      </c>
      <c r="C28" t="s">
        <v>138</v>
      </c>
      <c r="D28" t="s">
        <v>41</v>
      </c>
      <c r="E28">
        <v>209520</v>
      </c>
      <c r="F28">
        <v>4.2987942727957797</v>
      </c>
      <c r="G28" s="2">
        <f>+IFERROR(SECADERO[[#This Row],[KG uva]]/COUNTIFS(SECADERO[Finca],SECADERO[[#This Row],[Finca]],SECADERO[Variedad],SECADERO[[#This Row],[Variedad]],SECADERO[Tipo de Cosecha],SECADERO[[#This Row],[Tipo de Cosecha]]),0)</f>
        <v>19047.272727272728</v>
      </c>
      <c r="I28" s="162" t="s">
        <v>479</v>
      </c>
      <c r="J28" s="163"/>
      <c r="K28" s="1">
        <f>+K27/K1</f>
        <v>17.142147293700088</v>
      </c>
      <c r="L28" s="1">
        <f t="shared" ref="L28:V28" si="1">+L27/L1</f>
        <v>17.259525420155146</v>
      </c>
      <c r="M28" s="1">
        <f t="shared" si="1"/>
        <v>17.376204135388015</v>
      </c>
      <c r="N28" s="1">
        <f t="shared" si="1"/>
        <v>17.493789366317166</v>
      </c>
      <c r="O28" s="1">
        <f t="shared" si="1"/>
        <v>17.612203120903388</v>
      </c>
      <c r="P28" s="1">
        <f t="shared" si="1"/>
        <v>17.73136934385936</v>
      </c>
      <c r="Q28" s="1">
        <f t="shared" si="1"/>
        <v>17.852802067467454</v>
      </c>
      <c r="R28" s="1">
        <f t="shared" si="1"/>
        <v>17.97323690689872</v>
      </c>
      <c r="S28" s="1">
        <f t="shared" si="1"/>
        <v>18.095764365867471</v>
      </c>
      <c r="T28" s="1">
        <f t="shared" si="1"/>
        <v>18.217186585135632</v>
      </c>
      <c r="U28" s="1">
        <f t="shared" si="1"/>
        <v>18.342061562422824</v>
      </c>
      <c r="V28" s="1">
        <f t="shared" si="1"/>
        <v>18.465700153796273</v>
      </c>
      <c r="AE28" t="s">
        <v>8</v>
      </c>
      <c r="AF28" t="s">
        <v>10</v>
      </c>
      <c r="AG28" t="s">
        <v>143</v>
      </c>
      <c r="AH28" s="151">
        <v>15.918681861142716</v>
      </c>
    </row>
    <row r="29" spans="1:34">
      <c r="A29" t="s">
        <v>4</v>
      </c>
      <c r="B29" t="s">
        <v>7</v>
      </c>
      <c r="C29" t="s">
        <v>139</v>
      </c>
      <c r="D29" t="s">
        <v>41</v>
      </c>
      <c r="E29">
        <v>209520</v>
      </c>
      <c r="F29">
        <v>2.2758827049670853</v>
      </c>
      <c r="G29" s="2">
        <f>+IFERROR(SECADERO[[#This Row],[KG uva]]/COUNTIFS(SECADERO[Finca],SECADERO[[#This Row],[Finca]],SECADERO[Variedad],SECADERO[[#This Row],[Variedad]],SECADERO[Tipo de Cosecha],SECADERO[[#This Row],[Tipo de Cosecha]]),0)</f>
        <v>19047.272727272728</v>
      </c>
      <c r="AE29" t="s">
        <v>8</v>
      </c>
      <c r="AF29" t="s">
        <v>6</v>
      </c>
      <c r="AH29" s="151"/>
    </row>
    <row r="30" spans="1:34">
      <c r="A30" t="s">
        <v>4</v>
      </c>
      <c r="B30" t="s">
        <v>7</v>
      </c>
      <c r="C30" t="s">
        <v>140</v>
      </c>
      <c r="D30" t="s">
        <v>41</v>
      </c>
      <c r="E30">
        <v>209520</v>
      </c>
      <c r="F30">
        <v>0.29563504916885841</v>
      </c>
      <c r="G30" s="2">
        <f>+IFERROR(SECADERO[[#This Row],[KG uva]]/COUNTIFS(SECADERO[Finca],SECADERO[[#This Row],[Finca]],SECADERO[Variedad],SECADERO[[#This Row],[Variedad]],SECADERO[Tipo de Cosecha],SECADERO[[#This Row],[Tipo de Cosecha]]),0)</f>
        <v>19047.272727272728</v>
      </c>
      <c r="K30" s="2">
        <v>3182.9589352583057</v>
      </c>
      <c r="L30" s="2">
        <v>2759.1802457540734</v>
      </c>
      <c r="M30" s="2">
        <v>0</v>
      </c>
      <c r="N30" s="2">
        <v>0</v>
      </c>
      <c r="O30" s="2">
        <v>227.33912718597591</v>
      </c>
      <c r="P30" s="2">
        <v>0</v>
      </c>
      <c r="Q30" s="2">
        <v>0</v>
      </c>
      <c r="R30" s="2">
        <v>77.333122628509628</v>
      </c>
      <c r="S30" s="2">
        <v>1929.8763890274049</v>
      </c>
      <c r="T30" s="2">
        <v>6390.6875140597813</v>
      </c>
      <c r="U30" s="2">
        <v>5980.5624486976276</v>
      </c>
      <c r="V30" s="2">
        <v>3746.524759836786</v>
      </c>
      <c r="AE30" t="s">
        <v>8</v>
      </c>
      <c r="AF30" t="s">
        <v>6</v>
      </c>
      <c r="AG30" t="s">
        <v>135</v>
      </c>
      <c r="AH30" s="151">
        <v>24.818847256724581</v>
      </c>
    </row>
    <row r="31" spans="1:34">
      <c r="A31" t="s">
        <v>4</v>
      </c>
      <c r="B31" t="s">
        <v>7</v>
      </c>
      <c r="C31" t="s">
        <v>144</v>
      </c>
      <c r="D31" t="s">
        <v>41</v>
      </c>
      <c r="E31">
        <v>209520</v>
      </c>
      <c r="F31">
        <v>0.19721012238124869</v>
      </c>
      <c r="G31" s="2">
        <f>+IFERROR(SECADERO[[#This Row],[KG uva]]/COUNTIFS(SECADERO[Finca],SECADERO[[#This Row],[Finca]],SECADERO[Variedad],SECADERO[[#This Row],[Variedad]],SECADERO[Tipo de Cosecha],SECADERO[[#This Row],[Tipo de Cosecha]]),0)</f>
        <v>19047.272727272728</v>
      </c>
      <c r="J31" t="s">
        <v>480</v>
      </c>
      <c r="K31" s="69">
        <v>350.12548287841361</v>
      </c>
      <c r="L31" s="69">
        <v>303.50982703294807</v>
      </c>
      <c r="M31" s="69">
        <v>0</v>
      </c>
      <c r="N31" s="69">
        <v>0</v>
      </c>
      <c r="O31" s="69">
        <v>25.007303990457352</v>
      </c>
      <c r="P31" s="69">
        <v>0</v>
      </c>
      <c r="Q31" s="69">
        <v>0</v>
      </c>
      <c r="R31" s="69">
        <v>8.5066434891360583</v>
      </c>
      <c r="S31" s="69">
        <v>212.28640279301453</v>
      </c>
      <c r="T31" s="69">
        <v>702.975626546576</v>
      </c>
      <c r="U31" s="69">
        <v>657.86186935673902</v>
      </c>
      <c r="V31" s="69">
        <v>412.11772358204644</v>
      </c>
      <c r="AE31" t="s">
        <v>8</v>
      </c>
      <c r="AF31" t="s">
        <v>6</v>
      </c>
      <c r="AG31" t="s">
        <v>137</v>
      </c>
      <c r="AH31" s="151">
        <v>31.023616242962582</v>
      </c>
    </row>
    <row r="32" spans="1:34">
      <c r="A32" t="s">
        <v>4</v>
      </c>
      <c r="B32" t="s">
        <v>7</v>
      </c>
      <c r="C32" t="s">
        <v>141</v>
      </c>
      <c r="D32" t="s">
        <v>41</v>
      </c>
      <c r="E32">
        <v>209520</v>
      </c>
      <c r="F32">
        <v>8.3460131675201179</v>
      </c>
      <c r="G32" s="2">
        <f>+IFERROR(SECADERO[[#This Row],[KG uva]]/COUNTIFS(SECADERO[Finca],SECADERO[[#This Row],[Finca]],SECADERO[Variedad],SECADERO[[#This Row],[Variedad]],SECADERO[Tipo de Cosecha],SECADERO[[#This Row],[Tipo de Cosecha]]),0)</f>
        <v>19047.272727272728</v>
      </c>
      <c r="J32" t="s">
        <v>473</v>
      </c>
      <c r="K32" s="69">
        <v>2068.9233079178989</v>
      </c>
      <c r="L32" s="69">
        <v>1793.4671597401477</v>
      </c>
      <c r="M32" s="69">
        <v>0</v>
      </c>
      <c r="N32" s="69">
        <v>0</v>
      </c>
      <c r="O32" s="69">
        <v>147.77043267088436</v>
      </c>
      <c r="P32" s="69">
        <v>0</v>
      </c>
      <c r="Q32" s="69">
        <v>0</v>
      </c>
      <c r="R32" s="69">
        <v>50.266529708531259</v>
      </c>
      <c r="S32" s="69">
        <v>1254.4196528678133</v>
      </c>
      <c r="T32" s="69">
        <v>4153.946884138858</v>
      </c>
      <c r="U32" s="69">
        <v>3887.3655916534581</v>
      </c>
      <c r="V32" s="69">
        <v>2435.2410938939111</v>
      </c>
      <c r="AE32" t="s">
        <v>8</v>
      </c>
      <c r="AF32" t="s">
        <v>6</v>
      </c>
      <c r="AG32" t="s">
        <v>142</v>
      </c>
      <c r="AH32" s="151">
        <v>18.200443267203632</v>
      </c>
    </row>
    <row r="33" spans="1:34">
      <c r="A33" t="s">
        <v>4</v>
      </c>
      <c r="B33" t="s">
        <v>7</v>
      </c>
      <c r="C33" t="s">
        <v>146</v>
      </c>
      <c r="D33" t="s">
        <v>41</v>
      </c>
      <c r="E33">
        <v>209520</v>
      </c>
      <c r="F33">
        <v>1.517154255319149</v>
      </c>
      <c r="G33" s="2">
        <f>+IFERROR(SECADERO[[#This Row],[KG uva]]/COUNTIFS(SECADERO[Finca],SECADERO[[#This Row],[Finca]],SECADERO[Variedad],SECADERO[[#This Row],[Variedad]],SECADERO[Tipo de Cosecha],SECADERO[[#This Row],[Tipo de Cosecha]]),0)</f>
        <v>19047.272727272728</v>
      </c>
      <c r="J33" t="s">
        <v>471</v>
      </c>
      <c r="K33" s="69">
        <v>763.91014446199335</v>
      </c>
      <c r="L33" s="69">
        <v>662.20325898097758</v>
      </c>
      <c r="M33" s="69">
        <v>0</v>
      </c>
      <c r="N33" s="69">
        <v>0</v>
      </c>
      <c r="O33" s="69">
        <v>54.56139052463422</v>
      </c>
      <c r="P33" s="69">
        <v>0</v>
      </c>
      <c r="Q33" s="69">
        <v>0</v>
      </c>
      <c r="R33" s="69">
        <v>18.559949430842309</v>
      </c>
      <c r="S33" s="69">
        <v>463.17033336657715</v>
      </c>
      <c r="T33" s="69">
        <v>1533.7650033743475</v>
      </c>
      <c r="U33" s="69">
        <v>1435.3349876874306</v>
      </c>
      <c r="V33" s="69">
        <v>899.16594236082858</v>
      </c>
      <c r="AE33" t="s">
        <v>8</v>
      </c>
      <c r="AF33" t="s">
        <v>6</v>
      </c>
      <c r="AG33" t="s">
        <v>136</v>
      </c>
      <c r="AH33" s="151">
        <v>40.33055990110514</v>
      </c>
    </row>
    <row r="34" spans="1:34">
      <c r="A34" t="s">
        <v>4</v>
      </c>
      <c r="B34" t="s">
        <v>7</v>
      </c>
      <c r="C34" t="s">
        <v>142</v>
      </c>
      <c r="D34" t="s">
        <v>41</v>
      </c>
      <c r="E34">
        <v>209520</v>
      </c>
      <c r="F34">
        <v>1.6408744426866102</v>
      </c>
      <c r="G34" s="2">
        <f>+IFERROR(SECADERO[[#This Row],[KG uva]]/COUNTIFS(SECADERO[Finca],SECADERO[[#This Row],[Finca]],SECADERO[Variedad],SECADERO[[#This Row],[Variedad]],SECADERO[Tipo de Cosecha],SECADERO[[#This Row],[Tipo de Cosecha]]),0)</f>
        <v>19047.272727272728</v>
      </c>
      <c r="K34" s="2">
        <v>2996.594616771049</v>
      </c>
      <c r="L34" s="2">
        <v>2597.6284455132918</v>
      </c>
      <c r="M34" s="2">
        <v>0</v>
      </c>
      <c r="N34" s="2">
        <v>0</v>
      </c>
      <c r="O34" s="2">
        <v>214.02827323992466</v>
      </c>
      <c r="P34" s="2">
        <v>0</v>
      </c>
      <c r="Q34" s="2">
        <v>0</v>
      </c>
      <c r="R34" s="2">
        <v>72.80521793721519</v>
      </c>
      <c r="S34" s="2">
        <v>1816.8808696627946</v>
      </c>
      <c r="T34" s="2">
        <v>6016.5085983251611</v>
      </c>
      <c r="U34" s="2">
        <v>5630.3966226243592</v>
      </c>
      <c r="V34" s="2">
        <v>3527.1632953113394</v>
      </c>
      <c r="AE34" t="s">
        <v>8</v>
      </c>
      <c r="AF34" t="s">
        <v>6</v>
      </c>
      <c r="AG34" t="s">
        <v>138</v>
      </c>
      <c r="AH34" s="151">
        <v>47.368620979280706</v>
      </c>
    </row>
    <row r="35" spans="1:34">
      <c r="A35" t="s">
        <v>8</v>
      </c>
      <c r="B35" t="s">
        <v>6</v>
      </c>
      <c r="C35" t="s">
        <v>130</v>
      </c>
      <c r="D35" t="s">
        <v>41</v>
      </c>
      <c r="E35">
        <v>366060</v>
      </c>
      <c r="F35">
        <v>19.109095249462879</v>
      </c>
      <c r="G35" s="2">
        <f>+IFERROR(SECADERO[[#This Row],[KG uva]]/COUNTIFS(SECADERO[Finca],SECADERO[[#This Row],[Finca]],SECADERO[Variedad],SECADERO[[#This Row],[Variedad]],SECADERO[Tipo de Cosecha],SECADERO[[#This Row],[Tipo de Cosecha]]),0)</f>
        <v>30505</v>
      </c>
      <c r="J35" t="s">
        <v>481</v>
      </c>
      <c r="K35" s="2">
        <v>749.14865419276225</v>
      </c>
      <c r="L35" s="2">
        <v>649.40711137832295</v>
      </c>
      <c r="M35" s="2">
        <v>0</v>
      </c>
      <c r="N35" s="2">
        <v>0</v>
      </c>
      <c r="O35" s="2">
        <v>53.507068309981165</v>
      </c>
      <c r="P35" s="2">
        <v>0</v>
      </c>
      <c r="Q35" s="2">
        <v>0</v>
      </c>
      <c r="R35" s="2">
        <v>18.201304484303797</v>
      </c>
      <c r="S35" s="2">
        <v>454.22021741569864</v>
      </c>
      <c r="T35" s="2">
        <v>1504.1271495812903</v>
      </c>
      <c r="U35" s="2">
        <v>1407.5991556560898</v>
      </c>
      <c r="V35" s="2">
        <v>881.79082382783486</v>
      </c>
      <c r="AE35" t="s">
        <v>8</v>
      </c>
      <c r="AF35" t="s">
        <v>6</v>
      </c>
      <c r="AG35" t="s">
        <v>140</v>
      </c>
      <c r="AH35" s="151">
        <v>3.1023616242962575</v>
      </c>
    </row>
    <row r="36" spans="1:34">
      <c r="A36" t="s">
        <v>8</v>
      </c>
      <c r="B36" t="s">
        <v>6</v>
      </c>
      <c r="C36" t="s">
        <v>135</v>
      </c>
      <c r="D36" t="s">
        <v>41</v>
      </c>
      <c r="E36">
        <v>366060</v>
      </c>
      <c r="F36">
        <v>14.751693584649747</v>
      </c>
      <c r="G36" s="2">
        <f>+IFERROR(SECADERO[[#This Row],[KG uva]]/COUNTIFS(SECADERO[Finca],SECADERO[[#This Row],[Finca]],SECADERO[Variedad],SECADERO[[#This Row],[Variedad]],SECADERO[Tipo de Cosecha],SECADERO[[#This Row],[Tipo de Cosecha]]),0)</f>
        <v>30505</v>
      </c>
      <c r="J36" t="s">
        <v>482</v>
      </c>
      <c r="K36" s="2">
        <v>2247.4459625782865</v>
      </c>
      <c r="L36" s="2">
        <v>1948.2213341349689</v>
      </c>
      <c r="M36" s="2">
        <v>0</v>
      </c>
      <c r="N36" s="2">
        <v>0</v>
      </c>
      <c r="O36" s="2">
        <v>160.52120492994351</v>
      </c>
      <c r="P36" s="2">
        <v>0</v>
      </c>
      <c r="Q36" s="2">
        <v>0</v>
      </c>
      <c r="R36" s="2">
        <v>54.603913452911392</v>
      </c>
      <c r="S36" s="2">
        <v>1362.6606522470959</v>
      </c>
      <c r="T36" s="2">
        <v>4512.3814487438704</v>
      </c>
      <c r="U36" s="2">
        <v>4222.7974669682699</v>
      </c>
      <c r="V36" s="2">
        <v>2645.3724714835043</v>
      </c>
      <c r="AE36" t="s">
        <v>8</v>
      </c>
      <c r="AF36" t="s">
        <v>6</v>
      </c>
      <c r="AG36" t="s">
        <v>139</v>
      </c>
      <c r="AH36" s="151">
        <v>24.818847256724581</v>
      </c>
    </row>
    <row r="37" spans="1:34">
      <c r="A37" t="s">
        <v>8</v>
      </c>
      <c r="B37" t="s">
        <v>6</v>
      </c>
      <c r="C37" t="s">
        <v>143</v>
      </c>
      <c r="D37" t="s">
        <v>41</v>
      </c>
      <c r="E37">
        <v>366060</v>
      </c>
      <c r="F37">
        <v>12.047220867722572</v>
      </c>
      <c r="G37" s="2">
        <f>+IFERROR(SECADERO[[#This Row],[KG uva]]/COUNTIFS(SECADERO[Finca],SECADERO[[#This Row],[Finca]],SECADERO[Variedad],SECADERO[[#This Row],[Variedad]],SECADERO[Tipo de Cosecha],SECADERO[[#This Row],[Tipo de Cosecha]]),0)</f>
        <v>30505</v>
      </c>
      <c r="J37" t="s">
        <v>477</v>
      </c>
      <c r="K37" s="2">
        <v>606.81040989613746</v>
      </c>
      <c r="L37" s="2">
        <v>526.01976021644168</v>
      </c>
      <c r="M37" s="2">
        <v>0</v>
      </c>
      <c r="N37" s="2">
        <v>0</v>
      </c>
      <c r="O37" s="2">
        <v>43.340725331084748</v>
      </c>
      <c r="P37" s="2">
        <v>0</v>
      </c>
      <c r="Q37" s="2">
        <v>0</v>
      </c>
      <c r="R37" s="2">
        <v>14.743056632286077</v>
      </c>
      <c r="S37" s="2">
        <v>367.91837610671593</v>
      </c>
      <c r="T37" s="2">
        <v>1218.342991160845</v>
      </c>
      <c r="U37" s="2">
        <v>1140.1553160814328</v>
      </c>
      <c r="V37" s="2">
        <v>714.25056730054621</v>
      </c>
      <c r="AE37" t="s">
        <v>8</v>
      </c>
      <c r="AF37" t="s">
        <v>6</v>
      </c>
      <c r="AG37" t="s">
        <v>141</v>
      </c>
      <c r="AH37" s="151">
        <v>93.070505697178788</v>
      </c>
    </row>
    <row r="38" spans="1:34">
      <c r="A38" t="s">
        <v>8</v>
      </c>
      <c r="B38" t="s">
        <v>6</v>
      </c>
      <c r="C38" t="s">
        <v>136</v>
      </c>
      <c r="D38" t="s">
        <v>41</v>
      </c>
      <c r="E38">
        <v>366060</v>
      </c>
      <c r="F38">
        <v>23.971462316698329</v>
      </c>
      <c r="G38" s="2">
        <f>+IFERROR(SECADERO[[#This Row],[KG uva]]/COUNTIFS(SECADERO[Finca],SECADERO[[#This Row],[Finca]],SECADERO[Variedad],SECADERO[[#This Row],[Variedad]],SECADERO[Tipo de Cosecha],SECADERO[[#This Row],[Tipo de Cosecha]]),0)</f>
        <v>30505</v>
      </c>
      <c r="J38" t="s">
        <v>483</v>
      </c>
      <c r="K38" s="2">
        <v>1685.5844719337149</v>
      </c>
      <c r="L38" s="2">
        <v>1461.1660006012266</v>
      </c>
      <c r="M38" s="2">
        <v>0</v>
      </c>
      <c r="N38" s="2">
        <v>0</v>
      </c>
      <c r="O38" s="2">
        <v>120.39090369745763</v>
      </c>
      <c r="P38" s="2">
        <v>0</v>
      </c>
      <c r="Q38" s="2">
        <v>0</v>
      </c>
      <c r="R38" s="2">
        <v>40.952935089683542</v>
      </c>
      <c r="S38" s="2">
        <v>1021.995489185322</v>
      </c>
      <c r="T38" s="2">
        <v>3384.2860865579028</v>
      </c>
      <c r="U38" s="2">
        <v>3167.0981002262024</v>
      </c>
      <c r="V38" s="2">
        <v>1984.0293536126283</v>
      </c>
      <c r="AE38" t="s">
        <v>8</v>
      </c>
      <c r="AF38" t="s">
        <v>6</v>
      </c>
      <c r="AG38" t="s">
        <v>144</v>
      </c>
      <c r="AH38" s="151">
        <v>2.0682347304212145</v>
      </c>
    </row>
    <row r="39" spans="1:34">
      <c r="A39" t="s">
        <v>8</v>
      </c>
      <c r="B39" t="s">
        <v>6</v>
      </c>
      <c r="C39" t="s">
        <v>137</v>
      </c>
      <c r="D39" t="s">
        <v>41</v>
      </c>
      <c r="E39">
        <v>366060</v>
      </c>
      <c r="F39">
        <v>18.439650962433312</v>
      </c>
      <c r="G39" s="2">
        <f>+IFERROR(SECADERO[[#This Row],[KG uva]]/COUNTIFS(SECADERO[Finca],SECADERO[[#This Row],[Finca]],SECADERO[Variedad],SECADERO[[#This Row],[Variedad]],SECADERO[Tipo de Cosecha],SECADERO[[#This Row],[Tipo de Cosecha]]),0)</f>
        <v>30505</v>
      </c>
      <c r="AE39" t="s">
        <v>8</v>
      </c>
      <c r="AF39" t="s">
        <v>6</v>
      </c>
      <c r="AG39" t="s">
        <v>130</v>
      </c>
      <c r="AH39" s="151">
        <v>32.14991644783958</v>
      </c>
    </row>
    <row r="40" spans="1:34">
      <c r="A40" t="s">
        <v>8</v>
      </c>
      <c r="B40" t="s">
        <v>6</v>
      </c>
      <c r="C40" t="s">
        <v>138</v>
      </c>
      <c r="D40" t="s">
        <v>41</v>
      </c>
      <c r="E40">
        <v>366060</v>
      </c>
      <c r="F40">
        <v>28.15470738772656</v>
      </c>
      <c r="G40" s="2">
        <f>+IFERROR(SECADERO[[#This Row],[KG uva]]/COUNTIFS(SECADERO[Finca],SECADERO[[#This Row],[Finca]],SECADERO[Variedad],SECADERO[[#This Row],[Variedad]],SECADERO[Tipo de Cosecha],SECADERO[[#This Row],[Tipo de Cosecha]]),0)</f>
        <v>30505</v>
      </c>
      <c r="AE40" t="s">
        <v>8</v>
      </c>
      <c r="AF40" t="s">
        <v>6</v>
      </c>
      <c r="AG40" t="s">
        <v>146</v>
      </c>
      <c r="AH40" s="151">
        <v>19.23459244532803</v>
      </c>
    </row>
    <row r="41" spans="1:34">
      <c r="A41" t="s">
        <v>8</v>
      </c>
      <c r="B41" t="s">
        <v>6</v>
      </c>
      <c r="C41" t="s">
        <v>139</v>
      </c>
      <c r="D41" t="s">
        <v>41</v>
      </c>
      <c r="E41">
        <v>366060</v>
      </c>
      <c r="F41">
        <v>14.751693584649747</v>
      </c>
      <c r="G41" s="2">
        <f>+IFERROR(SECADERO[[#This Row],[KG uva]]/COUNTIFS(SECADERO[Finca],SECADERO[[#This Row],[Finca]],SECADERO[Variedad],SECADERO[[#This Row],[Variedad]],SECADERO[Tipo de Cosecha],SECADERO[[#This Row],[Tipo de Cosecha]]),0)</f>
        <v>30505</v>
      </c>
      <c r="AE41" t="s">
        <v>8</v>
      </c>
      <c r="AF41" t="s">
        <v>6</v>
      </c>
      <c r="AG41" t="s">
        <v>143</v>
      </c>
      <c r="AH41" s="151">
        <v>20.268732730129486</v>
      </c>
    </row>
    <row r="42" spans="1:34">
      <c r="A42" t="s">
        <v>8</v>
      </c>
      <c r="B42" t="s">
        <v>6</v>
      </c>
      <c r="C42" t="s">
        <v>140</v>
      </c>
      <c r="D42" t="s">
        <v>41</v>
      </c>
      <c r="E42">
        <v>366060</v>
      </c>
      <c r="F42">
        <v>1.8439650962433309</v>
      </c>
      <c r="G42" s="2">
        <f>+IFERROR(SECADERO[[#This Row],[KG uva]]/COUNTIFS(SECADERO[Finca],SECADERO[[#This Row],[Finca]],SECADERO[Variedad],SECADERO[[#This Row],[Variedad]],SECADERO[Tipo de Cosecha],SECADERO[[#This Row],[Tipo de Cosecha]]),0)</f>
        <v>30505</v>
      </c>
      <c r="AE42" t="s">
        <v>8</v>
      </c>
      <c r="AF42" t="s">
        <v>9</v>
      </c>
      <c r="AH42" s="151"/>
    </row>
    <row r="43" spans="1:34">
      <c r="A43" t="s">
        <v>8</v>
      </c>
      <c r="B43" t="s">
        <v>6</v>
      </c>
      <c r="C43" t="s">
        <v>144</v>
      </c>
      <c r="D43" t="s">
        <v>41</v>
      </c>
      <c r="E43">
        <v>366060</v>
      </c>
      <c r="F43">
        <v>1.2293062884311785</v>
      </c>
      <c r="G43" s="2">
        <f>+IFERROR(SECADERO[[#This Row],[KG uva]]/COUNTIFS(SECADERO[Finca],SECADERO[[#This Row],[Finca]],SECADERO[Variedad],SECADERO[[#This Row],[Variedad]],SECADERO[Tipo de Cosecha],SECADERO[[#This Row],[Tipo de Cosecha]]),0)</f>
        <v>30505</v>
      </c>
      <c r="AE43" t="s">
        <v>8</v>
      </c>
      <c r="AF43" t="s">
        <v>9</v>
      </c>
      <c r="AG43" t="s">
        <v>135</v>
      </c>
      <c r="AH43" s="151">
        <v>6.0600476193986399</v>
      </c>
    </row>
    <row r="44" spans="1:34">
      <c r="A44" t="s">
        <v>8</v>
      </c>
      <c r="B44" t="s">
        <v>6</v>
      </c>
      <c r="C44" t="s">
        <v>141</v>
      </c>
      <c r="D44" t="s">
        <v>41</v>
      </c>
      <c r="E44">
        <v>366060</v>
      </c>
      <c r="F44">
        <v>55.318748997948909</v>
      </c>
      <c r="G44" s="2">
        <f>+IFERROR(SECADERO[[#This Row],[KG uva]]/COUNTIFS(SECADERO[Finca],SECADERO[[#This Row],[Finca]],SECADERO[Variedad],SECADERO[[#This Row],[Variedad]],SECADERO[Tipo de Cosecha],SECADERO[[#This Row],[Tipo de Cosecha]]),0)</f>
        <v>30505</v>
      </c>
      <c r="AE44" t="s">
        <v>8</v>
      </c>
      <c r="AF44" t="s">
        <v>9</v>
      </c>
      <c r="AG44" t="s">
        <v>137</v>
      </c>
      <c r="AH44" s="151">
        <v>7.5750734840178016</v>
      </c>
    </row>
    <row r="45" spans="1:34">
      <c r="A45" t="s">
        <v>8</v>
      </c>
      <c r="B45" t="s">
        <v>6</v>
      </c>
      <c r="C45" t="s">
        <v>146</v>
      </c>
      <c r="D45" t="s">
        <v>41</v>
      </c>
      <c r="E45">
        <v>366060</v>
      </c>
      <c r="F45">
        <v>11.432554100683255</v>
      </c>
      <c r="G45" s="2">
        <f>+IFERROR(SECADERO[[#This Row],[KG uva]]/COUNTIFS(SECADERO[Finca],SECADERO[[#This Row],[Finca]],SECADERO[Variedad],SECADERO[[#This Row],[Variedad]],SECADERO[Tipo de Cosecha],SECADERO[[#This Row],[Tipo de Cosecha]]),0)</f>
        <v>30505</v>
      </c>
      <c r="AE45" t="s">
        <v>8</v>
      </c>
      <c r="AF45" t="s">
        <v>9</v>
      </c>
      <c r="AG45" t="s">
        <v>142</v>
      </c>
      <c r="AH45" s="151">
        <v>4.4440240012973673</v>
      </c>
    </row>
    <row r="46" spans="1:34">
      <c r="A46" t="s">
        <v>8</v>
      </c>
      <c r="B46" t="s">
        <v>6</v>
      </c>
      <c r="C46" t="s">
        <v>142</v>
      </c>
      <c r="D46" t="s">
        <v>41</v>
      </c>
      <c r="E46">
        <v>366060</v>
      </c>
      <c r="F46">
        <v>10.817882047678252</v>
      </c>
      <c r="G46" s="2">
        <f>+IFERROR(SECADERO[[#This Row],[KG uva]]/COUNTIFS(SECADERO[Finca],SECADERO[[#This Row],[Finca]],SECADERO[Variedad],SECADERO[[#This Row],[Variedad]],SECADERO[Tipo de Cosecha],SECADERO[[#This Row],[Tipo de Cosecha]]),0)</f>
        <v>30505</v>
      </c>
      <c r="AE46" t="s">
        <v>8</v>
      </c>
      <c r="AF46" t="s">
        <v>9</v>
      </c>
      <c r="AG46" t="s">
        <v>136</v>
      </c>
      <c r="AH46" s="151">
        <v>9.8475610486496592</v>
      </c>
    </row>
    <row r="47" spans="1:34">
      <c r="A47" t="s">
        <v>8</v>
      </c>
      <c r="B47" t="s">
        <v>7</v>
      </c>
      <c r="C47" t="s">
        <v>130</v>
      </c>
      <c r="D47" t="s">
        <v>41</v>
      </c>
      <c r="E47">
        <v>347400</v>
      </c>
      <c r="F47">
        <v>21.938667232597624</v>
      </c>
      <c r="G47" s="2">
        <f>+IFERROR(SECADERO[[#This Row],[KG uva]]/COUNTIFS(SECADERO[Finca],SECADERO[[#This Row],[Finca]],SECADERO[Variedad],SECADERO[[#This Row],[Variedad]],SECADERO[Tipo de Cosecha],SECADERO[[#This Row],[Tipo de Cosecha]]),0)</f>
        <v>28950</v>
      </c>
      <c r="AE47" t="s">
        <v>8</v>
      </c>
      <c r="AF47" t="s">
        <v>9</v>
      </c>
      <c r="AG47" t="s">
        <v>138</v>
      </c>
      <c r="AH47" s="151">
        <v>11.566052840020991</v>
      </c>
    </row>
    <row r="48" spans="1:34">
      <c r="A48" t="s">
        <v>8</v>
      </c>
      <c r="B48" t="s">
        <v>7</v>
      </c>
      <c r="C48" t="s">
        <v>135</v>
      </c>
      <c r="D48" t="s">
        <v>41</v>
      </c>
      <c r="E48">
        <v>347400</v>
      </c>
      <c r="F48">
        <v>18.28850279008396</v>
      </c>
      <c r="G48" s="2">
        <f>+IFERROR(SECADERO[[#This Row],[KG uva]]/COUNTIFS(SECADERO[Finca],SECADERO[[#This Row],[Finca]],SECADERO[Variedad],SECADERO[[#This Row],[Variedad]],SECADERO[Tipo de Cosecha],SECADERO[[#This Row],[Tipo de Cosecha]]),0)</f>
        <v>28950</v>
      </c>
      <c r="AE48" t="s">
        <v>8</v>
      </c>
      <c r="AF48" t="s">
        <v>9</v>
      </c>
      <c r="AG48" t="s">
        <v>140</v>
      </c>
      <c r="AH48" s="151">
        <v>0.75750734840178013</v>
      </c>
    </row>
    <row r="49" spans="1:34">
      <c r="A49" t="s">
        <v>8</v>
      </c>
      <c r="B49" t="s">
        <v>7</v>
      </c>
      <c r="C49" t="s">
        <v>143</v>
      </c>
      <c r="D49" t="s">
        <v>41</v>
      </c>
      <c r="E49">
        <v>347400</v>
      </c>
      <c r="F49">
        <v>14.935616116739808</v>
      </c>
      <c r="G49" s="2">
        <f>+IFERROR(SECADERO[[#This Row],[KG uva]]/COUNTIFS(SECADERO[Finca],SECADERO[[#This Row],[Finca]],SECADERO[Variedad],SECADERO[[#This Row],[Variedad]],SECADERO[Tipo de Cosecha],SECADERO[[#This Row],[Tipo de Cosecha]]),0)</f>
        <v>28950</v>
      </c>
      <c r="AE49" t="s">
        <v>8</v>
      </c>
      <c r="AF49" t="s">
        <v>9</v>
      </c>
      <c r="AG49" t="s">
        <v>139</v>
      </c>
      <c r="AH49" s="151">
        <v>6.0600476193986399</v>
      </c>
    </row>
    <row r="50" spans="1:34">
      <c r="A50" t="s">
        <v>8</v>
      </c>
      <c r="B50" t="s">
        <v>7</v>
      </c>
      <c r="C50" t="s">
        <v>136</v>
      </c>
      <c r="D50" t="s">
        <v>41</v>
      </c>
      <c r="E50">
        <v>347400</v>
      </c>
      <c r="F50">
        <v>29.718767743218343</v>
      </c>
      <c r="G50" s="2">
        <f>+IFERROR(SECADERO[[#This Row],[KG uva]]/COUNTIFS(SECADERO[Finca],SECADERO[[#This Row],[Finca]],SECADERO[Variedad],SECADERO[[#This Row],[Variedad]],SECADERO[Tipo de Cosecha],SECADERO[[#This Row],[Tipo de Cosecha]]),0)</f>
        <v>28950</v>
      </c>
      <c r="AE50" t="s">
        <v>8</v>
      </c>
      <c r="AF50" t="s">
        <v>9</v>
      </c>
      <c r="AG50" t="s">
        <v>141</v>
      </c>
      <c r="AH50" s="151">
        <v>22.725136693590745</v>
      </c>
    </row>
    <row r="51" spans="1:34">
      <c r="A51" t="s">
        <v>8</v>
      </c>
      <c r="B51" t="s">
        <v>7</v>
      </c>
      <c r="C51" t="s">
        <v>137</v>
      </c>
      <c r="D51" t="s">
        <v>41</v>
      </c>
      <c r="E51">
        <v>347400</v>
      </c>
      <c r="F51">
        <v>22.860670616528605</v>
      </c>
      <c r="G51" s="2">
        <f>+IFERROR(SECADERO[[#This Row],[KG uva]]/COUNTIFS(SECADERO[Finca],SECADERO[[#This Row],[Finca]],SECADERO[Variedad],SECADERO[[#This Row],[Variedad]],SECADERO[Tipo de Cosecha],SECADERO[[#This Row],[Tipo de Cosecha]]),0)</f>
        <v>28950</v>
      </c>
      <c r="AE51" t="s">
        <v>8</v>
      </c>
      <c r="AF51" t="s">
        <v>9</v>
      </c>
      <c r="AG51" t="s">
        <v>144</v>
      </c>
      <c r="AH51" s="151">
        <v>0.50500334785092538</v>
      </c>
    </row>
    <row r="52" spans="1:34">
      <c r="A52" t="s">
        <v>8</v>
      </c>
      <c r="B52" t="s">
        <v>7</v>
      </c>
      <c r="C52" t="s">
        <v>138</v>
      </c>
      <c r="D52" t="s">
        <v>41</v>
      </c>
      <c r="E52">
        <v>347400</v>
      </c>
      <c r="F52">
        <v>34.904971531555866</v>
      </c>
      <c r="G52" s="2">
        <f>+IFERROR(SECADERO[[#This Row],[KG uva]]/COUNTIFS(SECADERO[Finca],SECADERO[[#This Row],[Finca]],SECADERO[Variedad],SECADERO[[#This Row],[Variedad]],SECADERO[Tipo de Cosecha],SECADERO[[#This Row],[Tipo de Cosecha]]),0)</f>
        <v>28950</v>
      </c>
      <c r="AE52" t="s">
        <v>8</v>
      </c>
      <c r="AF52" t="s">
        <v>9</v>
      </c>
      <c r="AG52" t="s">
        <v>130</v>
      </c>
      <c r="AH52" s="151">
        <v>7.8500835521604202</v>
      </c>
    </row>
    <row r="53" spans="1:34">
      <c r="A53" t="s">
        <v>8</v>
      </c>
      <c r="B53" t="s">
        <v>7</v>
      </c>
      <c r="C53" t="s">
        <v>139</v>
      </c>
      <c r="D53" t="s">
        <v>41</v>
      </c>
      <c r="E53">
        <v>347400</v>
      </c>
      <c r="F53">
        <v>18.28850279008396</v>
      </c>
      <c r="G53" s="2">
        <f>+IFERROR(SECADERO[[#This Row],[KG uva]]/COUNTIFS(SECADERO[Finca],SECADERO[[#This Row],[Finca]],SECADERO[Variedad],SECADERO[[#This Row],[Variedad]],SECADERO[Tipo de Cosecha],SECADERO[[#This Row],[Tipo de Cosecha]]),0)</f>
        <v>28950</v>
      </c>
      <c r="AE53" t="s">
        <v>8</v>
      </c>
      <c r="AF53" t="s">
        <v>9</v>
      </c>
      <c r="AG53" t="s">
        <v>146</v>
      </c>
      <c r="AH53" s="151">
        <v>4.6965334430200407</v>
      </c>
    </row>
    <row r="54" spans="1:34">
      <c r="A54" t="s">
        <v>8</v>
      </c>
      <c r="B54" t="s">
        <v>7</v>
      </c>
      <c r="C54" t="s">
        <v>140</v>
      </c>
      <c r="D54" t="s">
        <v>41</v>
      </c>
      <c r="E54">
        <v>347400</v>
      </c>
      <c r="F54">
        <v>2.2860670616528607</v>
      </c>
      <c r="G54" s="2">
        <f>+IFERROR(SECADERO[[#This Row],[KG uva]]/COUNTIFS(SECADERO[Finca],SECADERO[[#This Row],[Finca]],SECADERO[Variedad],SECADERO[[#This Row],[Variedad]],SECADERO[Tipo de Cosecha],SECADERO[[#This Row],[Tipo de Cosecha]]),0)</f>
        <v>28950</v>
      </c>
      <c r="AE54" t="s">
        <v>8</v>
      </c>
      <c r="AF54" t="s">
        <v>9</v>
      </c>
      <c r="AG54" t="s">
        <v>143</v>
      </c>
      <c r="AH54" s="151">
        <v>4.9490407132494143</v>
      </c>
    </row>
    <row r="55" spans="1:34">
      <c r="A55" t="s">
        <v>8</v>
      </c>
      <c r="B55" t="s">
        <v>7</v>
      </c>
      <c r="C55" t="s">
        <v>144</v>
      </c>
      <c r="D55" t="s">
        <v>41</v>
      </c>
      <c r="E55">
        <v>347400</v>
      </c>
      <c r="F55">
        <v>1.5240400267828074</v>
      </c>
      <c r="G55" s="2">
        <f>+IFERROR(SECADERO[[#This Row],[KG uva]]/COUNTIFS(SECADERO[Finca],SECADERO[[#This Row],[Finca]],SECADERO[Variedad],SECADERO[[#This Row],[Variedad]],SECADERO[Tipo de Cosecha],SECADERO[[#This Row],[Tipo de Cosecha]]),0)</f>
        <v>28950</v>
      </c>
      <c r="AE55" t="s">
        <v>8</v>
      </c>
      <c r="AF55" t="s">
        <v>11</v>
      </c>
      <c r="AH55" s="151"/>
    </row>
    <row r="56" spans="1:34">
      <c r="A56" t="s">
        <v>8</v>
      </c>
      <c r="B56" t="s">
        <v>7</v>
      </c>
      <c r="C56" t="s">
        <v>141</v>
      </c>
      <c r="D56" t="s">
        <v>41</v>
      </c>
      <c r="E56">
        <v>347400</v>
      </c>
      <c r="F56">
        <v>68.581759076509712</v>
      </c>
      <c r="G56" s="2">
        <f>+IFERROR(SECADERO[[#This Row],[KG uva]]/COUNTIFS(SECADERO[Finca],SECADERO[[#This Row],[Finca]],SECADERO[Variedad],SECADERO[[#This Row],[Variedad]],SECADERO[Tipo de Cosecha],SECADERO[[#This Row],[Tipo de Cosecha]]),0)</f>
        <v>28950</v>
      </c>
      <c r="AE56" t="s">
        <v>8</v>
      </c>
      <c r="AF56" t="s">
        <v>11</v>
      </c>
      <c r="AG56" t="s">
        <v>135</v>
      </c>
      <c r="AH56" s="151">
        <v>3.0208095297768671</v>
      </c>
    </row>
    <row r="57" spans="1:34">
      <c r="A57" t="s">
        <v>8</v>
      </c>
      <c r="B57" t="s">
        <v>7</v>
      </c>
      <c r="C57" t="s">
        <v>146</v>
      </c>
      <c r="D57" t="s">
        <v>41</v>
      </c>
      <c r="E57">
        <v>347400</v>
      </c>
      <c r="F57">
        <v>14.173579214368958</v>
      </c>
      <c r="G57" s="2">
        <f>+IFERROR(SECADERO[[#This Row],[KG uva]]/COUNTIFS(SECADERO[Finca],SECADERO[[#This Row],[Finca]],SECADERO[Variedad],SECADERO[[#This Row],[Variedad]],SECADERO[Tipo de Cosecha],SECADERO[[#This Row],[Tipo de Cosecha]]),0)</f>
        <v>28950</v>
      </c>
      <c r="AE57" t="s">
        <v>8</v>
      </c>
      <c r="AF57" t="s">
        <v>11</v>
      </c>
      <c r="AG57" t="s">
        <v>137</v>
      </c>
      <c r="AH57" s="151">
        <v>3.7760188708800575</v>
      </c>
    </row>
    <row r="58" spans="1:34">
      <c r="A58" t="s">
        <v>8</v>
      </c>
      <c r="B58" t="s">
        <v>7</v>
      </c>
      <c r="C58" t="s">
        <v>142</v>
      </c>
      <c r="D58" t="s">
        <v>41</v>
      </c>
      <c r="E58">
        <v>347400</v>
      </c>
      <c r="F58">
        <v>13.411535758689659</v>
      </c>
      <c r="G58" s="2">
        <f>+IFERROR(SECADERO[[#This Row],[KG uva]]/COUNTIFS(SECADERO[Finca],SECADERO[[#This Row],[Finca]],SECADERO[Variedad],SECADERO[[#This Row],[Variedad]],SECADERO[Tipo de Cosecha],SECADERO[[#This Row],[Tipo de Cosecha]]),0)</f>
        <v>28950</v>
      </c>
      <c r="AE58" t="s">
        <v>8</v>
      </c>
      <c r="AF58" t="s">
        <v>11</v>
      </c>
      <c r="AG58" t="s">
        <v>142</v>
      </c>
      <c r="AH58" s="151">
        <v>2.2152548786420887</v>
      </c>
    </row>
    <row r="59" spans="1:34">
      <c r="A59" t="s">
        <v>8</v>
      </c>
      <c r="B59" t="s">
        <v>9</v>
      </c>
      <c r="C59" t="s">
        <v>130</v>
      </c>
      <c r="D59" t="s">
        <v>42</v>
      </c>
      <c r="E59">
        <v>86700</v>
      </c>
      <c r="F59">
        <v>7.8500835521604202</v>
      </c>
      <c r="G59" s="2">
        <f>+IFERROR(SECADERO[[#This Row],[KG uva]]/COUNTIFS(SECADERO[Finca],SECADERO[[#This Row],[Finca]],SECADERO[Variedad],SECADERO[[#This Row],[Variedad]],SECADERO[Tipo de Cosecha],SECADERO[[#This Row],[Tipo de Cosecha]]),0)</f>
        <v>7225</v>
      </c>
      <c r="AE59" t="s">
        <v>8</v>
      </c>
      <c r="AF59" t="s">
        <v>11</v>
      </c>
      <c r="AG59" t="s">
        <v>136</v>
      </c>
      <c r="AH59" s="151">
        <v>4.9088073442849165</v>
      </c>
    </row>
    <row r="60" spans="1:34">
      <c r="A60" t="s">
        <v>8</v>
      </c>
      <c r="B60" t="s">
        <v>9</v>
      </c>
      <c r="C60" t="s">
        <v>135</v>
      </c>
      <c r="D60" t="s">
        <v>42</v>
      </c>
      <c r="E60">
        <v>86700</v>
      </c>
      <c r="F60">
        <v>6.0600476193986399</v>
      </c>
      <c r="G60" s="2">
        <f>+IFERROR(SECADERO[[#This Row],[KG uva]]/COUNTIFS(SECADERO[Finca],SECADERO[[#This Row],[Finca]],SECADERO[Variedad],SECADERO[[#This Row],[Variedad]],SECADERO[Tipo de Cosecha],SECADERO[[#This Row],[Tipo de Cosecha]]),0)</f>
        <v>7225</v>
      </c>
      <c r="AE60" t="s">
        <v>8</v>
      </c>
      <c r="AF60" t="s">
        <v>11</v>
      </c>
      <c r="AG60" t="s">
        <v>138</v>
      </c>
      <c r="AH60" s="151">
        <v>5.765440279577426</v>
      </c>
    </row>
    <row r="61" spans="1:34">
      <c r="A61" t="s">
        <v>8</v>
      </c>
      <c r="B61" t="s">
        <v>9</v>
      </c>
      <c r="C61" t="s">
        <v>143</v>
      </c>
      <c r="D61" t="s">
        <v>42</v>
      </c>
      <c r="E61">
        <v>86700</v>
      </c>
      <c r="F61">
        <v>4.9490407132494143</v>
      </c>
      <c r="G61" s="2">
        <f>+IFERROR(SECADERO[[#This Row],[KG uva]]/COUNTIFS(SECADERO[Finca],SECADERO[[#This Row],[Finca]],SECADERO[Variedad],SECADERO[[#This Row],[Variedad]],SECADERO[Tipo de Cosecha],SECADERO[[#This Row],[Tipo de Cosecha]]),0)</f>
        <v>7225</v>
      </c>
      <c r="AE61" t="s">
        <v>8</v>
      </c>
      <c r="AF61" t="s">
        <v>11</v>
      </c>
      <c r="AG61" t="s">
        <v>140</v>
      </c>
      <c r="AH61" s="151">
        <v>0.37760188708800574</v>
      </c>
    </row>
    <row r="62" spans="1:34">
      <c r="A62" t="s">
        <v>8</v>
      </c>
      <c r="B62" t="s">
        <v>9</v>
      </c>
      <c r="C62" t="s">
        <v>136</v>
      </c>
      <c r="D62" t="s">
        <v>42</v>
      </c>
      <c r="E62">
        <v>86700</v>
      </c>
      <c r="F62">
        <v>9.8475610486496592</v>
      </c>
      <c r="G62" s="2">
        <f>+IFERROR(SECADERO[[#This Row],[KG uva]]/COUNTIFS(SECADERO[Finca],SECADERO[[#This Row],[Finca]],SECADERO[Variedad],SECADERO[[#This Row],[Variedad]],SECADERO[Tipo de Cosecha],SECADERO[[#This Row],[Tipo de Cosecha]]),0)</f>
        <v>7225</v>
      </c>
      <c r="AE62" t="s">
        <v>8</v>
      </c>
      <c r="AF62" t="s">
        <v>11</v>
      </c>
      <c r="AG62" t="s">
        <v>139</v>
      </c>
      <c r="AH62" s="151">
        <v>3.0208095297768671</v>
      </c>
    </row>
    <row r="63" spans="1:34">
      <c r="A63" t="s">
        <v>8</v>
      </c>
      <c r="B63" t="s">
        <v>9</v>
      </c>
      <c r="C63" t="s">
        <v>137</v>
      </c>
      <c r="D63" t="s">
        <v>42</v>
      </c>
      <c r="E63">
        <v>86700</v>
      </c>
      <c r="F63">
        <v>7.5750734840178016</v>
      </c>
      <c r="G63" s="2">
        <f>+IFERROR(SECADERO[[#This Row],[KG uva]]/COUNTIFS(SECADERO[Finca],SECADERO[[#This Row],[Finca]],SECADERO[Variedad],SECADERO[[#This Row],[Variedad]],SECADERO[Tipo de Cosecha],SECADERO[[#This Row],[Tipo de Cosecha]]),0)</f>
        <v>7225</v>
      </c>
      <c r="AE63" t="s">
        <v>8</v>
      </c>
      <c r="AF63" t="s">
        <v>11</v>
      </c>
      <c r="AG63" t="s">
        <v>141</v>
      </c>
      <c r="AH63" s="151">
        <v>11.328014860763274</v>
      </c>
    </row>
    <row r="64" spans="1:34">
      <c r="A64" t="s">
        <v>8</v>
      </c>
      <c r="B64" t="s">
        <v>9</v>
      </c>
      <c r="C64" t="s">
        <v>138</v>
      </c>
      <c r="D64" t="s">
        <v>42</v>
      </c>
      <c r="E64">
        <v>86700</v>
      </c>
      <c r="F64">
        <v>11.566052840020991</v>
      </c>
      <c r="G64" s="2">
        <f>+IFERROR(SECADERO[[#This Row],[KG uva]]/COUNTIFS(SECADERO[Finca],SECADERO[[#This Row],[Finca]],SECADERO[Variedad],SECADERO[[#This Row],[Variedad]],SECADERO[Tipo de Cosecha],SECADERO[[#This Row],[Tipo de Cosecha]]),0)</f>
        <v>7225</v>
      </c>
      <c r="AE64" t="s">
        <v>8</v>
      </c>
      <c r="AF64" t="s">
        <v>11</v>
      </c>
      <c r="AG64" t="s">
        <v>144</v>
      </c>
      <c r="AH64" s="151">
        <v>0.25173381820862334</v>
      </c>
    </row>
    <row r="65" spans="1:34">
      <c r="A65" t="s">
        <v>8</v>
      </c>
      <c r="B65" t="s">
        <v>9</v>
      </c>
      <c r="C65" t="s">
        <v>139</v>
      </c>
      <c r="D65" t="s">
        <v>42</v>
      </c>
      <c r="E65">
        <v>86700</v>
      </c>
      <c r="F65">
        <v>6.0600476193986399</v>
      </c>
      <c r="G65" s="2">
        <f>+IFERROR(SECADERO[[#This Row],[KG uva]]/COUNTIFS(SECADERO[Finca],SECADERO[[#This Row],[Finca]],SECADERO[Variedad],SECADERO[[#This Row],[Variedad]],SECADERO[Tipo de Cosecha],SECADERO[[#This Row],[Tipo de Cosecha]]),0)</f>
        <v>7225</v>
      </c>
      <c r="AE65" t="s">
        <v>8</v>
      </c>
      <c r="AF65" t="s">
        <v>11</v>
      </c>
      <c r="AG65" t="s">
        <v>130</v>
      </c>
      <c r="AH65" s="151">
        <v>2.6836056448708296</v>
      </c>
    </row>
    <row r="66" spans="1:34">
      <c r="A66" t="s">
        <v>8</v>
      </c>
      <c r="B66" t="s">
        <v>9</v>
      </c>
      <c r="C66" t="s">
        <v>140</v>
      </c>
      <c r="D66" t="s">
        <v>42</v>
      </c>
      <c r="E66">
        <v>86700</v>
      </c>
      <c r="F66">
        <v>0.75750734840178013</v>
      </c>
      <c r="G66" s="2">
        <f>+IFERROR(SECADERO[[#This Row],[KG uva]]/COUNTIFS(SECADERO[Finca],SECADERO[[#This Row],[Finca]],SECADERO[Variedad],SECADERO[[#This Row],[Variedad]],SECADERO[Tipo de Cosecha],SECADERO[[#This Row],[Tipo de Cosecha]]),0)</f>
        <v>7225</v>
      </c>
      <c r="AE66" t="s">
        <v>8</v>
      </c>
      <c r="AF66" t="s">
        <v>11</v>
      </c>
      <c r="AG66" t="s">
        <v>146</v>
      </c>
      <c r="AH66" s="151">
        <v>2.3411256598340988</v>
      </c>
    </row>
    <row r="67" spans="1:34">
      <c r="A67" t="s">
        <v>8</v>
      </c>
      <c r="B67" t="s">
        <v>9</v>
      </c>
      <c r="C67" t="s">
        <v>144</v>
      </c>
      <c r="D67" t="s">
        <v>42</v>
      </c>
      <c r="E67">
        <v>86700</v>
      </c>
      <c r="F67">
        <v>0.50500334785092538</v>
      </c>
      <c r="G67" s="2">
        <f>+IFERROR(SECADERO[[#This Row],[KG uva]]/COUNTIFS(SECADERO[Finca],SECADERO[[#This Row],[Finca]],SECADERO[Variedad],SECADERO[[#This Row],[Variedad]],SECADERO[Tipo de Cosecha],SECADERO[[#This Row],[Tipo de Cosecha]]),0)</f>
        <v>7225</v>
      </c>
      <c r="AE67" t="s">
        <v>8</v>
      </c>
      <c r="AF67" t="s">
        <v>11</v>
      </c>
      <c r="AG67" t="s">
        <v>143</v>
      </c>
      <c r="AH67" s="151">
        <v>2.4669953585812068</v>
      </c>
    </row>
    <row r="68" spans="1:34">
      <c r="A68" t="s">
        <v>8</v>
      </c>
      <c r="B68" t="s">
        <v>9</v>
      </c>
      <c r="C68" t="s">
        <v>141</v>
      </c>
      <c r="D68" t="s">
        <v>42</v>
      </c>
      <c r="E68">
        <v>86700</v>
      </c>
      <c r="F68">
        <v>22.725136693590745</v>
      </c>
      <c r="G68" s="2">
        <f>+IFERROR(SECADERO[[#This Row],[KG uva]]/COUNTIFS(SECADERO[Finca],SECADERO[[#This Row],[Finca]],SECADERO[Variedad],SECADERO[[#This Row],[Variedad]],SECADERO[Tipo de Cosecha],SECADERO[[#This Row],[Tipo de Cosecha]]),0)</f>
        <v>7225</v>
      </c>
      <c r="AE68" t="s">
        <v>13</v>
      </c>
      <c r="AH68" s="151"/>
    </row>
    <row r="69" spans="1:34">
      <c r="A69" t="s">
        <v>8</v>
      </c>
      <c r="B69" t="s">
        <v>9</v>
      </c>
      <c r="C69" t="s">
        <v>146</v>
      </c>
      <c r="D69" t="s">
        <v>42</v>
      </c>
      <c r="E69">
        <v>86700</v>
      </c>
      <c r="F69">
        <v>4.6965334430200407</v>
      </c>
      <c r="G69" s="2">
        <f>+IFERROR(SECADERO[[#This Row],[KG uva]]/COUNTIFS(SECADERO[Finca],SECADERO[[#This Row],[Finca]],SECADERO[Variedad],SECADERO[[#This Row],[Variedad]],SECADERO[Tipo de Cosecha],SECADERO[[#This Row],[Tipo de Cosecha]]),0)</f>
        <v>7225</v>
      </c>
      <c r="AE69" t="s">
        <v>13</v>
      </c>
      <c r="AF69" t="s">
        <v>6</v>
      </c>
      <c r="AH69" s="151"/>
    </row>
    <row r="70" spans="1:34">
      <c r="A70" t="s">
        <v>8</v>
      </c>
      <c r="B70" t="s">
        <v>9</v>
      </c>
      <c r="C70" t="s">
        <v>142</v>
      </c>
      <c r="D70" t="s">
        <v>42</v>
      </c>
      <c r="E70">
        <v>86700</v>
      </c>
      <c r="F70">
        <v>4.4440240012973673</v>
      </c>
      <c r="G70" s="2">
        <f>+IFERROR(SECADERO[[#This Row],[KG uva]]/COUNTIFS(SECADERO[Finca],SECADERO[[#This Row],[Finca]],SECADERO[Variedad],SECADERO[[#This Row],[Variedad]],SECADERO[Tipo de Cosecha],SECADERO[[#This Row],[Tipo de Cosecha]]),0)</f>
        <v>7225</v>
      </c>
      <c r="AE70" t="s">
        <v>13</v>
      </c>
      <c r="AF70" t="s">
        <v>6</v>
      </c>
      <c r="AG70" t="s">
        <v>135</v>
      </c>
      <c r="AH70" s="151">
        <v>12.023133535745517</v>
      </c>
    </row>
    <row r="71" spans="1:34">
      <c r="A71" t="s">
        <v>8</v>
      </c>
      <c r="B71" t="s">
        <v>10</v>
      </c>
      <c r="C71" t="s">
        <v>130</v>
      </c>
      <c r="D71" t="s">
        <v>42</v>
      </c>
      <c r="E71">
        <v>555850</v>
      </c>
      <c r="F71">
        <v>13.824694672735014</v>
      </c>
      <c r="G71" s="2">
        <f>+IFERROR(SECADERO[[#This Row],[KG uva]]/COUNTIFS(SECADERO[Finca],SECADERO[[#This Row],[Finca]],SECADERO[Variedad],SECADERO[[#This Row],[Variedad]],SECADERO[Tipo de Cosecha],SECADERO[[#This Row],[Tipo de Cosecha]]),0)</f>
        <v>46320.833333333336</v>
      </c>
      <c r="AE71" t="s">
        <v>13</v>
      </c>
      <c r="AF71" t="s">
        <v>6</v>
      </c>
      <c r="AG71" t="s">
        <v>137</v>
      </c>
      <c r="AH71" s="151">
        <v>24.254996971532403</v>
      </c>
    </row>
    <row r="72" spans="1:34">
      <c r="A72" t="s">
        <v>8</v>
      </c>
      <c r="B72" t="s">
        <v>10</v>
      </c>
      <c r="C72" t="s">
        <v>135</v>
      </c>
      <c r="D72" t="s">
        <v>42</v>
      </c>
      <c r="E72">
        <v>555850</v>
      </c>
      <c r="F72">
        <v>15.561813075431782</v>
      </c>
      <c r="G72" s="2">
        <f>+IFERROR(SECADERO[[#This Row],[KG uva]]/COUNTIFS(SECADERO[Finca],SECADERO[[#This Row],[Finca]],SECADERO[Variedad],SECADERO[[#This Row],[Variedad]],SECADERO[Tipo de Cosecha],SECADERO[[#This Row],[Tipo de Cosecha]]),0)</f>
        <v>46320.833333333336</v>
      </c>
      <c r="AE72" t="s">
        <v>13</v>
      </c>
      <c r="AF72" t="s">
        <v>6</v>
      </c>
      <c r="AG72" t="s">
        <v>142</v>
      </c>
      <c r="AH72" s="151">
        <v>6.2188557352036229</v>
      </c>
    </row>
    <row r="73" spans="1:34">
      <c r="A73" t="s">
        <v>8</v>
      </c>
      <c r="B73" t="s">
        <v>10</v>
      </c>
      <c r="C73" t="s">
        <v>143</v>
      </c>
      <c r="D73" t="s">
        <v>42</v>
      </c>
      <c r="E73">
        <v>555850</v>
      </c>
      <c r="F73">
        <v>12.708818695707139</v>
      </c>
      <c r="G73" s="2">
        <f>+IFERROR(SECADERO[[#This Row],[KG uva]]/COUNTIFS(SECADERO[Finca],SECADERO[[#This Row],[Finca]],SECADERO[Variedad],SECADERO[[#This Row],[Variedad]],SECADERO[Tipo de Cosecha],SECADERO[[#This Row],[Tipo de Cosecha]]),0)</f>
        <v>46320.833333333336</v>
      </c>
      <c r="AE73" t="s">
        <v>13</v>
      </c>
      <c r="AF73" t="s">
        <v>6</v>
      </c>
      <c r="AG73" t="s">
        <v>136</v>
      </c>
      <c r="AH73" s="151">
        <v>40.423974763406939</v>
      </c>
    </row>
    <row r="74" spans="1:34">
      <c r="A74" t="s">
        <v>8</v>
      </c>
      <c r="B74" t="s">
        <v>10</v>
      </c>
      <c r="C74" t="s">
        <v>136</v>
      </c>
      <c r="D74" t="s">
        <v>42</v>
      </c>
      <c r="E74">
        <v>555850</v>
      </c>
      <c r="F74">
        <v>25.287904305807437</v>
      </c>
      <c r="G74" s="2">
        <f>+IFERROR(SECADERO[[#This Row],[KG uva]]/COUNTIFS(SECADERO[Finca],SECADERO[[#This Row],[Finca]],SECADERO[Variedad],SECADERO[[#This Row],[Variedad]],SECADERO[Tipo de Cosecha],SECADERO[[#This Row],[Tipo de Cosecha]]),0)</f>
        <v>46320.833333333336</v>
      </c>
      <c r="AE74" t="s">
        <v>13</v>
      </c>
      <c r="AF74" t="s">
        <v>6</v>
      </c>
      <c r="AG74" t="s">
        <v>138</v>
      </c>
      <c r="AH74" s="151">
        <v>30.265184079507989</v>
      </c>
    </row>
    <row r="75" spans="1:34">
      <c r="A75" t="s">
        <v>8</v>
      </c>
      <c r="B75" t="s">
        <v>10</v>
      </c>
      <c r="C75" t="s">
        <v>137</v>
      </c>
      <c r="D75" t="s">
        <v>42</v>
      </c>
      <c r="E75">
        <v>555850</v>
      </c>
      <c r="F75">
        <v>19.452302192081234</v>
      </c>
      <c r="G75" s="2">
        <f>+IFERROR(SECADERO[[#This Row],[KG uva]]/COUNTIFS(SECADERO[Finca],SECADERO[[#This Row],[Finca]],SECADERO[Variedad],SECADERO[[#This Row],[Variedad]],SECADERO[Tipo de Cosecha],SECADERO[[#This Row],[Tipo de Cosecha]]),0)</f>
        <v>46320.833333333336</v>
      </c>
      <c r="AE75" t="s">
        <v>13</v>
      </c>
      <c r="AF75" t="s">
        <v>6</v>
      </c>
      <c r="AG75" t="s">
        <v>140</v>
      </c>
      <c r="AH75" s="151">
        <v>4.5604924352426019</v>
      </c>
    </row>
    <row r="76" spans="1:34">
      <c r="A76" t="s">
        <v>8</v>
      </c>
      <c r="B76" t="s">
        <v>10</v>
      </c>
      <c r="C76" t="s">
        <v>138</v>
      </c>
      <c r="D76" t="s">
        <v>42</v>
      </c>
      <c r="E76">
        <v>555850</v>
      </c>
      <c r="F76">
        <v>29.700880854602012</v>
      </c>
      <c r="G76" s="2">
        <f>+IFERROR(SECADERO[[#This Row],[KG uva]]/COUNTIFS(SECADERO[Finca],SECADERO[[#This Row],[Finca]],SECADERO[Variedad],SECADERO[[#This Row],[Variedad]],SECADERO[Tipo de Cosecha],SECADERO[[#This Row],[Tipo de Cosecha]]),0)</f>
        <v>46320.833333333336</v>
      </c>
      <c r="AE76" t="s">
        <v>13</v>
      </c>
      <c r="AF76" t="s">
        <v>6</v>
      </c>
      <c r="AG76" t="s">
        <v>139</v>
      </c>
      <c r="AH76" s="151">
        <v>12.023133535745517</v>
      </c>
    </row>
    <row r="77" spans="1:34">
      <c r="A77" t="s">
        <v>8</v>
      </c>
      <c r="B77" t="s">
        <v>10</v>
      </c>
      <c r="C77" t="s">
        <v>139</v>
      </c>
      <c r="D77" t="s">
        <v>42</v>
      </c>
      <c r="E77">
        <v>555850</v>
      </c>
      <c r="F77">
        <v>15.561813075431782</v>
      </c>
      <c r="G77" s="2">
        <f>+IFERROR(SECADERO[[#This Row],[KG uva]]/COUNTIFS(SECADERO[Finca],SECADERO[[#This Row],[Finca]],SECADERO[Variedad],SECADERO[[#This Row],[Variedad]],SECADERO[Tipo de Cosecha],SECADERO[[#This Row],[Tipo de Cosecha]]),0)</f>
        <v>46320.833333333336</v>
      </c>
      <c r="AE77" t="s">
        <v>13</v>
      </c>
      <c r="AF77" t="s">
        <v>6</v>
      </c>
      <c r="AG77" t="s">
        <v>141</v>
      </c>
      <c r="AH77" s="151">
        <v>80.242259687757524</v>
      </c>
    </row>
    <row r="78" spans="1:34">
      <c r="A78" t="s">
        <v>8</v>
      </c>
      <c r="B78" t="s">
        <v>10</v>
      </c>
      <c r="C78" t="s">
        <v>140</v>
      </c>
      <c r="D78" t="s">
        <v>42</v>
      </c>
      <c r="E78">
        <v>555850</v>
      </c>
      <c r="F78">
        <v>1.9452302192081232</v>
      </c>
      <c r="G78" s="2">
        <f>+IFERROR(SECADERO[[#This Row],[KG uva]]/COUNTIFS(SECADERO[Finca],SECADERO[[#This Row],[Finca]],SECADERO[Variedad],SECADERO[[#This Row],[Variedad]],SECADERO[Tipo de Cosecha],SECADERO[[#This Row],[Tipo de Cosecha]]),0)</f>
        <v>46320.833333333336</v>
      </c>
      <c r="AE78" t="s">
        <v>13</v>
      </c>
      <c r="AF78" t="s">
        <v>6</v>
      </c>
      <c r="AG78" t="s">
        <v>130</v>
      </c>
      <c r="AH78" s="151">
        <v>43.188016846600192</v>
      </c>
    </row>
    <row r="79" spans="1:34">
      <c r="A79" t="s">
        <v>8</v>
      </c>
      <c r="B79" t="s">
        <v>10</v>
      </c>
      <c r="C79" t="s">
        <v>144</v>
      </c>
      <c r="D79" t="s">
        <v>42</v>
      </c>
      <c r="E79">
        <v>555850</v>
      </c>
      <c r="F79">
        <v>1.2968161630556971</v>
      </c>
      <c r="G79" s="2">
        <f>+IFERROR(SECADERO[[#This Row],[KG uva]]/COUNTIFS(SECADERO[Finca],SECADERO[[#This Row],[Finca]],SECADERO[Variedad],SECADERO[[#This Row],[Variedad]],SECADERO[Tipo de Cosecha],SECADERO[[#This Row],[Tipo de Cosecha]]),0)</f>
        <v>46320.833333333336</v>
      </c>
      <c r="AE79" t="s">
        <v>13</v>
      </c>
      <c r="AF79" t="s">
        <v>6</v>
      </c>
      <c r="AG79" t="s">
        <v>146</v>
      </c>
      <c r="AH79" s="151">
        <v>6.6335362570919782</v>
      </c>
    </row>
    <row r="80" spans="1:34">
      <c r="A80" t="s">
        <v>8</v>
      </c>
      <c r="B80" t="s">
        <v>10</v>
      </c>
      <c r="C80" t="s">
        <v>141</v>
      </c>
      <c r="D80" t="s">
        <v>42</v>
      </c>
      <c r="E80">
        <v>555850</v>
      </c>
      <c r="F80">
        <v>58.356691489891034</v>
      </c>
      <c r="G80" s="2">
        <f>+IFERROR(SECADERO[[#This Row],[KG uva]]/COUNTIFS(SECADERO[Finca],SECADERO[[#This Row],[Finca]],SECADERO[Variedad],SECADERO[[#This Row],[Variedad]],SECADERO[Tipo de Cosecha],SECADERO[[#This Row],[Tipo de Cosecha]]),0)</f>
        <v>46320.833333333336</v>
      </c>
      <c r="AE80" t="s">
        <v>13</v>
      </c>
      <c r="AF80" t="s">
        <v>6</v>
      </c>
      <c r="AG80" t="s">
        <v>143</v>
      </c>
      <c r="AH80" s="151">
        <v>20.118945193521444</v>
      </c>
    </row>
    <row r="81" spans="1:34">
      <c r="A81" t="s">
        <v>8</v>
      </c>
      <c r="B81" t="s">
        <v>10</v>
      </c>
      <c r="C81" t="s">
        <v>146</v>
      </c>
      <c r="D81" t="s">
        <v>42</v>
      </c>
      <c r="E81">
        <v>555850</v>
      </c>
      <c r="F81">
        <v>12.060396243230272</v>
      </c>
      <c r="G81" s="2">
        <f>+IFERROR(SECADERO[[#This Row],[KG uva]]/COUNTIFS(SECADERO[Finca],SECADERO[[#This Row],[Finca]],SECADERO[Variedad],SECADERO[[#This Row],[Variedad]],SECADERO[Tipo de Cosecha],SECADERO[[#This Row],[Tipo de Cosecha]]),0)</f>
        <v>46320.833333333336</v>
      </c>
      <c r="AE81" t="s">
        <v>14</v>
      </c>
      <c r="AH81" s="151"/>
    </row>
    <row r="82" spans="1:34">
      <c r="A82" t="s">
        <v>8</v>
      </c>
      <c r="B82" t="s">
        <v>10</v>
      </c>
      <c r="C82" t="s">
        <v>142</v>
      </c>
      <c r="D82" t="s">
        <v>42</v>
      </c>
      <c r="E82">
        <v>555850</v>
      </c>
      <c r="F82">
        <v>11.41196821449808</v>
      </c>
      <c r="G82" s="2">
        <f>+IFERROR(SECADERO[[#This Row],[KG uva]]/COUNTIFS(SECADERO[Finca],SECADERO[[#This Row],[Finca]],SECADERO[Variedad],SECADERO[[#This Row],[Variedad]],SECADERO[Tipo de Cosecha],SECADERO[[#This Row],[Tipo de Cosecha]]),0)</f>
        <v>46320.833333333336</v>
      </c>
      <c r="AE82" t="s">
        <v>14</v>
      </c>
      <c r="AF82" t="s">
        <v>10</v>
      </c>
      <c r="AH82" s="151"/>
    </row>
    <row r="83" spans="1:34">
      <c r="A83" t="s">
        <v>8</v>
      </c>
      <c r="B83" t="s">
        <v>10</v>
      </c>
      <c r="C83" t="s">
        <v>130</v>
      </c>
      <c r="D83" t="s">
        <v>41</v>
      </c>
      <c r="E83">
        <v>98040</v>
      </c>
      <c r="F83">
        <v>3.4916996823941586</v>
      </c>
      <c r="G83" s="2">
        <f>+IFERROR(SECADERO[[#This Row],[KG uva]]/COUNTIFS(SECADERO[Finca],SECADERO[[#This Row],[Finca]],SECADERO[Variedad],SECADERO[[#This Row],[Variedad]],SECADERO[Tipo de Cosecha],SECADERO[[#This Row],[Tipo de Cosecha]]),0)</f>
        <v>8170</v>
      </c>
      <c r="AE83" t="s">
        <v>14</v>
      </c>
      <c r="AF83" t="s">
        <v>10</v>
      </c>
      <c r="AG83" t="s">
        <v>130</v>
      </c>
      <c r="AH83" s="151">
        <v>11.034487268626915</v>
      </c>
    </row>
    <row r="84" spans="1:34">
      <c r="A84" t="s">
        <v>8</v>
      </c>
      <c r="B84" t="s">
        <v>10</v>
      </c>
      <c r="C84" t="s">
        <v>135</v>
      </c>
      <c r="D84" t="s">
        <v>41</v>
      </c>
      <c r="E84">
        <v>98040</v>
      </c>
      <c r="F84">
        <v>3.9304432437213901</v>
      </c>
      <c r="G84" s="2">
        <f>+IFERROR(SECADERO[[#This Row],[KG uva]]/COUNTIFS(SECADERO[Finca],SECADERO[[#This Row],[Finca]],SECADERO[Variedad],SECADERO[[#This Row],[Variedad]],SECADERO[Tipo de Cosecha],SECADERO[[#This Row],[Tipo de Cosecha]]),0)</f>
        <v>8170</v>
      </c>
      <c r="AE84" t="s">
        <v>14</v>
      </c>
      <c r="AF84" t="s">
        <v>6</v>
      </c>
      <c r="AH84" s="151"/>
    </row>
    <row r="85" spans="1:34">
      <c r="A85" t="s">
        <v>8</v>
      </c>
      <c r="B85" t="s">
        <v>10</v>
      </c>
      <c r="C85" t="s">
        <v>143</v>
      </c>
      <c r="D85" t="s">
        <v>41</v>
      </c>
      <c r="E85">
        <v>98040</v>
      </c>
      <c r="F85">
        <v>3.2098631654355767</v>
      </c>
      <c r="G85" s="2">
        <f>+IFERROR(SECADERO[[#This Row],[KG uva]]/COUNTIFS(SECADERO[Finca],SECADERO[[#This Row],[Finca]],SECADERO[Variedad],SECADERO[[#This Row],[Variedad]],SECADERO[Tipo de Cosecha],SECADERO[[#This Row],[Tipo de Cosecha]]),0)</f>
        <v>8170</v>
      </c>
      <c r="AE85" t="s">
        <v>14</v>
      </c>
      <c r="AF85" t="s">
        <v>6</v>
      </c>
      <c r="AG85" t="s">
        <v>130</v>
      </c>
      <c r="AH85" s="151">
        <v>11.259166114506336</v>
      </c>
    </row>
    <row r="86" spans="1:34">
      <c r="A86" t="s">
        <v>8</v>
      </c>
      <c r="B86" t="s">
        <v>10</v>
      </c>
      <c r="C86" t="s">
        <v>136</v>
      </c>
      <c r="D86" t="s">
        <v>41</v>
      </c>
      <c r="E86">
        <v>98040</v>
      </c>
      <c r="F86">
        <v>6.3869596778250797</v>
      </c>
      <c r="G86" s="2">
        <f>+IFERROR(SECADERO[[#This Row],[KG uva]]/COUNTIFS(SECADERO[Finca],SECADERO[[#This Row],[Finca]],SECADERO[Variedad],SECADERO[[#This Row],[Variedad]],SECADERO[Tipo de Cosecha],SECADERO[[#This Row],[Tipo de Cosecha]]),0)</f>
        <v>8170</v>
      </c>
      <c r="AE86" t="s">
        <v>14</v>
      </c>
      <c r="AF86" t="s">
        <v>5</v>
      </c>
      <c r="AH86" s="151"/>
    </row>
    <row r="87" spans="1:34">
      <c r="A87" t="s">
        <v>8</v>
      </c>
      <c r="B87" t="s">
        <v>10</v>
      </c>
      <c r="C87" t="s">
        <v>137</v>
      </c>
      <c r="D87" t="s">
        <v>41</v>
      </c>
      <c r="E87">
        <v>98040</v>
      </c>
      <c r="F87">
        <v>4.9130631087194896</v>
      </c>
      <c r="G87" s="2">
        <f>+IFERROR(SECADERO[[#This Row],[KG uva]]/COUNTIFS(SECADERO[Finca],SECADERO[[#This Row],[Finca]],SECADERO[Variedad],SECADERO[[#This Row],[Variedad]],SECADERO[Tipo de Cosecha],SECADERO[[#This Row],[Tipo de Cosecha]]),0)</f>
        <v>8170</v>
      </c>
      <c r="AE87" t="s">
        <v>14</v>
      </c>
      <c r="AF87" t="s">
        <v>5</v>
      </c>
      <c r="AG87" t="s">
        <v>130</v>
      </c>
      <c r="AH87" s="151">
        <v>22.518332229012671</v>
      </c>
    </row>
    <row r="88" spans="1:34">
      <c r="A88" t="s">
        <v>8</v>
      </c>
      <c r="B88" t="s">
        <v>10</v>
      </c>
      <c r="C88" t="s">
        <v>138</v>
      </c>
      <c r="D88" t="s">
        <v>41</v>
      </c>
      <c r="E88">
        <v>98040</v>
      </c>
      <c r="F88">
        <v>7.501544063130023</v>
      </c>
      <c r="G88" s="2">
        <f>+IFERROR(SECADERO[[#This Row],[KG uva]]/COUNTIFS(SECADERO[Finca],SECADERO[[#This Row],[Finca]],SECADERO[Variedad],SECADERO[[#This Row],[Variedad]],SECADERO[Tipo de Cosecha],SECADERO[[#This Row],[Tipo de Cosecha]]),0)</f>
        <v>8170</v>
      </c>
      <c r="AE88" t="s">
        <v>15</v>
      </c>
      <c r="AH88" s="151"/>
    </row>
    <row r="89" spans="1:34">
      <c r="A89" t="s">
        <v>8</v>
      </c>
      <c r="B89" t="s">
        <v>10</v>
      </c>
      <c r="C89" t="s">
        <v>139</v>
      </c>
      <c r="D89" t="s">
        <v>41</v>
      </c>
      <c r="E89">
        <v>98040</v>
      </c>
      <c r="F89">
        <v>3.9304432437213901</v>
      </c>
      <c r="G89" s="2">
        <f>+IFERROR(SECADERO[[#This Row],[KG uva]]/COUNTIFS(SECADERO[Finca],SECADERO[[#This Row],[Finca]],SECADERO[Variedad],SECADERO[[#This Row],[Variedad]],SECADERO[Tipo de Cosecha],SECADERO[[#This Row],[Tipo de Cosecha]]),0)</f>
        <v>8170</v>
      </c>
      <c r="AE89" t="s">
        <v>15</v>
      </c>
      <c r="AF89" t="s">
        <v>10</v>
      </c>
      <c r="AH89" s="151"/>
    </row>
    <row r="90" spans="1:34">
      <c r="A90" t="s">
        <v>8</v>
      </c>
      <c r="B90" t="s">
        <v>10</v>
      </c>
      <c r="C90" t="s">
        <v>140</v>
      </c>
      <c r="D90" t="s">
        <v>41</v>
      </c>
      <c r="E90">
        <v>98040</v>
      </c>
      <c r="F90">
        <v>0.49130631087194887</v>
      </c>
      <c r="G90" s="2">
        <f>+IFERROR(SECADERO[[#This Row],[KG uva]]/COUNTIFS(SECADERO[Finca],SECADERO[[#This Row],[Finca]],SECADERO[Variedad],SECADERO[[#This Row],[Variedad]],SECADERO[Tipo de Cosecha],SECADERO[[#This Row],[Tipo de Cosecha]]),0)</f>
        <v>8170</v>
      </c>
      <c r="AE90" t="s">
        <v>15</v>
      </c>
      <c r="AF90" t="s">
        <v>10</v>
      </c>
      <c r="AG90" t="s">
        <v>135</v>
      </c>
      <c r="AH90" s="151">
        <v>29.153734429711808</v>
      </c>
    </row>
    <row r="91" spans="1:34">
      <c r="A91" t="s">
        <v>8</v>
      </c>
      <c r="B91" t="s">
        <v>10</v>
      </c>
      <c r="C91" t="s">
        <v>144</v>
      </c>
      <c r="D91" t="s">
        <v>41</v>
      </c>
      <c r="E91">
        <v>98040</v>
      </c>
      <c r="F91">
        <v>0.3275365345750072</v>
      </c>
      <c r="G91" s="2">
        <f>+IFERROR(SECADERO[[#This Row],[KG uva]]/COUNTIFS(SECADERO[Finca],SECADERO[[#This Row],[Finca]],SECADERO[Variedad],SECADERO[[#This Row],[Variedad]],SECADERO[Tipo de Cosecha],SECADERO[[#This Row],[Tipo de Cosecha]]),0)</f>
        <v>8170</v>
      </c>
      <c r="AE91" t="s">
        <v>15</v>
      </c>
      <c r="AF91" t="s">
        <v>10</v>
      </c>
      <c r="AG91" t="s">
        <v>137</v>
      </c>
      <c r="AH91" s="151">
        <v>58.81359781950335</v>
      </c>
    </row>
    <row r="92" spans="1:34">
      <c r="A92" t="s">
        <v>8</v>
      </c>
      <c r="B92" t="s">
        <v>10</v>
      </c>
      <c r="C92" t="s">
        <v>141</v>
      </c>
      <c r="D92" t="s">
        <v>41</v>
      </c>
      <c r="E92">
        <v>98040</v>
      </c>
      <c r="F92">
        <v>14.739135001852068</v>
      </c>
      <c r="G92" s="2">
        <f>+IFERROR(SECADERO[[#This Row],[KG uva]]/COUNTIFS(SECADERO[Finca],SECADERO[[#This Row],[Finca]],SECADERO[Variedad],SECADERO[[#This Row],[Variedad]],SECADERO[Tipo de Cosecha],SECADERO[[#This Row],[Tipo de Cosecha]]),0)</f>
        <v>8170</v>
      </c>
      <c r="AE92" t="s">
        <v>15</v>
      </c>
      <c r="AF92" t="s">
        <v>10</v>
      </c>
      <c r="AG92" t="s">
        <v>142</v>
      </c>
      <c r="AH92" s="151">
        <v>15.079502196477481</v>
      </c>
    </row>
    <row r="93" spans="1:34">
      <c r="A93" t="s">
        <v>8</v>
      </c>
      <c r="B93" t="s">
        <v>10</v>
      </c>
      <c r="C93" t="s">
        <v>146</v>
      </c>
      <c r="D93" t="s">
        <v>41</v>
      </c>
      <c r="E93">
        <v>98040</v>
      </c>
      <c r="F93">
        <v>3.0460912684810677</v>
      </c>
      <c r="G93" s="2">
        <f>+IFERROR(SECADERO[[#This Row],[KG uva]]/COUNTIFS(SECADERO[Finca],SECADERO[[#This Row],[Finca]],SECADERO[Variedad],SECADERO[[#This Row],[Variedad]],SECADERO[Tipo de Cosecha],SECADERO[[#This Row],[Tipo de Cosecha]]),0)</f>
        <v>8170</v>
      </c>
      <c r="AE93" t="s">
        <v>15</v>
      </c>
      <c r="AF93" t="s">
        <v>10</v>
      </c>
      <c r="AG93" t="s">
        <v>136</v>
      </c>
      <c r="AH93" s="151">
        <v>98.020189274447958</v>
      </c>
    </row>
    <row r="94" spans="1:34">
      <c r="A94" t="s">
        <v>8</v>
      </c>
      <c r="B94" t="s">
        <v>10</v>
      </c>
      <c r="C94" t="s">
        <v>142</v>
      </c>
      <c r="D94" t="s">
        <v>41</v>
      </c>
      <c r="E94">
        <v>98040</v>
      </c>
      <c r="F94">
        <v>2.8823179631331421</v>
      </c>
      <c r="G94" s="2">
        <f>+IFERROR(SECADERO[[#This Row],[KG uva]]/COUNTIFS(SECADERO[Finca],SECADERO[[#This Row],[Finca]],SECADERO[Variedad],SECADERO[[#This Row],[Variedad]],SECADERO[Tipo de Cosecha],SECADERO[[#This Row],[Tipo de Cosecha]]),0)</f>
        <v>8170</v>
      </c>
      <c r="AE94" t="s">
        <v>15</v>
      </c>
      <c r="AF94" t="s">
        <v>10</v>
      </c>
      <c r="AG94" t="s">
        <v>138</v>
      </c>
      <c r="AH94" s="151">
        <v>73.387119630423896</v>
      </c>
    </row>
    <row r="95" spans="1:34">
      <c r="A95" t="s">
        <v>8</v>
      </c>
      <c r="B95" t="s">
        <v>11</v>
      </c>
      <c r="C95" t="s">
        <v>130</v>
      </c>
      <c r="D95" t="s">
        <v>41</v>
      </c>
      <c r="E95">
        <v>44850</v>
      </c>
      <c r="F95">
        <v>2.6836056448708296</v>
      </c>
      <c r="G95" s="2">
        <f>+IFERROR(SECADERO[[#This Row],[KG uva]]/COUNTIFS(SECADERO[Finca],SECADERO[[#This Row],[Finca]],SECADERO[Variedad],SECADERO[[#This Row],[Variedad]],SECADERO[Tipo de Cosecha],SECADERO[[#This Row],[Tipo de Cosecha]]),0)</f>
        <v>3737.5</v>
      </c>
      <c r="AE95" t="s">
        <v>15</v>
      </c>
      <c r="AF95" t="s">
        <v>10</v>
      </c>
      <c r="AG95" t="s">
        <v>140</v>
      </c>
      <c r="AH95" s="151">
        <v>11.058297317457876</v>
      </c>
    </row>
    <row r="96" spans="1:34">
      <c r="A96" t="s">
        <v>8</v>
      </c>
      <c r="B96" t="s">
        <v>11</v>
      </c>
      <c r="C96" t="s">
        <v>135</v>
      </c>
      <c r="D96" t="s">
        <v>41</v>
      </c>
      <c r="E96">
        <v>44850</v>
      </c>
      <c r="F96">
        <v>3.0208095297768671</v>
      </c>
      <c r="G96" s="2">
        <f>+IFERROR(SECADERO[[#This Row],[KG uva]]/COUNTIFS(SECADERO[Finca],SECADERO[[#This Row],[Finca]],SECADERO[Variedad],SECADERO[[#This Row],[Variedad]],SECADERO[Tipo de Cosecha],SECADERO[[#This Row],[Tipo de Cosecha]]),0)</f>
        <v>3737.5</v>
      </c>
      <c r="AE96" t="s">
        <v>15</v>
      </c>
      <c r="AF96" t="s">
        <v>10</v>
      </c>
      <c r="AG96" t="s">
        <v>139</v>
      </c>
      <c r="AH96" s="151">
        <v>29.153734429711808</v>
      </c>
    </row>
    <row r="97" spans="1:34">
      <c r="A97" t="s">
        <v>8</v>
      </c>
      <c r="B97" t="s">
        <v>11</v>
      </c>
      <c r="C97" t="s">
        <v>143</v>
      </c>
      <c r="D97" t="s">
        <v>41</v>
      </c>
      <c r="E97">
        <v>44850</v>
      </c>
      <c r="F97">
        <v>2.4669953585812068</v>
      </c>
      <c r="G97" s="2">
        <f>+IFERROR(SECADERO[[#This Row],[KG uva]]/COUNTIFS(SECADERO[Finca],SECADERO[[#This Row],[Finca]],SECADERO[Variedad],SECADERO[[#This Row],[Variedad]],SECADERO[Tipo de Cosecha],SECADERO[[#This Row],[Tipo de Cosecha]]),0)</f>
        <v>3737.5</v>
      </c>
      <c r="AE97" t="s">
        <v>15</v>
      </c>
      <c r="AF97" t="s">
        <v>10</v>
      </c>
      <c r="AG97" t="s">
        <v>141</v>
      </c>
      <c r="AH97" s="151">
        <v>194.57169980037125</v>
      </c>
    </row>
    <row r="98" spans="1:34">
      <c r="A98" t="s">
        <v>8</v>
      </c>
      <c r="B98" t="s">
        <v>11</v>
      </c>
      <c r="C98" t="s">
        <v>136</v>
      </c>
      <c r="D98" t="s">
        <v>41</v>
      </c>
      <c r="E98">
        <v>44850</v>
      </c>
      <c r="F98">
        <v>4.9088073442849165</v>
      </c>
      <c r="G98" s="2">
        <f>+IFERROR(SECADERO[[#This Row],[KG uva]]/COUNTIFS(SECADERO[Finca],SECADERO[[#This Row],[Finca]],SECADERO[Variedad],SECADERO[[#This Row],[Variedad]],SECADERO[Tipo de Cosecha],SECADERO[[#This Row],[Tipo de Cosecha]]),0)</f>
        <v>3737.5</v>
      </c>
      <c r="AE98" t="s">
        <v>15</v>
      </c>
      <c r="AF98" t="s">
        <v>10</v>
      </c>
      <c r="AG98" t="s">
        <v>130</v>
      </c>
      <c r="AH98" s="151">
        <v>25.364396264611766</v>
      </c>
    </row>
    <row r="99" spans="1:34">
      <c r="A99" t="s">
        <v>8</v>
      </c>
      <c r="B99" t="s">
        <v>11</v>
      </c>
      <c r="C99" t="s">
        <v>137</v>
      </c>
      <c r="D99" t="s">
        <v>41</v>
      </c>
      <c r="E99">
        <v>44850</v>
      </c>
      <c r="F99">
        <v>3.7760188708800575</v>
      </c>
      <c r="G99" s="2">
        <f>+IFERROR(SECADERO[[#This Row],[KG uva]]/COUNTIFS(SECADERO[Finca],SECADERO[[#This Row],[Finca]],SECADERO[Variedad],SECADERO[[#This Row],[Variedad]],SECADERO[Tipo de Cosecha],SECADERO[[#This Row],[Tipo de Cosecha]]),0)</f>
        <v>3737.5</v>
      </c>
      <c r="AE99" t="s">
        <v>15</v>
      </c>
      <c r="AF99" t="s">
        <v>10</v>
      </c>
      <c r="AG99" t="s">
        <v>146</v>
      </c>
      <c r="AH99" s="151">
        <v>16.085020913571046</v>
      </c>
    </row>
    <row r="100" spans="1:34">
      <c r="A100" t="s">
        <v>8</v>
      </c>
      <c r="B100" t="s">
        <v>11</v>
      </c>
      <c r="C100" t="s">
        <v>138</v>
      </c>
      <c r="D100" t="s">
        <v>41</v>
      </c>
      <c r="E100">
        <v>44850</v>
      </c>
      <c r="F100">
        <v>5.765440279577426</v>
      </c>
      <c r="G100" s="2">
        <f>+IFERROR(SECADERO[[#This Row],[KG uva]]/COUNTIFS(SECADERO[Finca],SECADERO[[#This Row],[Finca]],SECADERO[Variedad],SECADERO[[#This Row],[Variedad]],SECADERO[Tipo de Cosecha],SECADERO[[#This Row],[Tipo de Cosecha]]),0)</f>
        <v>3737.5</v>
      </c>
      <c r="AE100" t="s">
        <v>15</v>
      </c>
      <c r="AF100" t="s">
        <v>10</v>
      </c>
      <c r="AG100" t="s">
        <v>143</v>
      </c>
      <c r="AH100" s="151">
        <v>48.784485627979123</v>
      </c>
    </row>
    <row r="101" spans="1:34">
      <c r="A101" t="s">
        <v>8</v>
      </c>
      <c r="B101" t="s">
        <v>11</v>
      </c>
      <c r="C101" t="s">
        <v>139</v>
      </c>
      <c r="D101" t="s">
        <v>41</v>
      </c>
      <c r="E101">
        <v>44850</v>
      </c>
      <c r="F101">
        <v>3.0208095297768671</v>
      </c>
      <c r="G101" s="2">
        <f>+IFERROR(SECADERO[[#This Row],[KG uva]]/COUNTIFS(SECADERO[Finca],SECADERO[[#This Row],[Finca]],SECADERO[Variedad],SECADERO[[#This Row],[Variedad]],SECADERO[Tipo de Cosecha],SECADERO[[#This Row],[Tipo de Cosecha]]),0)</f>
        <v>3737.5</v>
      </c>
      <c r="AE101" t="s">
        <v>15</v>
      </c>
      <c r="AF101" t="s">
        <v>6</v>
      </c>
      <c r="AH101" s="151"/>
    </row>
    <row r="102" spans="1:34">
      <c r="A102" t="s">
        <v>8</v>
      </c>
      <c r="B102" t="s">
        <v>11</v>
      </c>
      <c r="C102" t="s">
        <v>140</v>
      </c>
      <c r="D102" t="s">
        <v>41</v>
      </c>
      <c r="E102">
        <v>44850</v>
      </c>
      <c r="F102">
        <v>0.37760188708800574</v>
      </c>
      <c r="G102" s="2">
        <f>+IFERROR(SECADERO[[#This Row],[KG uva]]/COUNTIFS(SECADERO[Finca],SECADERO[[#This Row],[Finca]],SECADERO[Variedad],SECADERO[[#This Row],[Variedad]],SECADERO[Tipo de Cosecha],SECADERO[[#This Row],[Tipo de Cosecha]]),0)</f>
        <v>3737.5</v>
      </c>
      <c r="AE102" t="s">
        <v>15</v>
      </c>
      <c r="AF102" t="s">
        <v>6</v>
      </c>
      <c r="AG102" t="s">
        <v>135</v>
      </c>
      <c r="AH102" s="151">
        <v>14.436317099075636</v>
      </c>
    </row>
    <row r="103" spans="1:34">
      <c r="A103" t="s">
        <v>8</v>
      </c>
      <c r="B103" t="s">
        <v>11</v>
      </c>
      <c r="C103" t="s">
        <v>144</v>
      </c>
      <c r="D103" t="s">
        <v>41</v>
      </c>
      <c r="E103">
        <v>44850</v>
      </c>
      <c r="F103">
        <v>0.25173381820862334</v>
      </c>
      <c r="G103" s="2">
        <f>+IFERROR(SECADERO[[#This Row],[KG uva]]/COUNTIFS(SECADERO[Finca],SECADERO[[#This Row],[Finca]],SECADERO[Variedad],SECADERO[[#This Row],[Variedad]],SECADERO[Tipo de Cosecha],SECADERO[[#This Row],[Tipo de Cosecha]]),0)</f>
        <v>3737.5</v>
      </c>
      <c r="AE103" t="s">
        <v>15</v>
      </c>
      <c r="AF103" t="s">
        <v>6</v>
      </c>
      <c r="AG103" t="s">
        <v>137</v>
      </c>
      <c r="AH103" s="151">
        <v>29.123258631132646</v>
      </c>
    </row>
    <row r="104" spans="1:34">
      <c r="A104" t="s">
        <v>8</v>
      </c>
      <c r="B104" t="s">
        <v>11</v>
      </c>
      <c r="C104" t="s">
        <v>141</v>
      </c>
      <c r="D104" t="s">
        <v>41</v>
      </c>
      <c r="E104">
        <v>44850</v>
      </c>
      <c r="F104">
        <v>11.328014860763274</v>
      </c>
      <c r="G104" s="2">
        <f>+IFERROR(SECADERO[[#This Row],[KG uva]]/COUNTIFS(SECADERO[Finca],SECADERO[[#This Row],[Finca]],SECADERO[Variedad],SECADERO[[#This Row],[Variedad]],SECADERO[Tipo de Cosecha],SECADERO[[#This Row],[Tipo de Cosecha]]),0)</f>
        <v>3737.5</v>
      </c>
      <c r="AE104" t="s">
        <v>15</v>
      </c>
      <c r="AF104" t="s">
        <v>6</v>
      </c>
      <c r="AG104" t="s">
        <v>142</v>
      </c>
      <c r="AH104" s="151">
        <v>7.4670528377557295</v>
      </c>
    </row>
    <row r="105" spans="1:34">
      <c r="A105" t="s">
        <v>8</v>
      </c>
      <c r="B105" t="s">
        <v>11</v>
      </c>
      <c r="C105" t="s">
        <v>146</v>
      </c>
      <c r="D105" t="s">
        <v>41</v>
      </c>
      <c r="E105">
        <v>44850</v>
      </c>
      <c r="F105">
        <v>2.3411256598340988</v>
      </c>
      <c r="G105" s="2">
        <f>+IFERROR(SECADERO[[#This Row],[KG uva]]/COUNTIFS(SECADERO[Finca],SECADERO[[#This Row],[Finca]],SECADERO[Variedad],SECADERO[[#This Row],[Variedad]],SECADERO[Tipo de Cosecha],SECADERO[[#This Row],[Tipo de Cosecha]]),0)</f>
        <v>3737.5</v>
      </c>
      <c r="AE105" t="s">
        <v>15</v>
      </c>
      <c r="AF105" t="s">
        <v>6</v>
      </c>
      <c r="AG105" t="s">
        <v>136</v>
      </c>
      <c r="AH105" s="151">
        <v>48.537539432176651</v>
      </c>
    </row>
    <row r="106" spans="1:34">
      <c r="A106" t="s">
        <v>8</v>
      </c>
      <c r="B106" t="s">
        <v>11</v>
      </c>
      <c r="C106" t="s">
        <v>142</v>
      </c>
      <c r="D106" t="s">
        <v>41</v>
      </c>
      <c r="E106">
        <v>44850</v>
      </c>
      <c r="F106">
        <v>2.2152548786420887</v>
      </c>
      <c r="G106" s="2">
        <f>+IFERROR(SECADERO[[#This Row],[KG uva]]/COUNTIFS(SECADERO[Finca],SECADERO[[#This Row],[Finca]],SECADERO[Variedad],SECADERO[[#This Row],[Variedad]],SECADERO[Tipo de Cosecha],SECADERO[[#This Row],[Tipo de Cosecha]]),0)</f>
        <v>3737.5</v>
      </c>
      <c r="AE106" t="s">
        <v>15</v>
      </c>
      <c r="AF106" t="s">
        <v>6</v>
      </c>
      <c r="AG106" t="s">
        <v>138</v>
      </c>
      <c r="AH106" s="151">
        <v>36.33976060689082</v>
      </c>
    </row>
    <row r="107" spans="1:34">
      <c r="A107" t="s">
        <v>8</v>
      </c>
      <c r="B107" t="s">
        <v>7</v>
      </c>
      <c r="C107" t="s">
        <v>130</v>
      </c>
      <c r="D107" t="s">
        <v>42</v>
      </c>
      <c r="E107">
        <v>369480</v>
      </c>
      <c r="F107">
        <v>18.061155913978492</v>
      </c>
      <c r="G107" s="2">
        <f>+IFERROR(SECADERO[[#This Row],[KG uva]]/COUNTIFS(SECADERO[Finca],SECADERO[[#This Row],[Finca]],SECADERO[Variedad],SECADERO[[#This Row],[Variedad]],SECADERO[Tipo de Cosecha],SECADERO[[#This Row],[Tipo de Cosecha]]),0)</f>
        <v>30790</v>
      </c>
      <c r="AE107" t="s">
        <v>15</v>
      </c>
      <c r="AF107" t="s">
        <v>6</v>
      </c>
      <c r="AG107" t="s">
        <v>140</v>
      </c>
      <c r="AH107" s="151">
        <v>5.4758366217393526</v>
      </c>
    </row>
    <row r="108" spans="1:34">
      <c r="A108" t="s">
        <v>8</v>
      </c>
      <c r="B108" t="s">
        <v>7</v>
      </c>
      <c r="C108" t="s">
        <v>135</v>
      </c>
      <c r="D108" t="s">
        <v>42</v>
      </c>
      <c r="E108">
        <v>369480</v>
      </c>
      <c r="F108">
        <v>15.056133393287581</v>
      </c>
      <c r="G108" s="2">
        <f>+IFERROR(SECADERO[[#This Row],[KG uva]]/COUNTIFS(SECADERO[Finca],SECADERO[[#This Row],[Finca]],SECADERO[Variedad],SECADERO[[#This Row],[Variedad]],SECADERO[Tipo de Cosecha],SECADERO[[#This Row],[Tipo de Cosecha]]),0)</f>
        <v>30790</v>
      </c>
      <c r="AE108" t="s">
        <v>15</v>
      </c>
      <c r="AF108" t="s">
        <v>6</v>
      </c>
      <c r="AG108" t="s">
        <v>139</v>
      </c>
      <c r="AH108" s="151">
        <v>14.436317099075636</v>
      </c>
    </row>
    <row r="109" spans="1:34">
      <c r="A109" t="s">
        <v>8</v>
      </c>
      <c r="B109" t="s">
        <v>7</v>
      </c>
      <c r="C109" t="s">
        <v>143</v>
      </c>
      <c r="D109" t="s">
        <v>42</v>
      </c>
      <c r="E109">
        <v>369480</v>
      </c>
      <c r="F109">
        <v>12.295846803079831</v>
      </c>
      <c r="G109" s="2">
        <f>+IFERROR(SECADERO[[#This Row],[KG uva]]/COUNTIFS(SECADERO[Finca],SECADERO[[#This Row],[Finca]],SECADERO[Variedad],SECADERO[[#This Row],[Variedad]],SECADERO[Tipo de Cosecha],SECADERO[[#This Row],[Tipo de Cosecha]]),0)</f>
        <v>30790</v>
      </c>
      <c r="AE109" t="s">
        <v>15</v>
      </c>
      <c r="AF109" t="s">
        <v>6</v>
      </c>
      <c r="AG109" t="s">
        <v>141</v>
      </c>
      <c r="AH109" s="151">
        <v>96.347819988428057</v>
      </c>
    </row>
    <row r="110" spans="1:34">
      <c r="A110" t="s">
        <v>8</v>
      </c>
      <c r="B110" t="s">
        <v>7</v>
      </c>
      <c r="C110" t="s">
        <v>136</v>
      </c>
      <c r="D110" t="s">
        <v>42</v>
      </c>
      <c r="E110">
        <v>369480</v>
      </c>
      <c r="F110">
        <v>24.466176185217037</v>
      </c>
      <c r="G110" s="2">
        <f>+IFERROR(SECADERO[[#This Row],[KG uva]]/COUNTIFS(SECADERO[Finca],SECADERO[[#This Row],[Finca]],SECADERO[Variedad],SECADERO[[#This Row],[Variedad]],SECADERO[Tipo de Cosecha],SECADERO[[#This Row],[Tipo de Cosecha]]),0)</f>
        <v>30790</v>
      </c>
      <c r="AE110" t="s">
        <v>15</v>
      </c>
      <c r="AF110" t="s">
        <v>6</v>
      </c>
      <c r="AG110" t="s">
        <v>130</v>
      </c>
      <c r="AH110" s="151">
        <v>12.559916410892704</v>
      </c>
    </row>
    <row r="111" spans="1:34">
      <c r="A111" t="s">
        <v>8</v>
      </c>
      <c r="B111" t="s">
        <v>7</v>
      </c>
      <c r="C111" t="s">
        <v>137</v>
      </c>
      <c r="D111" t="s">
        <v>42</v>
      </c>
      <c r="E111">
        <v>369480</v>
      </c>
      <c r="F111">
        <v>18.8202014245303</v>
      </c>
      <c r="G111" s="2">
        <f>+IFERROR(SECADERO[[#This Row],[KG uva]]/COUNTIFS(SECADERO[Finca],SECADERO[[#This Row],[Finca]],SECADERO[Variedad],SECADERO[[#This Row],[Variedad]],SECADERO[Tipo de Cosecha],SECADERO[[#This Row],[Tipo de Cosecha]]),0)</f>
        <v>30790</v>
      </c>
      <c r="AE111" t="s">
        <v>15</v>
      </c>
      <c r="AF111" t="s">
        <v>6</v>
      </c>
      <c r="AG111" t="s">
        <v>146</v>
      </c>
      <c r="AH111" s="151">
        <v>7.9649645918747662</v>
      </c>
    </row>
    <row r="112" spans="1:34">
      <c r="A112" t="s">
        <v>8</v>
      </c>
      <c r="B112" t="s">
        <v>7</v>
      </c>
      <c r="C112" t="s">
        <v>138</v>
      </c>
      <c r="D112" t="s">
        <v>42</v>
      </c>
      <c r="E112">
        <v>369480</v>
      </c>
      <c r="F112">
        <v>28.73575346763517</v>
      </c>
      <c r="G112" s="2">
        <f>+IFERROR(SECADERO[[#This Row],[KG uva]]/COUNTIFS(SECADERO[Finca],SECADERO[[#This Row],[Finca]],SECADERO[Variedad],SECADERO[[#This Row],[Variedad]],SECADERO[Tipo de Cosecha],SECADERO[[#This Row],[Tipo de Cosecha]]),0)</f>
        <v>30790</v>
      </c>
      <c r="AE112" t="s">
        <v>15</v>
      </c>
      <c r="AF112" t="s">
        <v>6</v>
      </c>
      <c r="AG112" t="s">
        <v>143</v>
      </c>
      <c r="AH112" s="151">
        <v>24.157052872206137</v>
      </c>
    </row>
    <row r="113" spans="1:34">
      <c r="A113" t="s">
        <v>8</v>
      </c>
      <c r="B113" t="s">
        <v>7</v>
      </c>
      <c r="C113" t="s">
        <v>139</v>
      </c>
      <c r="D113" t="s">
        <v>42</v>
      </c>
      <c r="E113">
        <v>369480</v>
      </c>
      <c r="F113">
        <v>15.056133393287581</v>
      </c>
      <c r="G113" s="2">
        <f>+IFERROR(SECADERO[[#This Row],[KG uva]]/COUNTIFS(SECADERO[Finca],SECADERO[[#This Row],[Finca]],SECADERO[Variedad],SECADERO[[#This Row],[Variedad]],SECADERO[Tipo de Cosecha],SECADERO[[#This Row],[Tipo de Cosecha]]),0)</f>
        <v>30790</v>
      </c>
      <c r="AE113" t="s">
        <v>15</v>
      </c>
      <c r="AF113" t="s">
        <v>5</v>
      </c>
      <c r="AH113" s="151"/>
    </row>
    <row r="114" spans="1:34">
      <c r="A114" t="s">
        <v>8</v>
      </c>
      <c r="B114" t="s">
        <v>7</v>
      </c>
      <c r="C114" t="s">
        <v>140</v>
      </c>
      <c r="D114" t="s">
        <v>42</v>
      </c>
      <c r="E114">
        <v>369480</v>
      </c>
      <c r="F114">
        <v>1.8820201424530301</v>
      </c>
      <c r="G114" s="2">
        <f>+IFERROR(SECADERO[[#This Row],[KG uva]]/COUNTIFS(SECADERO[Finca],SECADERO[[#This Row],[Finca]],SECADERO[Variedad],SECADERO[[#This Row],[Variedad]],SECADERO[Tipo de Cosecha],SECADERO[[#This Row],[Tipo de Cosecha]]),0)</f>
        <v>30790</v>
      </c>
      <c r="AE114" t="s">
        <v>15</v>
      </c>
      <c r="AF114" t="s">
        <v>5</v>
      </c>
      <c r="AG114" t="s">
        <v>135</v>
      </c>
      <c r="AH114" s="151">
        <v>2.3869125136515636</v>
      </c>
    </row>
    <row r="115" spans="1:34">
      <c r="A115" t="s">
        <v>8</v>
      </c>
      <c r="B115" t="s">
        <v>7</v>
      </c>
      <c r="C115" t="s">
        <v>144</v>
      </c>
      <c r="D115" t="s">
        <v>42</v>
      </c>
      <c r="E115">
        <v>369480</v>
      </c>
      <c r="F115">
        <v>1.2546762413155519</v>
      </c>
      <c r="G115" s="2">
        <f>+IFERROR(SECADERO[[#This Row],[KG uva]]/COUNTIFS(SECADERO[Finca],SECADERO[[#This Row],[Finca]],SECADERO[Variedad],SECADERO[[#This Row],[Variedad]],SECADERO[Tipo de Cosecha],SECADERO[[#This Row],[Tipo de Cosecha]]),0)</f>
        <v>30790</v>
      </c>
      <c r="AE115" t="s">
        <v>15</v>
      </c>
      <c r="AF115" t="s">
        <v>5</v>
      </c>
      <c r="AG115" t="s">
        <v>137</v>
      </c>
      <c r="AH115" s="151">
        <v>4.8152634766808005</v>
      </c>
    </row>
    <row r="116" spans="1:34">
      <c r="A116" t="s">
        <v>8</v>
      </c>
      <c r="B116" t="s">
        <v>7</v>
      </c>
      <c r="C116" t="s">
        <v>141</v>
      </c>
      <c r="D116" t="s">
        <v>42</v>
      </c>
      <c r="E116">
        <v>369480</v>
      </c>
      <c r="F116">
        <v>56.460396176449464</v>
      </c>
      <c r="G116" s="2">
        <f>+IFERROR(SECADERO[[#This Row],[KG uva]]/COUNTIFS(SECADERO[Finca],SECADERO[[#This Row],[Finca]],SECADERO[Variedad],SECADERO[[#This Row],[Variedad]],SECADERO[Tipo de Cosecha],SECADERO[[#This Row],[Tipo de Cosecha]]),0)</f>
        <v>30790</v>
      </c>
      <c r="AE116" t="s">
        <v>15</v>
      </c>
      <c r="AF116" t="s">
        <v>5</v>
      </c>
      <c r="AG116" t="s">
        <v>142</v>
      </c>
      <c r="AH116" s="151">
        <v>1.2346086426487404</v>
      </c>
    </row>
    <row r="117" spans="1:34">
      <c r="A117" t="s">
        <v>8</v>
      </c>
      <c r="B117" t="s">
        <v>7</v>
      </c>
      <c r="C117" t="s">
        <v>146</v>
      </c>
      <c r="D117" t="s">
        <v>42</v>
      </c>
      <c r="E117">
        <v>369480</v>
      </c>
      <c r="F117">
        <v>11.668494778455702</v>
      </c>
      <c r="G117" s="2">
        <f>+IFERROR(SECADERO[[#This Row],[KG uva]]/COUNTIFS(SECADERO[Finca],SECADERO[[#This Row],[Finca]],SECADERO[Variedad],SECADERO[[#This Row],[Variedad]],SECADERO[Tipo de Cosecha],SECADERO[[#This Row],[Tipo de Cosecha]]),0)</f>
        <v>30790</v>
      </c>
      <c r="AE117" t="s">
        <v>15</v>
      </c>
      <c r="AF117" t="s">
        <v>5</v>
      </c>
      <c r="AG117" t="s">
        <v>136</v>
      </c>
      <c r="AH117" s="151">
        <v>8.0252365930599368</v>
      </c>
    </row>
    <row r="118" spans="1:34">
      <c r="A118" t="s">
        <v>8</v>
      </c>
      <c r="B118" t="s">
        <v>7</v>
      </c>
      <c r="C118" t="s">
        <v>142</v>
      </c>
      <c r="D118" t="s">
        <v>42</v>
      </c>
      <c r="E118">
        <v>369480</v>
      </c>
      <c r="F118">
        <v>11.041137358776149</v>
      </c>
      <c r="G118" s="2">
        <f>+IFERROR(SECADERO[[#This Row],[KG uva]]/COUNTIFS(SECADERO[Finca],SECADERO[[#This Row],[Finca]],SECADERO[Variedad],SECADERO[[#This Row],[Variedad]],SECADERO[Tipo de Cosecha],SECADERO[[#This Row],[Tipo de Cosecha]]),0)</f>
        <v>30790</v>
      </c>
      <c r="AE118" t="s">
        <v>15</v>
      </c>
      <c r="AF118" t="s">
        <v>5</v>
      </c>
      <c r="AG118" t="s">
        <v>138</v>
      </c>
      <c r="AH118" s="151">
        <v>6.0084458342386942</v>
      </c>
    </row>
    <row r="119" spans="1:34">
      <c r="A119" t="s">
        <v>8</v>
      </c>
      <c r="B119" t="s">
        <v>6</v>
      </c>
      <c r="C119" t="s">
        <v>130</v>
      </c>
      <c r="D119" t="s">
        <v>42</v>
      </c>
      <c r="E119">
        <v>255743</v>
      </c>
      <c r="F119">
        <v>13.040821198376701</v>
      </c>
      <c r="G119" s="2">
        <f>+IFERROR(SECADERO[[#This Row],[KG uva]]/COUNTIFS(SECADERO[Finca],SECADERO[[#This Row],[Finca]],SECADERO[Variedad],SECADERO[[#This Row],[Variedad]],SECADERO[Tipo de Cosecha],SECADERO[[#This Row],[Tipo de Cosecha]]),0)</f>
        <v>21311.916666666668</v>
      </c>
      <c r="AE119" t="s">
        <v>15</v>
      </c>
      <c r="AF119" t="s">
        <v>5</v>
      </c>
      <c r="AG119" t="s">
        <v>140</v>
      </c>
      <c r="AH119" s="151">
        <v>0.90537931976972619</v>
      </c>
    </row>
    <row r="120" spans="1:34">
      <c r="A120" t="s">
        <v>8</v>
      </c>
      <c r="B120" t="s">
        <v>6</v>
      </c>
      <c r="C120" t="s">
        <v>135</v>
      </c>
      <c r="D120" t="s">
        <v>42</v>
      </c>
      <c r="E120">
        <v>255743</v>
      </c>
      <c r="F120">
        <v>10.067153672074836</v>
      </c>
      <c r="G120" s="2">
        <f>+IFERROR(SECADERO[[#This Row],[KG uva]]/COUNTIFS(SECADERO[Finca],SECADERO[[#This Row],[Finca]],SECADERO[Variedad],SECADERO[[#This Row],[Variedad]],SECADERO[Tipo de Cosecha],SECADERO[[#This Row],[Tipo de Cosecha]]),0)</f>
        <v>21311.916666666668</v>
      </c>
      <c r="AE120" t="s">
        <v>15</v>
      </c>
      <c r="AF120" t="s">
        <v>5</v>
      </c>
      <c r="AG120" t="s">
        <v>139</v>
      </c>
      <c r="AH120" s="151">
        <v>2.3869125136515636</v>
      </c>
    </row>
    <row r="121" spans="1:34">
      <c r="A121" t="s">
        <v>8</v>
      </c>
      <c r="B121" t="s">
        <v>6</v>
      </c>
      <c r="C121" t="s">
        <v>143</v>
      </c>
      <c r="D121" t="s">
        <v>42</v>
      </c>
      <c r="E121">
        <v>255743</v>
      </c>
      <c r="F121">
        <v>8.2215118624069152</v>
      </c>
      <c r="G121" s="2">
        <f>+IFERROR(SECADERO[[#This Row],[KG uva]]/COUNTIFS(SECADERO[Finca],SECADERO[[#This Row],[Finca]],SECADERO[Variedad],SECADERO[[#This Row],[Variedad]],SECADERO[Tipo de Cosecha],SECADERO[[#This Row],[Tipo de Cosecha]]),0)</f>
        <v>21311.916666666668</v>
      </c>
      <c r="AE121" t="s">
        <v>15</v>
      </c>
      <c r="AF121" t="s">
        <v>5</v>
      </c>
      <c r="AG121" t="s">
        <v>141</v>
      </c>
      <c r="AH121" s="151">
        <v>15.930227606884065</v>
      </c>
    </row>
    <row r="122" spans="1:34">
      <c r="A122" t="s">
        <v>8</v>
      </c>
      <c r="B122" t="s">
        <v>6</v>
      </c>
      <c r="C122" t="s">
        <v>136</v>
      </c>
      <c r="D122" t="s">
        <v>42</v>
      </c>
      <c r="E122">
        <v>255743</v>
      </c>
      <c r="F122">
        <v>16.359097584406811</v>
      </c>
      <c r="G122" s="2">
        <f>+IFERROR(SECADERO[[#This Row],[KG uva]]/COUNTIFS(SECADERO[Finca],SECADERO[[#This Row],[Finca]],SECADERO[Variedad],SECADERO[[#This Row],[Variedad]],SECADERO[Tipo de Cosecha],SECADERO[[#This Row],[Tipo de Cosecha]]),0)</f>
        <v>21311.916666666668</v>
      </c>
      <c r="AE122" t="s">
        <v>15</v>
      </c>
      <c r="AF122" t="s">
        <v>5</v>
      </c>
      <c r="AG122" t="s">
        <v>130</v>
      </c>
      <c r="AH122" s="151">
        <v>2.0766668843466336</v>
      </c>
    </row>
    <row r="123" spans="1:34">
      <c r="A123" t="s">
        <v>8</v>
      </c>
      <c r="B123" t="s">
        <v>6</v>
      </c>
      <c r="C123" t="s">
        <v>137</v>
      </c>
      <c r="D123" t="s">
        <v>42</v>
      </c>
      <c r="E123">
        <v>255743</v>
      </c>
      <c r="F123">
        <v>12.58396528052927</v>
      </c>
      <c r="G123" s="2">
        <f>+IFERROR(SECADERO[[#This Row],[KG uva]]/COUNTIFS(SECADERO[Finca],SECADERO[[#This Row],[Finca]],SECADERO[Variedad],SECADERO[[#This Row],[Variedad]],SECADERO[Tipo de Cosecha],SECADERO[[#This Row],[Tipo de Cosecha]]),0)</f>
        <v>21311.916666666668</v>
      </c>
      <c r="AE123" t="s">
        <v>15</v>
      </c>
      <c r="AF123" t="s">
        <v>5</v>
      </c>
      <c r="AG123" t="s">
        <v>146</v>
      </c>
      <c r="AH123" s="151">
        <v>1.3169337805938628</v>
      </c>
    </row>
    <row r="124" spans="1:34">
      <c r="A124" t="s">
        <v>8</v>
      </c>
      <c r="B124" t="s">
        <v>6</v>
      </c>
      <c r="C124" t="s">
        <v>138</v>
      </c>
      <c r="D124" t="s">
        <v>42</v>
      </c>
      <c r="E124">
        <v>255743</v>
      </c>
      <c r="F124">
        <v>19.213913591554149</v>
      </c>
      <c r="G124" s="2">
        <f>+IFERROR(SECADERO[[#This Row],[KG uva]]/COUNTIFS(SECADERO[Finca],SECADERO[[#This Row],[Finca]],SECADERO[Variedad],SECADERO[[#This Row],[Variedad]],SECADERO[Tipo de Cosecha],SECADERO[[#This Row],[Tipo de Cosecha]]),0)</f>
        <v>21311.916666666668</v>
      </c>
      <c r="AE124" t="s">
        <v>15</v>
      </c>
      <c r="AF124" t="s">
        <v>5</v>
      </c>
      <c r="AG124" t="s">
        <v>143</v>
      </c>
      <c r="AH124" s="151">
        <v>3.9941469419027471</v>
      </c>
    </row>
    <row r="125" spans="1:34">
      <c r="A125" t="s">
        <v>8</v>
      </c>
      <c r="B125" t="s">
        <v>6</v>
      </c>
      <c r="C125" t="s">
        <v>139</v>
      </c>
      <c r="D125" t="s">
        <v>42</v>
      </c>
      <c r="E125">
        <v>255743</v>
      </c>
      <c r="F125">
        <v>10.067153672074836</v>
      </c>
      <c r="G125" s="2">
        <f>+IFERROR(SECADERO[[#This Row],[KG uva]]/COUNTIFS(SECADERO[Finca],SECADERO[[#This Row],[Finca]],SECADERO[Variedad],SECADERO[[#This Row],[Variedad]],SECADERO[Tipo de Cosecha],SECADERO[[#This Row],[Tipo de Cosecha]]),0)</f>
        <v>21311.916666666668</v>
      </c>
      <c r="AE125" t="s">
        <v>12</v>
      </c>
      <c r="AH125" s="151"/>
    </row>
    <row r="126" spans="1:34">
      <c r="A126" t="s">
        <v>8</v>
      </c>
      <c r="B126" t="s">
        <v>6</v>
      </c>
      <c r="C126" t="s">
        <v>140</v>
      </c>
      <c r="D126" t="s">
        <v>42</v>
      </c>
      <c r="E126">
        <v>255743</v>
      </c>
      <c r="F126">
        <v>1.2583965280529268</v>
      </c>
      <c r="G126" s="2">
        <f>+IFERROR(SECADERO[[#This Row],[KG uva]]/COUNTIFS(SECADERO[Finca],SECADERO[[#This Row],[Finca]],SECADERO[Variedad],SECADERO[[#This Row],[Variedad]],SECADERO[Tipo de Cosecha],SECADERO[[#This Row],[Tipo de Cosecha]]),0)</f>
        <v>21311.916666666668</v>
      </c>
      <c r="AE126" t="s">
        <v>12</v>
      </c>
      <c r="AF126" t="s">
        <v>7</v>
      </c>
      <c r="AH126" s="151"/>
    </row>
    <row r="127" spans="1:34">
      <c r="A127" t="s">
        <v>8</v>
      </c>
      <c r="B127" t="s">
        <v>6</v>
      </c>
      <c r="C127" t="s">
        <v>144</v>
      </c>
      <c r="D127" t="s">
        <v>42</v>
      </c>
      <c r="E127">
        <v>255743</v>
      </c>
      <c r="F127">
        <v>0.83892844199003613</v>
      </c>
      <c r="G127" s="2">
        <f>+IFERROR(SECADERO[[#This Row],[KG uva]]/COUNTIFS(SECADERO[Finca],SECADERO[[#This Row],[Finca]],SECADERO[Variedad],SECADERO[[#This Row],[Variedad]],SECADERO[Tipo de Cosecha],SECADERO[[#This Row],[Tipo de Cosecha]]),0)</f>
        <v>21311.916666666668</v>
      </c>
      <c r="AE127" t="s">
        <v>12</v>
      </c>
      <c r="AF127" t="s">
        <v>7</v>
      </c>
      <c r="AG127" t="s">
        <v>135</v>
      </c>
      <c r="AH127" s="151">
        <v>5.0747429841622669</v>
      </c>
    </row>
    <row r="128" spans="1:34">
      <c r="A128" t="s">
        <v>8</v>
      </c>
      <c r="B128" t="s">
        <v>6</v>
      </c>
      <c r="C128" t="s">
        <v>141</v>
      </c>
      <c r="D128" t="s">
        <v>42</v>
      </c>
      <c r="E128">
        <v>255743</v>
      </c>
      <c r="F128">
        <v>37.751756699229873</v>
      </c>
      <c r="G128" s="2">
        <f>+IFERROR(SECADERO[[#This Row],[KG uva]]/COUNTIFS(SECADERO[Finca],SECADERO[[#This Row],[Finca]],SECADERO[Variedad],SECADERO[[#This Row],[Variedad]],SECADERO[Tipo de Cosecha],SECADERO[[#This Row],[Tipo de Cosecha]]),0)</f>
        <v>21311.916666666668</v>
      </c>
      <c r="AE128" t="s">
        <v>12</v>
      </c>
      <c r="AF128" t="s">
        <v>7</v>
      </c>
      <c r="AG128" t="s">
        <v>137</v>
      </c>
      <c r="AH128" s="151">
        <v>9.8670988654781198</v>
      </c>
    </row>
    <row r="129" spans="1:34">
      <c r="A129" t="s">
        <v>8</v>
      </c>
      <c r="B129" t="s">
        <v>6</v>
      </c>
      <c r="C129" t="s">
        <v>146</v>
      </c>
      <c r="D129" t="s">
        <v>42</v>
      </c>
      <c r="E129">
        <v>255743</v>
      </c>
      <c r="F129">
        <v>7.8020383446447745</v>
      </c>
      <c r="G129" s="2">
        <f>+IFERROR(SECADERO[[#This Row],[KG uva]]/COUNTIFS(SECADERO[Finca],SECADERO[[#This Row],[Finca]],SECADERO[Variedad],SECADERO[[#This Row],[Variedad]],SECADERO[Tipo de Cosecha],SECADERO[[#This Row],[Tipo de Cosecha]]),0)</f>
        <v>21311.916666666668</v>
      </c>
      <c r="AE129" t="s">
        <v>12</v>
      </c>
      <c r="AF129" t="s">
        <v>7</v>
      </c>
      <c r="AG129" t="s">
        <v>142</v>
      </c>
      <c r="AH129" s="151">
        <v>2.2553716967152382</v>
      </c>
    </row>
    <row r="130" spans="1:34">
      <c r="A130" t="s">
        <v>8</v>
      </c>
      <c r="B130" t="s">
        <v>6</v>
      </c>
      <c r="C130" t="s">
        <v>142</v>
      </c>
      <c r="D130" t="s">
        <v>42</v>
      </c>
      <c r="E130">
        <v>255743</v>
      </c>
      <c r="F130">
        <v>7.38256121952538</v>
      </c>
      <c r="G130" s="2">
        <f>+IFERROR(SECADERO[[#This Row],[KG uva]]/COUNTIFS(SECADERO[Finca],SECADERO[[#This Row],[Finca]],SECADERO[Variedad],SECADERO[[#This Row],[Variedad]],SECADERO[Tipo de Cosecha],SECADERO[[#This Row],[Tipo de Cosecha]]),0)</f>
        <v>21311.916666666668</v>
      </c>
      <c r="AE130" t="s">
        <v>12</v>
      </c>
      <c r="AF130" t="s">
        <v>7</v>
      </c>
      <c r="AG130" t="s">
        <v>136</v>
      </c>
      <c r="AH130" s="151">
        <v>14.945990180032734</v>
      </c>
    </row>
    <row r="131" spans="1:34">
      <c r="A131" t="s">
        <v>12</v>
      </c>
      <c r="B131" t="s">
        <v>6</v>
      </c>
      <c r="C131" t="s">
        <v>135</v>
      </c>
      <c r="D131" t="s">
        <v>41</v>
      </c>
      <c r="E131">
        <v>324000</v>
      </c>
      <c r="F131">
        <v>3.595443178660739</v>
      </c>
      <c r="G131" s="2">
        <f>+IFERROR(SECADERO[[#This Row],[KG uva]]/COUNTIFS(SECADERO[Finca],SECADERO[[#This Row],[Finca]],SECADERO[Variedad],SECADERO[[#This Row],[Variedad]],SECADERO[Tipo de Cosecha],SECADERO[[#This Row],[Tipo de Cosecha]]),0)</f>
        <v>32400</v>
      </c>
      <c r="AE131" t="s">
        <v>12</v>
      </c>
      <c r="AF131" t="s">
        <v>7</v>
      </c>
      <c r="AG131" t="s">
        <v>138</v>
      </c>
      <c r="AH131" s="151">
        <v>12.407608695652172</v>
      </c>
    </row>
    <row r="132" spans="1:34">
      <c r="A132" t="s">
        <v>12</v>
      </c>
      <c r="B132" t="s">
        <v>6</v>
      </c>
      <c r="C132" t="s">
        <v>143</v>
      </c>
      <c r="D132" t="s">
        <v>41</v>
      </c>
      <c r="E132">
        <v>324000</v>
      </c>
      <c r="F132">
        <v>5.1947009233239658</v>
      </c>
      <c r="G132" s="2">
        <f>+IFERROR(SECADERO[[#This Row],[KG uva]]/COUNTIFS(SECADERO[Finca],SECADERO[[#This Row],[Finca]],SECADERO[Variedad],SECADERO[[#This Row],[Variedad]],SECADERO[Tipo de Cosecha],SECADERO[[#This Row],[Tipo de Cosecha]]),0)</f>
        <v>32400</v>
      </c>
      <c r="AE132" t="s">
        <v>12</v>
      </c>
      <c r="AF132" t="s">
        <v>7</v>
      </c>
      <c r="AG132" t="s">
        <v>140</v>
      </c>
      <c r="AH132" s="151">
        <v>1.6915809947207558</v>
      </c>
    </row>
    <row r="133" spans="1:34">
      <c r="A133" t="s">
        <v>12</v>
      </c>
      <c r="B133" t="s">
        <v>6</v>
      </c>
      <c r="C133" t="s">
        <v>136</v>
      </c>
      <c r="D133" t="s">
        <v>41</v>
      </c>
      <c r="E133">
        <v>324000</v>
      </c>
      <c r="F133">
        <v>10.589198036006547</v>
      </c>
      <c r="G133" s="2">
        <f>+IFERROR(SECADERO[[#This Row],[KG uva]]/COUNTIFS(SECADERO[Finca],SECADERO[[#This Row],[Finca]],SECADERO[Variedad],SECADERO[[#This Row],[Variedad]],SECADERO[Tipo de Cosecha],SECADERO[[#This Row],[Tipo de Cosecha]]),0)</f>
        <v>32400</v>
      </c>
      <c r="AE133" t="s">
        <v>12</v>
      </c>
      <c r="AF133" t="s">
        <v>7</v>
      </c>
      <c r="AG133" t="s">
        <v>139</v>
      </c>
      <c r="AH133" s="151">
        <v>5.0747429841622669</v>
      </c>
    </row>
    <row r="134" spans="1:34">
      <c r="A134" t="s">
        <v>12</v>
      </c>
      <c r="B134" t="s">
        <v>6</v>
      </c>
      <c r="C134" t="s">
        <v>137</v>
      </c>
      <c r="D134" t="s">
        <v>41</v>
      </c>
      <c r="E134">
        <v>324000</v>
      </c>
      <c r="F134">
        <v>6.9908157752566176</v>
      </c>
      <c r="G134" s="2">
        <f>+IFERROR(SECADERO[[#This Row],[KG uva]]/COUNTIFS(SECADERO[Finca],SECADERO[[#This Row],[Finca]],SECADERO[Variedad],SECADERO[[#This Row],[Variedad]],SECADERO[Tipo de Cosecha],SECADERO[[#This Row],[Tipo de Cosecha]]),0)</f>
        <v>32400</v>
      </c>
      <c r="AE134" t="s">
        <v>12</v>
      </c>
      <c r="AF134" t="s">
        <v>7</v>
      </c>
      <c r="AG134" t="s">
        <v>141</v>
      </c>
      <c r="AH134" s="151">
        <v>27.630862329803328</v>
      </c>
    </row>
    <row r="135" spans="1:34">
      <c r="A135" t="s">
        <v>12</v>
      </c>
      <c r="B135" t="s">
        <v>6</v>
      </c>
      <c r="C135" t="s">
        <v>138</v>
      </c>
      <c r="D135" t="s">
        <v>41</v>
      </c>
      <c r="E135">
        <v>324000</v>
      </c>
      <c r="F135">
        <v>8.7907608695652186</v>
      </c>
      <c r="G135" s="2">
        <f>+IFERROR(SECADERO[[#This Row],[KG uva]]/COUNTIFS(SECADERO[Finca],SECADERO[[#This Row],[Finca]],SECADERO[Variedad],SECADERO[[#This Row],[Variedad]],SECADERO[Tipo de Cosecha],SECADERO[[#This Row],[Tipo de Cosecha]]),0)</f>
        <v>32400</v>
      </c>
      <c r="AE135" t="s">
        <v>12</v>
      </c>
      <c r="AF135" t="s">
        <v>7</v>
      </c>
      <c r="AG135" t="s">
        <v>146</v>
      </c>
      <c r="AH135" s="151">
        <v>2.5373714920811334</v>
      </c>
    </row>
    <row r="136" spans="1:34">
      <c r="A136" t="s">
        <v>12</v>
      </c>
      <c r="B136" t="s">
        <v>6</v>
      </c>
      <c r="C136" t="s">
        <v>139</v>
      </c>
      <c r="D136" t="s">
        <v>41</v>
      </c>
      <c r="E136">
        <v>324000</v>
      </c>
      <c r="F136">
        <v>3.595443178660739</v>
      </c>
      <c r="G136" s="2">
        <f>+IFERROR(SECADERO[[#This Row],[KG uva]]/COUNTIFS(SECADERO[Finca],SECADERO[[#This Row],[Finca]],SECADERO[Variedad],SECADERO[[#This Row],[Variedad]],SECADERO[Tipo de Cosecha],SECADERO[[#This Row],[Tipo de Cosecha]]),0)</f>
        <v>32400</v>
      </c>
      <c r="AE136" t="s">
        <v>12</v>
      </c>
      <c r="AF136" t="s">
        <v>7</v>
      </c>
      <c r="AG136" t="s">
        <v>143</v>
      </c>
      <c r="AH136" s="151">
        <v>7.3319951826575673</v>
      </c>
    </row>
    <row r="137" spans="1:34">
      <c r="A137" t="s">
        <v>12</v>
      </c>
      <c r="B137" t="s">
        <v>6</v>
      </c>
      <c r="C137" t="s">
        <v>140</v>
      </c>
      <c r="D137" t="s">
        <v>41</v>
      </c>
      <c r="E137">
        <v>324000</v>
      </c>
      <c r="F137">
        <v>1.1984810595535798</v>
      </c>
      <c r="G137" s="2">
        <f>+IFERROR(SECADERO[[#This Row],[KG uva]]/COUNTIFS(SECADERO[Finca],SECADERO[[#This Row],[Finca]],SECADERO[Variedad],SECADERO[[#This Row],[Variedad]],SECADERO[Tipo de Cosecha],SECADERO[[#This Row],[Tipo de Cosecha]]),0)</f>
        <v>32400</v>
      </c>
      <c r="AE137" t="s">
        <v>12</v>
      </c>
      <c r="AF137" t="s">
        <v>10</v>
      </c>
      <c r="AH137" s="151"/>
    </row>
    <row r="138" spans="1:34">
      <c r="A138" t="s">
        <v>12</v>
      </c>
      <c r="B138" t="s">
        <v>6</v>
      </c>
      <c r="C138" t="s">
        <v>141</v>
      </c>
      <c r="D138" t="s">
        <v>41</v>
      </c>
      <c r="E138">
        <v>324000</v>
      </c>
      <c r="F138">
        <v>19.576399394856278</v>
      </c>
      <c r="G138" s="2">
        <f>+IFERROR(SECADERO[[#This Row],[KG uva]]/COUNTIFS(SECADERO[Finca],SECADERO[[#This Row],[Finca]],SECADERO[Variedad],SECADERO[[#This Row],[Variedad]],SECADERO[Tipo de Cosecha],SECADERO[[#This Row],[Tipo de Cosecha]]),0)</f>
        <v>32400</v>
      </c>
      <c r="AE138" t="s">
        <v>12</v>
      </c>
      <c r="AF138" t="s">
        <v>10</v>
      </c>
      <c r="AG138" t="s">
        <v>135</v>
      </c>
      <c r="AH138" s="151">
        <v>4.3870519588774659</v>
      </c>
    </row>
    <row r="139" spans="1:34">
      <c r="A139" t="s">
        <v>12</v>
      </c>
      <c r="B139" t="s">
        <v>6</v>
      </c>
      <c r="C139" t="s">
        <v>146</v>
      </c>
      <c r="D139" t="s">
        <v>41</v>
      </c>
      <c r="E139">
        <v>324000</v>
      </c>
      <c r="F139">
        <v>1.7977215893303695</v>
      </c>
      <c r="G139" s="2">
        <f>+IFERROR(SECADERO[[#This Row],[KG uva]]/COUNTIFS(SECADERO[Finca],SECADERO[[#This Row],[Finca]],SECADERO[Variedad],SECADERO[[#This Row],[Variedad]],SECADERO[Tipo de Cosecha],SECADERO[[#This Row],[Tipo de Cosecha]]),0)</f>
        <v>32400</v>
      </c>
      <c r="AE139" t="s">
        <v>12</v>
      </c>
      <c r="AF139" t="s">
        <v>10</v>
      </c>
      <c r="AG139" t="s">
        <v>137</v>
      </c>
      <c r="AH139" s="151">
        <v>8.5299837925445701</v>
      </c>
    </row>
    <row r="140" spans="1:34">
      <c r="A140" t="s">
        <v>12</v>
      </c>
      <c r="B140" t="s">
        <v>6</v>
      </c>
      <c r="C140" t="s">
        <v>142</v>
      </c>
      <c r="D140" t="s">
        <v>41</v>
      </c>
      <c r="E140">
        <v>324000</v>
      </c>
      <c r="F140">
        <v>1.5979254136823906</v>
      </c>
      <c r="G140" s="2">
        <f>+IFERROR(SECADERO[[#This Row],[KG uva]]/COUNTIFS(SECADERO[Finca],SECADERO[[#This Row],[Finca]],SECADERO[Variedad],SECADERO[[#This Row],[Variedad]],SECADERO[Tipo de Cosecha],SECADERO[[#This Row],[Tipo de Cosecha]]),0)</f>
        <v>32400</v>
      </c>
      <c r="AE140" t="s">
        <v>12</v>
      </c>
      <c r="AF140" t="s">
        <v>10</v>
      </c>
      <c r="AG140" t="s">
        <v>142</v>
      </c>
      <c r="AH140" s="151">
        <v>1.9497406767102987</v>
      </c>
    </row>
    <row r="141" spans="1:34">
      <c r="A141" t="s">
        <v>12</v>
      </c>
      <c r="B141" t="s">
        <v>6</v>
      </c>
      <c r="C141" t="s">
        <v>135</v>
      </c>
      <c r="D141" t="s">
        <v>42</v>
      </c>
      <c r="E141">
        <v>473000</v>
      </c>
      <c r="F141">
        <v>4.9435954431786611</v>
      </c>
      <c r="G141" s="2">
        <f>+IFERROR(SECADERO[[#This Row],[KG uva]]/COUNTIFS(SECADERO[Finca],SECADERO[[#This Row],[Finca]],SECADERO[Variedad],SECADERO[[#This Row],[Variedad]],SECADERO[Tipo de Cosecha],SECADERO[[#This Row],[Tipo de Cosecha]]),0)</f>
        <v>47300</v>
      </c>
      <c r="AE141" t="s">
        <v>12</v>
      </c>
      <c r="AF141" t="s">
        <v>10</v>
      </c>
      <c r="AG141" t="s">
        <v>136</v>
      </c>
      <c r="AH141" s="151">
        <v>12.92062193126023</v>
      </c>
    </row>
    <row r="142" spans="1:34">
      <c r="A142" t="s">
        <v>12</v>
      </c>
      <c r="B142" t="s">
        <v>6</v>
      </c>
      <c r="C142" t="s">
        <v>143</v>
      </c>
      <c r="D142" t="s">
        <v>42</v>
      </c>
      <c r="E142">
        <v>473000</v>
      </c>
      <c r="F142">
        <v>7.1425130469690874</v>
      </c>
      <c r="G142" s="2">
        <f>+IFERROR(SECADERO[[#This Row],[KG uva]]/COUNTIFS(SECADERO[Finca],SECADERO[[#This Row],[Finca]],SECADERO[Variedad],SECADERO[[#This Row],[Variedad]],SECADERO[Tipo de Cosecha],SECADERO[[#This Row],[Tipo de Cosecha]]),0)</f>
        <v>47300</v>
      </c>
      <c r="AE142" t="s">
        <v>12</v>
      </c>
      <c r="AF142" t="s">
        <v>10</v>
      </c>
      <c r="AG142" t="s">
        <v>138</v>
      </c>
      <c r="AH142" s="151">
        <v>10.726222826086957</v>
      </c>
    </row>
    <row r="143" spans="1:34">
      <c r="A143" t="s">
        <v>12</v>
      </c>
      <c r="B143" t="s">
        <v>6</v>
      </c>
      <c r="C143" t="s">
        <v>136</v>
      </c>
      <c r="D143" t="s">
        <v>42</v>
      </c>
      <c r="E143">
        <v>473000</v>
      </c>
      <c r="F143">
        <v>14.559738134206219</v>
      </c>
      <c r="G143" s="2">
        <f>+IFERROR(SECADERO[[#This Row],[KG uva]]/COUNTIFS(SECADERO[Finca],SECADERO[[#This Row],[Finca]],SECADERO[Variedad],SECADERO[[#This Row],[Variedad]],SECADERO[Tipo de Cosecha],SECADERO[[#This Row],[Tipo de Cosecha]]),0)</f>
        <v>47300</v>
      </c>
      <c r="AE143" t="s">
        <v>12</v>
      </c>
      <c r="AF143" t="s">
        <v>10</v>
      </c>
      <c r="AG143" t="s">
        <v>140</v>
      </c>
      <c r="AH143" s="151">
        <v>1.4623506529591555</v>
      </c>
    </row>
    <row r="144" spans="1:34">
      <c r="A144" t="s">
        <v>12</v>
      </c>
      <c r="B144" t="s">
        <v>6</v>
      </c>
      <c r="C144" t="s">
        <v>137</v>
      </c>
      <c r="D144" t="s">
        <v>42</v>
      </c>
      <c r="E144">
        <v>473000</v>
      </c>
      <c r="F144">
        <v>9.6121015667206926</v>
      </c>
      <c r="G144" s="2">
        <f>+IFERROR(SECADERO[[#This Row],[KG uva]]/COUNTIFS(SECADERO[Finca],SECADERO[[#This Row],[Finca]],SECADERO[Variedad],SECADERO[[#This Row],[Variedad]],SECADERO[Tipo de Cosecha],SECADERO[[#This Row],[Tipo de Cosecha]]),0)</f>
        <v>47300</v>
      </c>
      <c r="AE144" t="s">
        <v>12</v>
      </c>
      <c r="AF144" t="s">
        <v>10</v>
      </c>
      <c r="AG144" t="s">
        <v>139</v>
      </c>
      <c r="AH144" s="151">
        <v>4.3870519588774659</v>
      </c>
    </row>
    <row r="145" spans="1:34">
      <c r="A145" t="s">
        <v>12</v>
      </c>
      <c r="B145" t="s">
        <v>6</v>
      </c>
      <c r="C145" t="s">
        <v>138</v>
      </c>
      <c r="D145" t="s">
        <v>42</v>
      </c>
      <c r="E145">
        <v>473000</v>
      </c>
      <c r="F145">
        <v>12.086956521739131</v>
      </c>
      <c r="G145" s="2">
        <f>+IFERROR(SECADERO[[#This Row],[KG uva]]/COUNTIFS(SECADERO[Finca],SECADERO[[#This Row],[Finca]],SECADERO[Variedad],SECADERO[[#This Row],[Variedad]],SECADERO[Tipo de Cosecha],SECADERO[[#This Row],[Tipo de Cosecha]]),0)</f>
        <v>47300</v>
      </c>
      <c r="AE145" t="s">
        <v>12</v>
      </c>
      <c r="AF145" t="s">
        <v>10</v>
      </c>
      <c r="AG145" t="s">
        <v>141</v>
      </c>
      <c r="AH145" s="151">
        <v>23.886535552193646</v>
      </c>
    </row>
    <row r="146" spans="1:34">
      <c r="A146" t="s">
        <v>12</v>
      </c>
      <c r="B146" t="s">
        <v>6</v>
      </c>
      <c r="C146" t="s">
        <v>139</v>
      </c>
      <c r="D146" t="s">
        <v>42</v>
      </c>
      <c r="E146">
        <v>473000</v>
      </c>
      <c r="F146">
        <v>4.9435954431786611</v>
      </c>
      <c r="G146" s="2">
        <f>+IFERROR(SECADERO[[#This Row],[KG uva]]/COUNTIFS(SECADERO[Finca],SECADERO[[#This Row],[Finca]],SECADERO[Variedad],SECADERO[[#This Row],[Variedad]],SECADERO[Tipo de Cosecha],SECADERO[[#This Row],[Tipo de Cosecha]]),0)</f>
        <v>47300</v>
      </c>
      <c r="AE146" t="s">
        <v>12</v>
      </c>
      <c r="AF146" t="s">
        <v>10</v>
      </c>
      <c r="AG146" t="s">
        <v>146</v>
      </c>
      <c r="AH146" s="151">
        <v>2.193525979438733</v>
      </c>
    </row>
    <row r="147" spans="1:34">
      <c r="A147" t="s">
        <v>12</v>
      </c>
      <c r="B147" t="s">
        <v>6</v>
      </c>
      <c r="C147" t="s">
        <v>140</v>
      </c>
      <c r="D147" t="s">
        <v>42</v>
      </c>
      <c r="E147">
        <v>473000</v>
      </c>
      <c r="F147">
        <v>1.6478651477262203</v>
      </c>
      <c r="G147" s="2">
        <f>+IFERROR(SECADERO[[#This Row],[KG uva]]/COUNTIFS(SECADERO[Finca],SECADERO[[#This Row],[Finca]],SECADERO[Variedad],SECADERO[[#This Row],[Variedad]],SECADERO[Tipo de Cosecha],SECADERO[[#This Row],[Tipo de Cosecha]]),0)</f>
        <v>47300</v>
      </c>
      <c r="AE147" t="s">
        <v>12</v>
      </c>
      <c r="AF147" t="s">
        <v>10</v>
      </c>
      <c r="AG147" t="s">
        <v>143</v>
      </c>
      <c r="AH147" s="151">
        <v>6.3384183059012447</v>
      </c>
    </row>
    <row r="148" spans="1:34">
      <c r="A148" t="s">
        <v>12</v>
      </c>
      <c r="B148" t="s">
        <v>6</v>
      </c>
      <c r="C148" t="s">
        <v>141</v>
      </c>
      <c r="D148" t="s">
        <v>42</v>
      </c>
      <c r="E148">
        <v>473000</v>
      </c>
      <c r="F148">
        <v>26.91679273827534</v>
      </c>
      <c r="G148" s="2">
        <f>+IFERROR(SECADERO[[#This Row],[KG uva]]/COUNTIFS(SECADERO[Finca],SECADERO[[#This Row],[Finca]],SECADERO[Variedad],SECADERO[[#This Row],[Variedad]],SECADERO[Tipo de Cosecha],SECADERO[[#This Row],[Tipo de Cosecha]]),0)</f>
        <v>47300</v>
      </c>
      <c r="AE148" t="s">
        <v>12</v>
      </c>
      <c r="AF148" t="s">
        <v>6</v>
      </c>
      <c r="AH148" s="151"/>
    </row>
    <row r="149" spans="1:34">
      <c r="A149" t="s">
        <v>12</v>
      </c>
      <c r="B149" t="s">
        <v>6</v>
      </c>
      <c r="C149" t="s">
        <v>146</v>
      </c>
      <c r="D149" t="s">
        <v>42</v>
      </c>
      <c r="E149">
        <v>473000</v>
      </c>
      <c r="F149">
        <v>2.4717977215893305</v>
      </c>
      <c r="G149" s="2">
        <f>+IFERROR(SECADERO[[#This Row],[KG uva]]/COUNTIFS(SECADERO[Finca],SECADERO[[#This Row],[Finca]],SECADERO[Variedad],SECADERO[[#This Row],[Variedad]],SECADERO[Tipo de Cosecha],SECADERO[[#This Row],[Tipo de Cosecha]]),0)</f>
        <v>47300</v>
      </c>
      <c r="AE149" t="s">
        <v>12</v>
      </c>
      <c r="AF149" t="s">
        <v>6</v>
      </c>
      <c r="AG149" t="s">
        <v>135</v>
      </c>
      <c r="AH149" s="151">
        <v>8.5390386218393992</v>
      </c>
    </row>
    <row r="150" spans="1:34">
      <c r="A150" t="s">
        <v>12</v>
      </c>
      <c r="B150" t="s">
        <v>6</v>
      </c>
      <c r="C150" t="s">
        <v>142</v>
      </c>
      <c r="D150" t="s">
        <v>42</v>
      </c>
      <c r="E150">
        <v>473000</v>
      </c>
      <c r="F150">
        <v>2.1970857001728823</v>
      </c>
      <c r="G150" s="2">
        <f>+IFERROR(SECADERO[[#This Row],[KG uva]]/COUNTIFS(SECADERO[Finca],SECADERO[[#This Row],[Finca]],SECADERO[Variedad],SECADERO[[#This Row],[Variedad]],SECADERO[Tipo de Cosecha],SECADERO[[#This Row],[Tipo de Cosecha]]),0)</f>
        <v>47300</v>
      </c>
      <c r="AE150" t="s">
        <v>12</v>
      </c>
      <c r="AF150" t="s">
        <v>6</v>
      </c>
      <c r="AG150" t="s">
        <v>137</v>
      </c>
      <c r="AH150" s="151">
        <v>16.60291734197731</v>
      </c>
    </row>
    <row r="151" spans="1:34">
      <c r="A151" t="s">
        <v>12</v>
      </c>
      <c r="B151" t="s">
        <v>10</v>
      </c>
      <c r="C151" t="s">
        <v>135</v>
      </c>
      <c r="D151" t="s">
        <v>42</v>
      </c>
      <c r="E151">
        <v>355000</v>
      </c>
      <c r="F151">
        <v>4.3870519588774659</v>
      </c>
      <c r="G151" s="2">
        <f>+IFERROR(SECADERO[[#This Row],[KG uva]]/COUNTIFS(SECADERO[Finca],SECADERO[[#This Row],[Finca]],SECADERO[Variedad],SECADERO[[#This Row],[Variedad]],SECADERO[Tipo de Cosecha],SECADERO[[#This Row],[Tipo de Cosecha]]),0)</f>
        <v>35500</v>
      </c>
      <c r="AE151" t="s">
        <v>12</v>
      </c>
      <c r="AF151" t="s">
        <v>6</v>
      </c>
      <c r="AG151" t="s">
        <v>142</v>
      </c>
      <c r="AH151" s="151">
        <v>3.7950111138552729</v>
      </c>
    </row>
    <row r="152" spans="1:34">
      <c r="A152" t="s">
        <v>12</v>
      </c>
      <c r="B152" t="s">
        <v>10</v>
      </c>
      <c r="C152" t="s">
        <v>143</v>
      </c>
      <c r="D152" t="s">
        <v>42</v>
      </c>
      <c r="E152">
        <v>355000</v>
      </c>
      <c r="F152">
        <v>6.3384183059012447</v>
      </c>
      <c r="G152" s="2">
        <f>+IFERROR(SECADERO[[#This Row],[KG uva]]/COUNTIFS(SECADERO[Finca],SECADERO[[#This Row],[Finca]],SECADERO[Variedad],SECADERO[[#This Row],[Variedad]],SECADERO[Tipo de Cosecha],SECADERO[[#This Row],[Tipo de Cosecha]]),0)</f>
        <v>35500</v>
      </c>
      <c r="AE152" t="s">
        <v>12</v>
      </c>
      <c r="AF152" t="s">
        <v>6</v>
      </c>
      <c r="AG152" t="s">
        <v>136</v>
      </c>
      <c r="AH152" s="151">
        <v>25.148936170212764</v>
      </c>
    </row>
    <row r="153" spans="1:34">
      <c r="A153" t="s">
        <v>12</v>
      </c>
      <c r="B153" t="s">
        <v>10</v>
      </c>
      <c r="C153" t="s">
        <v>136</v>
      </c>
      <c r="D153" t="s">
        <v>42</v>
      </c>
      <c r="E153">
        <v>355000</v>
      </c>
      <c r="F153">
        <v>12.92062193126023</v>
      </c>
      <c r="G153" s="2">
        <f>+IFERROR(SECADERO[[#This Row],[KG uva]]/COUNTIFS(SECADERO[Finca],SECADERO[[#This Row],[Finca]],SECADERO[Variedad],SECADERO[[#This Row],[Variedad]],SECADERO[Tipo de Cosecha],SECADERO[[#This Row],[Tipo de Cosecha]]),0)</f>
        <v>35500</v>
      </c>
      <c r="AE153" t="s">
        <v>12</v>
      </c>
      <c r="AF153" t="s">
        <v>6</v>
      </c>
      <c r="AG153" t="s">
        <v>138</v>
      </c>
      <c r="AH153" s="151">
        <v>20.877717391304351</v>
      </c>
    </row>
    <row r="154" spans="1:34">
      <c r="A154" t="s">
        <v>12</v>
      </c>
      <c r="B154" t="s">
        <v>10</v>
      </c>
      <c r="C154" t="s">
        <v>137</v>
      </c>
      <c r="D154" t="s">
        <v>42</v>
      </c>
      <c r="E154">
        <v>355000</v>
      </c>
      <c r="F154">
        <v>8.5299837925445701</v>
      </c>
      <c r="G154" s="2">
        <f>+IFERROR(SECADERO[[#This Row],[KG uva]]/COUNTIFS(SECADERO[Finca],SECADERO[[#This Row],[Finca]],SECADERO[Variedad],SECADERO[[#This Row],[Variedad]],SECADERO[Tipo de Cosecha],SECADERO[[#This Row],[Tipo de Cosecha]]),0)</f>
        <v>35500</v>
      </c>
      <c r="AE154" t="s">
        <v>12</v>
      </c>
      <c r="AF154" t="s">
        <v>6</v>
      </c>
      <c r="AG154" t="s">
        <v>140</v>
      </c>
      <c r="AH154" s="151">
        <v>2.8463462072798</v>
      </c>
    </row>
    <row r="155" spans="1:34">
      <c r="A155" t="s">
        <v>12</v>
      </c>
      <c r="B155" t="s">
        <v>10</v>
      </c>
      <c r="C155" t="s">
        <v>138</v>
      </c>
      <c r="D155" t="s">
        <v>42</v>
      </c>
      <c r="E155">
        <v>355000</v>
      </c>
      <c r="F155">
        <v>10.726222826086957</v>
      </c>
      <c r="G155" s="2">
        <f>+IFERROR(SECADERO[[#This Row],[KG uva]]/COUNTIFS(SECADERO[Finca],SECADERO[[#This Row],[Finca]],SECADERO[Variedad],SECADERO[[#This Row],[Variedad]],SECADERO[Tipo de Cosecha],SECADERO[[#This Row],[Tipo de Cosecha]]),0)</f>
        <v>35500</v>
      </c>
      <c r="AE155" t="s">
        <v>12</v>
      </c>
      <c r="AF155" t="s">
        <v>6</v>
      </c>
      <c r="AG155" t="s">
        <v>139</v>
      </c>
      <c r="AH155" s="151">
        <v>8.5390386218393992</v>
      </c>
    </row>
    <row r="156" spans="1:34">
      <c r="A156" t="s">
        <v>12</v>
      </c>
      <c r="B156" t="s">
        <v>10</v>
      </c>
      <c r="C156" t="s">
        <v>139</v>
      </c>
      <c r="D156" t="s">
        <v>42</v>
      </c>
      <c r="E156">
        <v>355000</v>
      </c>
      <c r="F156">
        <v>4.3870519588774659</v>
      </c>
      <c r="G156" s="2">
        <f>+IFERROR(SECADERO[[#This Row],[KG uva]]/COUNTIFS(SECADERO[Finca],SECADERO[[#This Row],[Finca]],SECADERO[Variedad],SECADERO[[#This Row],[Variedad]],SECADERO[Tipo de Cosecha],SECADERO[[#This Row],[Tipo de Cosecha]]),0)</f>
        <v>35500</v>
      </c>
      <c r="AE156" t="s">
        <v>12</v>
      </c>
      <c r="AF156" t="s">
        <v>6</v>
      </c>
      <c r="AG156" t="s">
        <v>141</v>
      </c>
      <c r="AH156" s="151">
        <v>46.493192133131615</v>
      </c>
    </row>
    <row r="157" spans="1:34">
      <c r="A157" t="s">
        <v>12</v>
      </c>
      <c r="B157" t="s">
        <v>10</v>
      </c>
      <c r="C157" t="s">
        <v>140</v>
      </c>
      <c r="D157" t="s">
        <v>42</v>
      </c>
      <c r="E157">
        <v>355000</v>
      </c>
      <c r="F157">
        <v>1.4623506529591555</v>
      </c>
      <c r="G157" s="2">
        <f>+IFERROR(SECADERO[[#This Row],[KG uva]]/COUNTIFS(SECADERO[Finca],SECADERO[[#This Row],[Finca]],SECADERO[Variedad],SECADERO[[#This Row],[Variedad]],SECADERO[Tipo de Cosecha],SECADERO[[#This Row],[Tipo de Cosecha]]),0)</f>
        <v>35500</v>
      </c>
      <c r="AE157" t="s">
        <v>12</v>
      </c>
      <c r="AF157" t="s">
        <v>6</v>
      </c>
      <c r="AG157" t="s">
        <v>146</v>
      </c>
      <c r="AH157" s="151">
        <v>4.2695193109196996</v>
      </c>
    </row>
    <row r="158" spans="1:34">
      <c r="A158" t="s">
        <v>12</v>
      </c>
      <c r="B158" t="s">
        <v>10</v>
      </c>
      <c r="C158" t="s">
        <v>141</v>
      </c>
      <c r="D158" t="s">
        <v>42</v>
      </c>
      <c r="E158">
        <v>355000</v>
      </c>
      <c r="F158">
        <v>23.886535552193646</v>
      </c>
      <c r="G158" s="2">
        <f>+IFERROR(SECADERO[[#This Row],[KG uva]]/COUNTIFS(SECADERO[Finca],SECADERO[[#This Row],[Finca]],SECADERO[Variedad],SECADERO[[#This Row],[Variedad]],SECADERO[Tipo de Cosecha],SECADERO[[#This Row],[Tipo de Cosecha]]),0)</f>
        <v>35500</v>
      </c>
      <c r="AE158" t="s">
        <v>12</v>
      </c>
      <c r="AF158" t="s">
        <v>6</v>
      </c>
      <c r="AG158" t="s">
        <v>143</v>
      </c>
      <c r="AH158" s="151">
        <v>12.337213970293053</v>
      </c>
    </row>
    <row r="159" spans="1:34">
      <c r="A159" t="s">
        <v>12</v>
      </c>
      <c r="B159" t="s">
        <v>10</v>
      </c>
      <c r="C159" t="s">
        <v>146</v>
      </c>
      <c r="D159" t="s">
        <v>42</v>
      </c>
      <c r="E159">
        <v>355000</v>
      </c>
      <c r="F159">
        <v>2.193525979438733</v>
      </c>
      <c r="G159" s="2">
        <f>+IFERROR(SECADERO[[#This Row],[KG uva]]/COUNTIFS(SECADERO[Finca],SECADERO[[#This Row],[Finca]],SECADERO[Variedad],SECADERO[[#This Row],[Variedad]],SECADERO[Tipo de Cosecha],SECADERO[[#This Row],[Tipo de Cosecha]]),0)</f>
        <v>35500</v>
      </c>
      <c r="AE159" t="s">
        <v>4</v>
      </c>
      <c r="AH159" s="151"/>
    </row>
    <row r="160" spans="1:34">
      <c r="A160" t="s">
        <v>12</v>
      </c>
      <c r="B160" t="s">
        <v>10</v>
      </c>
      <c r="C160" t="s">
        <v>142</v>
      </c>
      <c r="D160" t="s">
        <v>42</v>
      </c>
      <c r="E160">
        <v>355000</v>
      </c>
      <c r="F160">
        <v>1.9497406767102987</v>
      </c>
      <c r="G160" s="2">
        <f>+IFERROR(SECADERO[[#This Row],[KG uva]]/COUNTIFS(SECADERO[Finca],SECADERO[[#This Row],[Finca]],SECADERO[Variedad],SECADERO[[#This Row],[Variedad]],SECADERO[Tipo de Cosecha],SECADERO[[#This Row],[Tipo de Cosecha]]),0)</f>
        <v>35500</v>
      </c>
      <c r="AE160" t="s">
        <v>4</v>
      </c>
      <c r="AF160" t="s">
        <v>7</v>
      </c>
      <c r="AH160" s="151"/>
    </row>
    <row r="161" spans="1:34">
      <c r="A161" t="s">
        <v>12</v>
      </c>
      <c r="B161" t="s">
        <v>7</v>
      </c>
      <c r="C161" t="s">
        <v>135</v>
      </c>
      <c r="D161" t="s">
        <v>42</v>
      </c>
      <c r="E161">
        <v>470500</v>
      </c>
      <c r="F161">
        <v>5.0747429841622669</v>
      </c>
      <c r="G161" s="2">
        <f>+IFERROR(SECADERO[[#This Row],[KG uva]]/COUNTIFS(SECADERO[Finca],SECADERO[[#This Row],[Finca]],SECADERO[Variedad],SECADERO[[#This Row],[Variedad]],SECADERO[Tipo de Cosecha],SECADERO[[#This Row],[Tipo de Cosecha]]),0)</f>
        <v>47050</v>
      </c>
      <c r="AE161" t="s">
        <v>4</v>
      </c>
      <c r="AF161" t="s">
        <v>7</v>
      </c>
      <c r="AG161" t="s">
        <v>135</v>
      </c>
      <c r="AH161" s="151">
        <v>2.356744474282173</v>
      </c>
    </row>
    <row r="162" spans="1:34">
      <c r="A162" t="s">
        <v>12</v>
      </c>
      <c r="B162" t="s">
        <v>7</v>
      </c>
      <c r="C162" t="s">
        <v>143</v>
      </c>
      <c r="D162" t="s">
        <v>42</v>
      </c>
      <c r="E162">
        <v>470500</v>
      </c>
      <c r="F162">
        <v>7.3319951826575673</v>
      </c>
      <c r="G162" s="2">
        <f>+IFERROR(SECADERO[[#This Row],[KG uva]]/COUNTIFS(SECADERO[Finca],SECADERO[[#This Row],[Finca]],SECADERO[Variedad],SECADERO[[#This Row],[Variedad]],SECADERO[Tipo de Cosecha],SECADERO[[#This Row],[Tipo de Cosecha]]),0)</f>
        <v>47050</v>
      </c>
      <c r="AE162" t="s">
        <v>4</v>
      </c>
      <c r="AF162" t="s">
        <v>7</v>
      </c>
      <c r="AG162" t="s">
        <v>137</v>
      </c>
      <c r="AH162" s="151">
        <v>2.7813261823500728</v>
      </c>
    </row>
    <row r="163" spans="1:34">
      <c r="A163" t="s">
        <v>12</v>
      </c>
      <c r="B163" t="s">
        <v>7</v>
      </c>
      <c r="C163" t="s">
        <v>136</v>
      </c>
      <c r="D163" t="s">
        <v>42</v>
      </c>
      <c r="E163">
        <v>470500</v>
      </c>
      <c r="F163">
        <v>14.945990180032734</v>
      </c>
      <c r="G163" s="2">
        <f>+IFERROR(SECADERO[[#This Row],[KG uva]]/COUNTIFS(SECADERO[Finca],SECADERO[[#This Row],[Finca]],SECADERO[Variedad],SECADERO[[#This Row],[Variedad]],SECADERO[Tipo de Cosecha],SECADERO[[#This Row],[Tipo de Cosecha]]),0)</f>
        <v>47050</v>
      </c>
      <c r="AE163" t="s">
        <v>4</v>
      </c>
      <c r="AF163" t="s">
        <v>7</v>
      </c>
      <c r="AG163" t="s">
        <v>142</v>
      </c>
      <c r="AH163" s="151">
        <v>1.6408744426866102</v>
      </c>
    </row>
    <row r="164" spans="1:34">
      <c r="A164" t="s">
        <v>12</v>
      </c>
      <c r="B164" t="s">
        <v>7</v>
      </c>
      <c r="C164" t="s">
        <v>137</v>
      </c>
      <c r="D164" t="s">
        <v>42</v>
      </c>
      <c r="E164">
        <v>470500</v>
      </c>
      <c r="F164">
        <v>9.8670988654781198</v>
      </c>
      <c r="G164" s="2">
        <f>+IFERROR(SECADERO[[#This Row],[KG uva]]/COUNTIFS(SECADERO[Finca],SECADERO[[#This Row],[Finca]],SECADERO[Variedad],SECADERO[[#This Row],[Variedad]],SECADERO[Tipo de Cosecha],SECADERO[[#This Row],[Tipo de Cosecha]]),0)</f>
        <v>47050</v>
      </c>
      <c r="AE164" t="s">
        <v>4</v>
      </c>
      <c r="AF164" t="s">
        <v>7</v>
      </c>
      <c r="AG164" t="s">
        <v>136</v>
      </c>
      <c r="AH164" s="151">
        <v>3.7928856382978724</v>
      </c>
    </row>
    <row r="165" spans="1:34">
      <c r="A165" t="s">
        <v>12</v>
      </c>
      <c r="B165" t="s">
        <v>7</v>
      </c>
      <c r="C165" t="s">
        <v>138</v>
      </c>
      <c r="D165" t="s">
        <v>42</v>
      </c>
      <c r="E165">
        <v>470500</v>
      </c>
      <c r="F165">
        <v>12.407608695652172</v>
      </c>
      <c r="G165" s="2">
        <f>+IFERROR(SECADERO[[#This Row],[KG uva]]/COUNTIFS(SECADERO[Finca],SECADERO[[#This Row],[Finca]],SECADERO[Variedad],SECADERO[[#This Row],[Variedad]],SECADERO[Tipo de Cosecha],SECADERO[[#This Row],[Tipo de Cosecha]]),0)</f>
        <v>47050</v>
      </c>
      <c r="AE165" t="s">
        <v>4</v>
      </c>
      <c r="AF165" t="s">
        <v>7</v>
      </c>
      <c r="AG165" t="s">
        <v>138</v>
      </c>
      <c r="AH165" s="151">
        <v>4.2987942727957797</v>
      </c>
    </row>
    <row r="166" spans="1:34">
      <c r="A166" t="s">
        <v>12</v>
      </c>
      <c r="B166" t="s">
        <v>7</v>
      </c>
      <c r="C166" t="s">
        <v>139</v>
      </c>
      <c r="D166" t="s">
        <v>42</v>
      </c>
      <c r="E166">
        <v>470500</v>
      </c>
      <c r="F166">
        <v>5.0747429841622669</v>
      </c>
      <c r="G166" s="2">
        <f>+IFERROR(SECADERO[[#This Row],[KG uva]]/COUNTIFS(SECADERO[Finca],SECADERO[[#This Row],[Finca]],SECADERO[Variedad],SECADERO[[#This Row],[Variedad]],SECADERO[Tipo de Cosecha],SECADERO[[#This Row],[Tipo de Cosecha]]),0)</f>
        <v>47050</v>
      </c>
      <c r="AE166" t="s">
        <v>4</v>
      </c>
      <c r="AF166" t="s">
        <v>7</v>
      </c>
      <c r="AG166" t="s">
        <v>140</v>
      </c>
      <c r="AH166" s="151">
        <v>0.29563504916885841</v>
      </c>
    </row>
    <row r="167" spans="1:34">
      <c r="A167" t="s">
        <v>12</v>
      </c>
      <c r="B167" t="s">
        <v>7</v>
      </c>
      <c r="C167" t="s">
        <v>140</v>
      </c>
      <c r="D167" t="s">
        <v>42</v>
      </c>
      <c r="E167">
        <v>470500</v>
      </c>
      <c r="F167">
        <v>1.6915809947207558</v>
      </c>
      <c r="G167" s="2">
        <f>+IFERROR(SECADERO[[#This Row],[KG uva]]/COUNTIFS(SECADERO[Finca],SECADERO[[#This Row],[Finca]],SECADERO[Variedad],SECADERO[[#This Row],[Variedad]],SECADERO[Tipo de Cosecha],SECADERO[[#This Row],[Tipo de Cosecha]]),0)</f>
        <v>47050</v>
      </c>
      <c r="AE167" t="s">
        <v>4</v>
      </c>
      <c r="AF167" t="s">
        <v>7</v>
      </c>
      <c r="AG167" t="s">
        <v>139</v>
      </c>
      <c r="AH167" s="151">
        <v>2.2758827049670853</v>
      </c>
    </row>
    <row r="168" spans="1:34">
      <c r="A168" t="s">
        <v>12</v>
      </c>
      <c r="B168" t="s">
        <v>7</v>
      </c>
      <c r="C168" t="s">
        <v>141</v>
      </c>
      <c r="D168" t="s">
        <v>42</v>
      </c>
      <c r="E168">
        <v>470500</v>
      </c>
      <c r="F168">
        <v>27.630862329803328</v>
      </c>
      <c r="G168" s="2">
        <f>+IFERROR(SECADERO[[#This Row],[KG uva]]/COUNTIFS(SECADERO[Finca],SECADERO[[#This Row],[Finca]],SECADERO[Variedad],SECADERO[[#This Row],[Variedad]],SECADERO[Tipo de Cosecha],SECADERO[[#This Row],[Tipo de Cosecha]]),0)</f>
        <v>47050</v>
      </c>
      <c r="AE168" t="s">
        <v>4</v>
      </c>
      <c r="AF168" t="s">
        <v>7</v>
      </c>
      <c r="AG168" t="s">
        <v>141</v>
      </c>
      <c r="AH168" s="151">
        <v>8.3460131675201179</v>
      </c>
    </row>
    <row r="169" spans="1:34">
      <c r="A169" t="s">
        <v>12</v>
      </c>
      <c r="B169" t="s">
        <v>7</v>
      </c>
      <c r="C169" t="s">
        <v>146</v>
      </c>
      <c r="D169" t="s">
        <v>42</v>
      </c>
      <c r="E169">
        <v>470500</v>
      </c>
      <c r="F169">
        <v>2.5373714920811334</v>
      </c>
      <c r="G169" s="2">
        <f>+IFERROR(SECADERO[[#This Row],[KG uva]]/COUNTIFS(SECADERO[Finca],SECADERO[[#This Row],[Finca]],SECADERO[Variedad],SECADERO[[#This Row],[Variedad]],SECADERO[Tipo de Cosecha],SECADERO[[#This Row],[Tipo de Cosecha]]),0)</f>
        <v>47050</v>
      </c>
      <c r="AE169" t="s">
        <v>4</v>
      </c>
      <c r="AF169" t="s">
        <v>7</v>
      </c>
      <c r="AG169" t="s">
        <v>144</v>
      </c>
      <c r="AH169" s="151">
        <v>0.19721012238124869</v>
      </c>
    </row>
    <row r="170" spans="1:34">
      <c r="A170" t="s">
        <v>12</v>
      </c>
      <c r="B170" t="s">
        <v>7</v>
      </c>
      <c r="C170" t="s">
        <v>142</v>
      </c>
      <c r="D170" t="s">
        <v>42</v>
      </c>
      <c r="E170">
        <v>470500</v>
      </c>
      <c r="F170">
        <v>2.2553716967152382</v>
      </c>
      <c r="G170" s="2">
        <f>+IFERROR(SECADERO[[#This Row],[KG uva]]/COUNTIFS(SECADERO[Finca],SECADERO[[#This Row],[Finca]],SECADERO[Variedad],SECADERO[[#This Row],[Variedad]],SECADERO[Tipo de Cosecha],SECADERO[[#This Row],[Tipo de Cosecha]]),0)</f>
        <v>47050</v>
      </c>
      <c r="AE170" t="s">
        <v>4</v>
      </c>
      <c r="AF170" t="s">
        <v>7</v>
      </c>
      <c r="AG170" t="s">
        <v>146</v>
      </c>
      <c r="AH170" s="151">
        <v>1.517154255319149</v>
      </c>
    </row>
    <row r="171" spans="1:34">
      <c r="A171" t="s">
        <v>13</v>
      </c>
      <c r="B171" t="s">
        <v>6</v>
      </c>
      <c r="C171" t="s">
        <v>130</v>
      </c>
      <c r="D171" t="s">
        <v>162</v>
      </c>
      <c r="E171">
        <v>1194400</v>
      </c>
      <c r="F171">
        <v>15.188009716776197</v>
      </c>
      <c r="G171" s="2">
        <f>+IFERROR(SECADERO[[#This Row],[KG uva]]/COUNTIFS(SECADERO[Finca],SECADERO[[#This Row],[Finca]],SECADERO[Variedad],SECADERO[[#This Row],[Variedad]],SECADERO[Tipo de Cosecha],SECADERO[[#This Row],[Tipo de Cosecha]]),0)</f>
        <v>1194400</v>
      </c>
      <c r="AE171" t="s">
        <v>4</v>
      </c>
      <c r="AF171" t="s">
        <v>7</v>
      </c>
      <c r="AG171" t="s">
        <v>143</v>
      </c>
      <c r="AH171" s="151">
        <v>1.769934843313683</v>
      </c>
    </row>
    <row r="172" spans="1:34">
      <c r="A172" t="s">
        <v>13</v>
      </c>
      <c r="B172" t="s">
        <v>6</v>
      </c>
      <c r="C172" t="s">
        <v>130</v>
      </c>
      <c r="D172" t="s">
        <v>163</v>
      </c>
      <c r="E172">
        <v>320360</v>
      </c>
      <c r="F172">
        <v>28.000007129823995</v>
      </c>
      <c r="G172" s="2">
        <f>+IFERROR(SECADERO[[#This Row],[KG uva]]/COUNTIFS(SECADERO[Finca],SECADERO[[#This Row],[Finca]],SECADERO[Variedad],SECADERO[[#This Row],[Variedad]],SECADERO[Tipo de Cosecha],SECADERO[[#This Row],[Tipo de Cosecha]]),0)</f>
        <v>29123.636363636364</v>
      </c>
      <c r="AE172" t="s">
        <v>4</v>
      </c>
      <c r="AF172" t="s">
        <v>6</v>
      </c>
      <c r="AH172" s="151"/>
    </row>
    <row r="173" spans="1:34">
      <c r="A173" t="s">
        <v>13</v>
      </c>
      <c r="B173" t="s">
        <v>6</v>
      </c>
      <c r="C173" t="s">
        <v>135</v>
      </c>
      <c r="D173" t="s">
        <v>163</v>
      </c>
      <c r="E173">
        <v>320360</v>
      </c>
      <c r="F173">
        <v>12.023133535745517</v>
      </c>
      <c r="G173" s="2">
        <f>+IFERROR(SECADERO[[#This Row],[KG uva]]/COUNTIFS(SECADERO[Finca],SECADERO[[#This Row],[Finca]],SECADERO[Variedad],SECADERO[[#This Row],[Variedad]],SECADERO[Tipo de Cosecha],SECADERO[[#This Row],[Tipo de Cosecha]]),0)</f>
        <v>29123.636363636364</v>
      </c>
      <c r="AE173" t="s">
        <v>4</v>
      </c>
      <c r="AF173" t="s">
        <v>6</v>
      </c>
      <c r="AG173" t="s">
        <v>135</v>
      </c>
      <c r="AH173" s="151">
        <v>5.0398677959099354</v>
      </c>
    </row>
    <row r="174" spans="1:34">
      <c r="A174" t="s">
        <v>13</v>
      </c>
      <c r="B174" t="s">
        <v>6</v>
      </c>
      <c r="C174" t="s">
        <v>143</v>
      </c>
      <c r="D174" t="s">
        <v>163</v>
      </c>
      <c r="E174">
        <v>320360</v>
      </c>
      <c r="F174">
        <v>20.118945193521444</v>
      </c>
      <c r="G174" s="2">
        <f>+IFERROR(SECADERO[[#This Row],[KG uva]]/COUNTIFS(SECADERO[Finca],SECADERO[[#This Row],[Finca]],SECADERO[Variedad],SECADERO[[#This Row],[Variedad]],SECADERO[Tipo de Cosecha],SECADERO[[#This Row],[Tipo de Cosecha]]),0)</f>
        <v>29123.636363636364</v>
      </c>
      <c r="AE174" t="s">
        <v>4</v>
      </c>
      <c r="AF174" t="s">
        <v>6</v>
      </c>
      <c r="AG174" t="s">
        <v>137</v>
      </c>
      <c r="AH174" s="151">
        <v>5.9478303266699175</v>
      </c>
    </row>
    <row r="175" spans="1:34">
      <c r="A175" t="s">
        <v>13</v>
      </c>
      <c r="B175" t="s">
        <v>6</v>
      </c>
      <c r="C175" t="s">
        <v>136</v>
      </c>
      <c r="D175" t="s">
        <v>163</v>
      </c>
      <c r="E175">
        <v>320360</v>
      </c>
      <c r="F175">
        <v>40.423974763406939</v>
      </c>
      <c r="G175" s="2">
        <f>+IFERROR(SECADERO[[#This Row],[KG uva]]/COUNTIFS(SECADERO[Finca],SECADERO[[#This Row],[Finca]],SECADERO[Variedad],SECADERO[[#This Row],[Variedad]],SECADERO[Tipo de Cosecha],SECADERO[[#This Row],[Tipo de Cosecha]]),0)</f>
        <v>29123.636363636364</v>
      </c>
      <c r="AE175" t="s">
        <v>4</v>
      </c>
      <c r="AF175" t="s">
        <v>6</v>
      </c>
      <c r="AG175" t="s">
        <v>142</v>
      </c>
      <c r="AH175" s="151">
        <v>3.5089889256436071</v>
      </c>
    </row>
    <row r="176" spans="1:34">
      <c r="A176" t="s">
        <v>13</v>
      </c>
      <c r="B176" t="s">
        <v>6</v>
      </c>
      <c r="C176" t="s">
        <v>137</v>
      </c>
      <c r="D176" t="s">
        <v>163</v>
      </c>
      <c r="E176">
        <v>320360</v>
      </c>
      <c r="F176">
        <v>24.254996971532403</v>
      </c>
      <c r="G176" s="2">
        <f>+IFERROR(SECADERO[[#This Row],[KG uva]]/COUNTIFS(SECADERO[Finca],SECADERO[[#This Row],[Finca]],SECADERO[Variedad],SECADERO[[#This Row],[Variedad]],SECADERO[Tipo de Cosecha],SECADERO[[#This Row],[Tipo de Cosecha]]),0)</f>
        <v>29123.636363636364</v>
      </c>
      <c r="AE176" t="s">
        <v>4</v>
      </c>
      <c r="AF176" t="s">
        <v>6</v>
      </c>
      <c r="AG176" t="s">
        <v>136</v>
      </c>
      <c r="AH176" s="151">
        <v>8.1110372340425538</v>
      </c>
    </row>
    <row r="177" spans="1:34">
      <c r="A177" t="s">
        <v>13</v>
      </c>
      <c r="B177" t="s">
        <v>6</v>
      </c>
      <c r="C177" t="s">
        <v>138</v>
      </c>
      <c r="D177" t="s">
        <v>163</v>
      </c>
      <c r="E177">
        <v>320360</v>
      </c>
      <c r="F177">
        <v>30.265184079507989</v>
      </c>
      <c r="G177" s="2">
        <f>+IFERROR(SECADERO[[#This Row],[KG uva]]/COUNTIFS(SECADERO[Finca],SECADERO[[#This Row],[Finca]],SECADERO[Variedad],SECADERO[[#This Row],[Variedad]],SECADERO[Tipo de Cosecha],SECADERO[[#This Row],[Tipo de Cosecha]]),0)</f>
        <v>29123.636363636364</v>
      </c>
      <c r="AE177" t="s">
        <v>4</v>
      </c>
      <c r="AF177" t="s">
        <v>6</v>
      </c>
      <c r="AG177" t="s">
        <v>138</v>
      </c>
      <c r="AH177" s="151">
        <v>9.1929163526752067</v>
      </c>
    </row>
    <row r="178" spans="1:34">
      <c r="A178" t="s">
        <v>13</v>
      </c>
      <c r="B178" t="s">
        <v>6</v>
      </c>
      <c r="C178" t="s">
        <v>139</v>
      </c>
      <c r="D178" t="s">
        <v>163</v>
      </c>
      <c r="E178">
        <v>320360</v>
      </c>
      <c r="F178">
        <v>12.023133535745517</v>
      </c>
      <c r="G178" s="2">
        <f>+IFERROR(SECADERO[[#This Row],[KG uva]]/COUNTIFS(SECADERO[Finca],SECADERO[[#This Row],[Finca]],SECADERO[Variedad],SECADERO[[#This Row],[Variedad]],SECADERO[Tipo de Cosecha],SECADERO[[#This Row],[Tipo de Cosecha]]),0)</f>
        <v>29123.636363636364</v>
      </c>
      <c r="AE178" t="s">
        <v>4</v>
      </c>
      <c r="AF178" t="s">
        <v>6</v>
      </c>
      <c r="AG178" t="s">
        <v>140</v>
      </c>
      <c r="AH178" s="151">
        <v>0.63221175647487138</v>
      </c>
    </row>
    <row r="179" spans="1:34">
      <c r="A179" t="s">
        <v>13</v>
      </c>
      <c r="B179" t="s">
        <v>6</v>
      </c>
      <c r="C179" t="s">
        <v>140</v>
      </c>
      <c r="D179" t="s">
        <v>163</v>
      </c>
      <c r="E179">
        <v>320360</v>
      </c>
      <c r="F179">
        <v>4.5604924352426019</v>
      </c>
      <c r="G179" s="2">
        <f>+IFERROR(SECADERO[[#This Row],[KG uva]]/COUNTIFS(SECADERO[Finca],SECADERO[[#This Row],[Finca]],SECADERO[Variedad],SECADERO[[#This Row],[Variedad]],SECADERO[Tipo de Cosecha],SECADERO[[#This Row],[Tipo de Cosecha]]),0)</f>
        <v>29123.636363636364</v>
      </c>
      <c r="AE179" t="s">
        <v>4</v>
      </c>
      <c r="AF179" t="s">
        <v>6</v>
      </c>
      <c r="AG179" t="s">
        <v>139</v>
      </c>
      <c r="AH179" s="151">
        <v>4.8669459405545581</v>
      </c>
    </row>
    <row r="180" spans="1:34">
      <c r="A180" t="s">
        <v>13</v>
      </c>
      <c r="B180" t="s">
        <v>6</v>
      </c>
      <c r="C180" t="s">
        <v>141</v>
      </c>
      <c r="D180" t="s">
        <v>163</v>
      </c>
      <c r="E180">
        <v>320360</v>
      </c>
      <c r="F180">
        <v>80.242259687757524</v>
      </c>
      <c r="G180" s="2">
        <f>+IFERROR(SECADERO[[#This Row],[KG uva]]/COUNTIFS(SECADERO[Finca],SECADERO[[#This Row],[Finca]],SECADERO[Variedad],SECADERO[[#This Row],[Variedad]],SECADERO[Tipo de Cosecha],SECADERO[[#This Row],[Tipo de Cosecha]]),0)</f>
        <v>29123.636363636364</v>
      </c>
      <c r="AE180" t="s">
        <v>4</v>
      </c>
      <c r="AF180" t="s">
        <v>6</v>
      </c>
      <c r="AG180" t="s">
        <v>141</v>
      </c>
      <c r="AH180" s="151">
        <v>17.847841989758596</v>
      </c>
    </row>
    <row r="181" spans="1:34">
      <c r="A181" t="s">
        <v>13</v>
      </c>
      <c r="B181" t="s">
        <v>6</v>
      </c>
      <c r="C181" t="s">
        <v>146</v>
      </c>
      <c r="D181" t="s">
        <v>163</v>
      </c>
      <c r="E181">
        <v>320360</v>
      </c>
      <c r="F181">
        <v>6.6335362570919782</v>
      </c>
      <c r="G181" s="2">
        <f>+IFERROR(SECADERO[[#This Row],[KG uva]]/COUNTIFS(SECADERO[Finca],SECADERO[[#This Row],[Finca]],SECADERO[Variedad],SECADERO[[#This Row],[Variedad]],SECADERO[Tipo de Cosecha],SECADERO[[#This Row],[Tipo de Cosecha]]),0)</f>
        <v>29123.636363636364</v>
      </c>
      <c r="AE181" t="s">
        <v>4</v>
      </c>
      <c r="AF181" t="s">
        <v>6</v>
      </c>
      <c r="AG181" t="s">
        <v>144</v>
      </c>
      <c r="AH181" s="151">
        <v>0.42173131438843947</v>
      </c>
    </row>
    <row r="182" spans="1:34">
      <c r="A182" t="s">
        <v>13</v>
      </c>
      <c r="B182" t="s">
        <v>6</v>
      </c>
      <c r="C182" t="s">
        <v>142</v>
      </c>
      <c r="D182" t="s">
        <v>163</v>
      </c>
      <c r="E182">
        <v>320360</v>
      </c>
      <c r="F182">
        <v>6.2188557352036229</v>
      </c>
      <c r="G182" s="2">
        <f>+IFERROR(SECADERO[[#This Row],[KG uva]]/COUNTIFS(SECADERO[Finca],SECADERO[[#This Row],[Finca]],SECADERO[Variedad],SECADERO[[#This Row],[Variedad]],SECADERO[Tipo de Cosecha],SECADERO[[#This Row],[Tipo de Cosecha]]),0)</f>
        <v>29123.636363636364</v>
      </c>
      <c r="AE182" t="s">
        <v>4</v>
      </c>
      <c r="AF182" t="s">
        <v>6</v>
      </c>
      <c r="AG182" t="s">
        <v>146</v>
      </c>
      <c r="AH182" s="151">
        <v>3.2444148936170216</v>
      </c>
    </row>
    <row r="183" spans="1:34">
      <c r="A183" t="s">
        <v>14</v>
      </c>
      <c r="B183" t="s">
        <v>10</v>
      </c>
      <c r="C183" t="s">
        <v>130</v>
      </c>
      <c r="D183" t="s">
        <v>162</v>
      </c>
      <c r="E183">
        <v>747950</v>
      </c>
      <c r="F183">
        <v>11.034487268626915</v>
      </c>
      <c r="G183" s="2">
        <f>+IFERROR(SECADERO[[#This Row],[KG uva]]/COUNTIFS(SECADERO[Finca],SECADERO[[#This Row],[Finca]],SECADERO[Variedad],SECADERO[[#This Row],[Variedad]],SECADERO[Tipo de Cosecha],SECADERO[[#This Row],[Tipo de Cosecha]]),0)</f>
        <v>747950</v>
      </c>
      <c r="AE183" t="s">
        <v>4</v>
      </c>
      <c r="AF183" t="s">
        <v>6</v>
      </c>
      <c r="AG183" t="s">
        <v>143</v>
      </c>
      <c r="AH183" s="151">
        <v>3.7849829351535833</v>
      </c>
    </row>
    <row r="184" spans="1:34">
      <c r="A184" t="s">
        <v>14</v>
      </c>
      <c r="B184" t="s">
        <v>6</v>
      </c>
      <c r="C184" t="s">
        <v>130</v>
      </c>
      <c r="D184" t="s">
        <v>162</v>
      </c>
      <c r="E184">
        <v>886400</v>
      </c>
      <c r="F184">
        <v>11.259166114506336</v>
      </c>
      <c r="G184" s="2">
        <f>+IFERROR(SECADERO[[#This Row],[KG uva]]/COUNTIFS(SECADERO[Finca],SECADERO[[#This Row],[Finca]],SECADERO[Variedad],SECADERO[[#This Row],[Variedad]],SECADERO[Tipo de Cosecha],SECADERO[[#This Row],[Tipo de Cosecha]]),0)</f>
        <v>886400</v>
      </c>
      <c r="AE184" t="s">
        <v>4</v>
      </c>
      <c r="AF184" t="s">
        <v>5</v>
      </c>
      <c r="AH184" s="151"/>
    </row>
    <row r="185" spans="1:34">
      <c r="A185" t="s">
        <v>14</v>
      </c>
      <c r="B185" t="s">
        <v>5</v>
      </c>
      <c r="C185" t="s">
        <v>130</v>
      </c>
      <c r="D185" t="s">
        <v>162</v>
      </c>
      <c r="E185">
        <v>1246500</v>
      </c>
      <c r="F185">
        <v>22.518332229012671</v>
      </c>
      <c r="G185" s="2">
        <f>+IFERROR(SECADERO[[#This Row],[KG uva]]/COUNTIFS(SECADERO[Finca],SECADERO[[#This Row],[Finca]],SECADERO[Variedad],SECADERO[[#This Row],[Variedad]],SECADERO[Tipo de Cosecha],SECADERO[[#This Row],[Tipo de Cosecha]]),0)</f>
        <v>1246500</v>
      </c>
      <c r="AE185" t="s">
        <v>4</v>
      </c>
      <c r="AF185" t="s">
        <v>5</v>
      </c>
      <c r="AG185" t="s">
        <v>135</v>
      </c>
      <c r="AH185" s="151">
        <v>1.9248089237760793</v>
      </c>
    </row>
    <row r="186" spans="1:34">
      <c r="A186" t="s">
        <v>15</v>
      </c>
      <c r="B186" t="s">
        <v>10</v>
      </c>
      <c r="C186" t="s">
        <v>130</v>
      </c>
      <c r="D186" t="s">
        <v>163</v>
      </c>
      <c r="E186">
        <v>776810</v>
      </c>
      <c r="F186">
        <v>25.364396264611766</v>
      </c>
      <c r="G186" s="2">
        <f>+IFERROR(SECADERO[[#This Row],[KG uva]]/COUNTIFS(SECADERO[Finca],SECADERO[[#This Row],[Finca]],SECADERO[Variedad],SECADERO[[#This Row],[Variedad]],SECADERO[Tipo de Cosecha],SECADERO[[#This Row],[Tipo de Cosecha]]),0)</f>
        <v>70619.090909090912</v>
      </c>
      <c r="AE186" t="s">
        <v>4</v>
      </c>
      <c r="AF186" t="s">
        <v>5</v>
      </c>
      <c r="AG186" t="s">
        <v>137</v>
      </c>
      <c r="AH186" s="151">
        <v>2.271574841540712</v>
      </c>
    </row>
    <row r="187" spans="1:34">
      <c r="A187" t="s">
        <v>15</v>
      </c>
      <c r="B187" t="s">
        <v>10</v>
      </c>
      <c r="C187" t="s">
        <v>135</v>
      </c>
      <c r="D187" t="s">
        <v>163</v>
      </c>
      <c r="E187">
        <v>776810</v>
      </c>
      <c r="F187">
        <v>29.153734429711808</v>
      </c>
      <c r="G187" s="2">
        <f>+IFERROR(SECADERO[[#This Row],[KG uva]]/COUNTIFS(SECADERO[Finca],SECADERO[[#This Row],[Finca]],SECADERO[Variedad],SECADERO[[#This Row],[Variedad]],SECADERO[Tipo de Cosecha],SECADERO[[#This Row],[Tipo de Cosecha]]),0)</f>
        <v>70619.090909090912</v>
      </c>
      <c r="AE187" t="s">
        <v>4</v>
      </c>
      <c r="AF187" t="s">
        <v>5</v>
      </c>
      <c r="AG187" t="s">
        <v>142</v>
      </c>
      <c r="AH187" s="151">
        <v>1.3401409463540919</v>
      </c>
    </row>
    <row r="188" spans="1:34">
      <c r="A188" t="s">
        <v>15</v>
      </c>
      <c r="B188" t="s">
        <v>10</v>
      </c>
      <c r="C188" t="s">
        <v>143</v>
      </c>
      <c r="D188" t="s">
        <v>163</v>
      </c>
      <c r="E188">
        <v>776810</v>
      </c>
      <c r="F188">
        <v>48.784485627979123</v>
      </c>
      <c r="G188" s="2">
        <f>+IFERROR(SECADERO[[#This Row],[KG uva]]/COUNTIFS(SECADERO[Finca],SECADERO[[#This Row],[Finca]],SECADERO[Variedad],SECADERO[[#This Row],[Variedad]],SECADERO[Tipo de Cosecha],SECADERO[[#This Row],[Tipo de Cosecha]]),0)</f>
        <v>70619.090909090912</v>
      </c>
      <c r="AE188" t="s">
        <v>4</v>
      </c>
      <c r="AF188" t="s">
        <v>5</v>
      </c>
      <c r="AG188" t="s">
        <v>136</v>
      </c>
      <c r="AH188" s="151">
        <v>3.0977393617021276</v>
      </c>
    </row>
    <row r="189" spans="1:34">
      <c r="A189" t="s">
        <v>15</v>
      </c>
      <c r="B189" t="s">
        <v>10</v>
      </c>
      <c r="C189" t="s">
        <v>136</v>
      </c>
      <c r="D189" t="s">
        <v>163</v>
      </c>
      <c r="E189">
        <v>776810</v>
      </c>
      <c r="F189">
        <v>98.020189274447958</v>
      </c>
      <c r="G189" s="2">
        <f>+IFERROR(SECADERO[[#This Row],[KG uva]]/COUNTIFS(SECADERO[Finca],SECADERO[[#This Row],[Finca]],SECADERO[Variedad],SECADERO[[#This Row],[Variedad]],SECADERO[Tipo de Cosecha],SECADERO[[#This Row],[Tipo de Cosecha]]),0)</f>
        <v>70619.090909090912</v>
      </c>
      <c r="AE189" t="s">
        <v>4</v>
      </c>
      <c r="AF189" t="s">
        <v>5</v>
      </c>
      <c r="AG189" t="s">
        <v>138</v>
      </c>
      <c r="AH189" s="151">
        <v>3.5109269027882437</v>
      </c>
    </row>
    <row r="190" spans="1:34">
      <c r="A190" t="s">
        <v>15</v>
      </c>
      <c r="B190" t="s">
        <v>10</v>
      </c>
      <c r="C190" t="s">
        <v>137</v>
      </c>
      <c r="D190" t="s">
        <v>163</v>
      </c>
      <c r="E190">
        <v>776810</v>
      </c>
      <c r="F190">
        <v>58.81359781950335</v>
      </c>
      <c r="G190" s="2">
        <f>+IFERROR(SECADERO[[#This Row],[KG uva]]/COUNTIFS(SECADERO[Finca],SECADERO[[#This Row],[Finca]],SECADERO[Variedad],SECADERO[[#This Row],[Variedad]],SECADERO[Tipo de Cosecha],SECADERO[[#This Row],[Tipo de Cosecha]]),0)</f>
        <v>70619.090909090912</v>
      </c>
      <c r="AE190" t="s">
        <v>4</v>
      </c>
      <c r="AF190" t="s">
        <v>5</v>
      </c>
      <c r="AG190" t="s">
        <v>140</v>
      </c>
      <c r="AH190" s="151">
        <v>0.24145213324177606</v>
      </c>
    </row>
    <row r="191" spans="1:34">
      <c r="A191" t="s">
        <v>15</v>
      </c>
      <c r="B191" t="s">
        <v>10</v>
      </c>
      <c r="C191" t="s">
        <v>138</v>
      </c>
      <c r="D191" t="s">
        <v>163</v>
      </c>
      <c r="E191">
        <v>776810</v>
      </c>
      <c r="F191">
        <v>73.387119630423896</v>
      </c>
      <c r="G191" s="2">
        <f>+IFERROR(SECADERO[[#This Row],[KG uva]]/COUNTIFS(SECADERO[Finca],SECADERO[[#This Row],[Finca]],SECADERO[Variedad],SECADERO[[#This Row],[Variedad]],SECADERO[Tipo de Cosecha],SECADERO[[#This Row],[Tipo de Cosecha]]),0)</f>
        <v>70619.090909090912</v>
      </c>
      <c r="AE191" t="s">
        <v>4</v>
      </c>
      <c r="AF191" t="s">
        <v>5</v>
      </c>
      <c r="AG191" t="s">
        <v>139</v>
      </c>
      <c r="AH191" s="151">
        <v>1.8587672052663076</v>
      </c>
    </row>
    <row r="192" spans="1:34">
      <c r="A192" t="s">
        <v>15</v>
      </c>
      <c r="B192" t="s">
        <v>10</v>
      </c>
      <c r="C192" t="s">
        <v>139</v>
      </c>
      <c r="D192" t="s">
        <v>163</v>
      </c>
      <c r="E192">
        <v>776810</v>
      </c>
      <c r="F192">
        <v>29.153734429711808</v>
      </c>
      <c r="G192" s="2">
        <f>+IFERROR(SECADERO[[#This Row],[KG uva]]/COUNTIFS(SECADERO[Finca],SECADERO[[#This Row],[Finca]],SECADERO[Variedad],SECADERO[[#This Row],[Variedad]],SECADERO[Tipo de Cosecha],SECADERO[[#This Row],[Tipo de Cosecha]]),0)</f>
        <v>70619.090909090912</v>
      </c>
      <c r="AE192" t="s">
        <v>4</v>
      </c>
      <c r="AF192" t="s">
        <v>5</v>
      </c>
      <c r="AG192" t="s">
        <v>141</v>
      </c>
      <c r="AH192" s="151">
        <v>6.8163862472567667</v>
      </c>
    </row>
    <row r="193" spans="1:34">
      <c r="A193" t="s">
        <v>15</v>
      </c>
      <c r="B193" t="s">
        <v>10</v>
      </c>
      <c r="C193" t="s">
        <v>140</v>
      </c>
      <c r="D193" t="s">
        <v>163</v>
      </c>
      <c r="E193">
        <v>776810</v>
      </c>
      <c r="F193">
        <v>11.058297317457876</v>
      </c>
      <c r="G193" s="2">
        <f>+IFERROR(SECADERO[[#This Row],[KG uva]]/COUNTIFS(SECADERO[Finca],SECADERO[[#This Row],[Finca]],SECADERO[Variedad],SECADERO[[#This Row],[Variedad]],SECADERO[Tipo de Cosecha],SECADERO[[#This Row],[Tipo de Cosecha]]),0)</f>
        <v>70619.090909090912</v>
      </c>
      <c r="AE193" t="s">
        <v>4</v>
      </c>
      <c r="AF193" t="s">
        <v>5</v>
      </c>
      <c r="AG193" t="s">
        <v>144</v>
      </c>
      <c r="AH193" s="151">
        <v>0.16106616884463804</v>
      </c>
    </row>
    <row r="194" spans="1:34">
      <c r="A194" t="s">
        <v>15</v>
      </c>
      <c r="B194" t="s">
        <v>10</v>
      </c>
      <c r="C194" t="s">
        <v>141</v>
      </c>
      <c r="D194" t="s">
        <v>163</v>
      </c>
      <c r="E194">
        <v>776810</v>
      </c>
      <c r="F194">
        <v>194.57169980037125</v>
      </c>
      <c r="G194" s="2">
        <f>+IFERROR(SECADERO[[#This Row],[KG uva]]/COUNTIFS(SECADERO[Finca],SECADERO[[#This Row],[Finca]],SECADERO[Variedad],SECADERO[[#This Row],[Variedad]],SECADERO[Tipo de Cosecha],SECADERO[[#This Row],[Tipo de Cosecha]]),0)</f>
        <v>70619.090909090912</v>
      </c>
      <c r="AE194" t="s">
        <v>4</v>
      </c>
      <c r="AF194" t="s">
        <v>5</v>
      </c>
      <c r="AG194" t="s">
        <v>146</v>
      </c>
      <c r="AH194" s="151">
        <v>1.239095744680851</v>
      </c>
    </row>
    <row r="195" spans="1:34">
      <c r="A195" t="s">
        <v>15</v>
      </c>
      <c r="B195" t="s">
        <v>10</v>
      </c>
      <c r="C195" t="s">
        <v>146</v>
      </c>
      <c r="D195" t="s">
        <v>163</v>
      </c>
      <c r="E195">
        <v>776810</v>
      </c>
      <c r="F195">
        <v>16.085020913571046</v>
      </c>
      <c r="G195" s="2">
        <f>+IFERROR(SECADERO[[#This Row],[KG uva]]/COUNTIFS(SECADERO[Finca],SECADERO[[#This Row],[Finca]],SECADERO[Variedad],SECADERO[[#This Row],[Variedad]],SECADERO[Tipo de Cosecha],SECADERO[[#This Row],[Tipo de Cosecha]]),0)</f>
        <v>70619.090909090912</v>
      </c>
      <c r="AE195" t="s">
        <v>4</v>
      </c>
      <c r="AF195" t="s">
        <v>5</v>
      </c>
      <c r="AG195" t="s">
        <v>143</v>
      </c>
      <c r="AH195" s="151">
        <v>1.4455476264349985</v>
      </c>
    </row>
    <row r="196" spans="1:34">
      <c r="A196" t="s">
        <v>15</v>
      </c>
      <c r="B196" t="s">
        <v>10</v>
      </c>
      <c r="C196" t="s">
        <v>142</v>
      </c>
      <c r="D196" t="s">
        <v>163</v>
      </c>
      <c r="E196">
        <v>776810</v>
      </c>
      <c r="F196">
        <v>15.079502196477481</v>
      </c>
      <c r="G196" s="2">
        <f>+IFERROR(SECADERO[[#This Row],[KG uva]]/COUNTIFS(SECADERO[Finca],SECADERO[[#This Row],[Finca]],SECADERO[Variedad],SECADERO[[#This Row],[Variedad]],SECADERO[Tipo de Cosecha],SECADERO[[#This Row],[Tipo de Cosecha]]),0)</f>
        <v>70619.090909090912</v>
      </c>
      <c r="AE196" t="s">
        <v>104</v>
      </c>
      <c r="AH196" s="151">
        <v>2934.3675389546256</v>
      </c>
    </row>
    <row r="197" spans="1:34">
      <c r="A197" t="s">
        <v>15</v>
      </c>
      <c r="B197" t="s">
        <v>6</v>
      </c>
      <c r="C197" t="s">
        <v>130</v>
      </c>
      <c r="D197" t="s">
        <v>163</v>
      </c>
      <c r="E197">
        <v>384660</v>
      </c>
      <c r="F197">
        <v>12.559916410892704</v>
      </c>
      <c r="G197" s="2">
        <f>+IFERROR(SECADERO[[#This Row],[KG uva]]/COUNTIFS(SECADERO[Finca],SECADERO[[#This Row],[Finca]],SECADERO[Variedad],SECADERO[[#This Row],[Variedad]],SECADERO[Tipo de Cosecha],SECADERO[[#This Row],[Tipo de Cosecha]]),0)</f>
        <v>34969.090909090912</v>
      </c>
    </row>
    <row r="198" spans="1:34">
      <c r="A198" t="s">
        <v>15</v>
      </c>
      <c r="B198" t="s">
        <v>6</v>
      </c>
      <c r="C198" t="s">
        <v>135</v>
      </c>
      <c r="D198" t="s">
        <v>163</v>
      </c>
      <c r="E198">
        <v>384660</v>
      </c>
      <c r="F198">
        <v>14.436317099075636</v>
      </c>
      <c r="G198" s="2">
        <f>+IFERROR(SECADERO[[#This Row],[KG uva]]/COUNTIFS(SECADERO[Finca],SECADERO[[#This Row],[Finca]],SECADERO[Variedad],SECADERO[[#This Row],[Variedad]],SECADERO[Tipo de Cosecha],SECADERO[[#This Row],[Tipo de Cosecha]]),0)</f>
        <v>34969.090909090912</v>
      </c>
    </row>
    <row r="199" spans="1:34">
      <c r="A199" t="s">
        <v>15</v>
      </c>
      <c r="B199" t="s">
        <v>6</v>
      </c>
      <c r="C199" t="s">
        <v>143</v>
      </c>
      <c r="D199" t="s">
        <v>163</v>
      </c>
      <c r="E199">
        <v>384660</v>
      </c>
      <c r="F199">
        <v>24.157052872206137</v>
      </c>
      <c r="G199" s="2">
        <f>+IFERROR(SECADERO[[#This Row],[KG uva]]/COUNTIFS(SECADERO[Finca],SECADERO[[#This Row],[Finca]],SECADERO[Variedad],SECADERO[[#This Row],[Variedad]],SECADERO[Tipo de Cosecha],SECADERO[[#This Row],[Tipo de Cosecha]]),0)</f>
        <v>34969.090909090912</v>
      </c>
    </row>
    <row r="200" spans="1:34">
      <c r="A200" t="s">
        <v>15</v>
      </c>
      <c r="B200" t="s">
        <v>6</v>
      </c>
      <c r="C200" t="s">
        <v>136</v>
      </c>
      <c r="D200" t="s">
        <v>163</v>
      </c>
      <c r="E200">
        <v>384660</v>
      </c>
      <c r="F200">
        <v>48.537539432176651</v>
      </c>
      <c r="G200" s="2">
        <f>+IFERROR(SECADERO[[#This Row],[KG uva]]/COUNTIFS(SECADERO[Finca],SECADERO[[#This Row],[Finca]],SECADERO[Variedad],SECADERO[[#This Row],[Variedad]],SECADERO[Tipo de Cosecha],SECADERO[[#This Row],[Tipo de Cosecha]]),0)</f>
        <v>34969.090909090912</v>
      </c>
    </row>
    <row r="201" spans="1:34">
      <c r="A201" t="s">
        <v>15</v>
      </c>
      <c r="B201" t="s">
        <v>6</v>
      </c>
      <c r="C201" t="s">
        <v>137</v>
      </c>
      <c r="D201" t="s">
        <v>163</v>
      </c>
      <c r="E201">
        <v>384660</v>
      </c>
      <c r="F201">
        <v>29.123258631132646</v>
      </c>
      <c r="G201" s="2">
        <f>+IFERROR(SECADERO[[#This Row],[KG uva]]/COUNTIFS(SECADERO[Finca],SECADERO[[#This Row],[Finca]],SECADERO[Variedad],SECADERO[[#This Row],[Variedad]],SECADERO[Tipo de Cosecha],SECADERO[[#This Row],[Tipo de Cosecha]]),0)</f>
        <v>34969.090909090912</v>
      </c>
    </row>
    <row r="202" spans="1:34">
      <c r="A202" t="s">
        <v>15</v>
      </c>
      <c r="B202" t="s">
        <v>6</v>
      </c>
      <c r="C202" t="s">
        <v>138</v>
      </c>
      <c r="D202" t="s">
        <v>163</v>
      </c>
      <c r="E202">
        <v>384660</v>
      </c>
      <c r="F202">
        <v>36.33976060689082</v>
      </c>
      <c r="G202" s="2">
        <f>+IFERROR(SECADERO[[#This Row],[KG uva]]/COUNTIFS(SECADERO[Finca],SECADERO[[#This Row],[Finca]],SECADERO[Variedad],SECADERO[[#This Row],[Variedad]],SECADERO[Tipo de Cosecha],SECADERO[[#This Row],[Tipo de Cosecha]]),0)</f>
        <v>34969.090909090912</v>
      </c>
    </row>
    <row r="203" spans="1:34">
      <c r="A203" t="s">
        <v>15</v>
      </c>
      <c r="B203" t="s">
        <v>6</v>
      </c>
      <c r="C203" t="s">
        <v>139</v>
      </c>
      <c r="D203" t="s">
        <v>163</v>
      </c>
      <c r="E203">
        <v>384660</v>
      </c>
      <c r="F203">
        <v>14.436317099075636</v>
      </c>
      <c r="G203" s="2">
        <f>+IFERROR(SECADERO[[#This Row],[KG uva]]/COUNTIFS(SECADERO[Finca],SECADERO[[#This Row],[Finca]],SECADERO[Variedad],SECADERO[[#This Row],[Variedad]],SECADERO[Tipo de Cosecha],SECADERO[[#This Row],[Tipo de Cosecha]]),0)</f>
        <v>34969.090909090912</v>
      </c>
    </row>
    <row r="204" spans="1:34">
      <c r="A204" t="s">
        <v>15</v>
      </c>
      <c r="B204" t="s">
        <v>6</v>
      </c>
      <c r="C204" t="s">
        <v>140</v>
      </c>
      <c r="D204" t="s">
        <v>163</v>
      </c>
      <c r="E204">
        <v>384660</v>
      </c>
      <c r="F204">
        <v>5.4758366217393526</v>
      </c>
      <c r="G204" s="2">
        <f>+IFERROR(SECADERO[[#This Row],[KG uva]]/COUNTIFS(SECADERO[Finca],SECADERO[[#This Row],[Finca]],SECADERO[Variedad],SECADERO[[#This Row],[Variedad]],SECADERO[Tipo de Cosecha],SECADERO[[#This Row],[Tipo de Cosecha]]),0)</f>
        <v>34969.090909090912</v>
      </c>
    </row>
    <row r="205" spans="1:34">
      <c r="A205" t="s">
        <v>15</v>
      </c>
      <c r="B205" t="s">
        <v>6</v>
      </c>
      <c r="C205" t="s">
        <v>141</v>
      </c>
      <c r="D205" t="s">
        <v>163</v>
      </c>
      <c r="E205">
        <v>384660</v>
      </c>
      <c r="F205">
        <v>96.347819988428057</v>
      </c>
      <c r="G205" s="2">
        <f>+IFERROR(SECADERO[[#This Row],[KG uva]]/COUNTIFS(SECADERO[Finca],SECADERO[[#This Row],[Finca]],SECADERO[Variedad],SECADERO[[#This Row],[Variedad]],SECADERO[Tipo de Cosecha],SECADERO[[#This Row],[Tipo de Cosecha]]),0)</f>
        <v>34969.090909090912</v>
      </c>
    </row>
    <row r="206" spans="1:34">
      <c r="A206" t="s">
        <v>15</v>
      </c>
      <c r="B206" t="s">
        <v>6</v>
      </c>
      <c r="C206" t="s">
        <v>146</v>
      </c>
      <c r="D206" t="s">
        <v>163</v>
      </c>
      <c r="E206">
        <v>384660</v>
      </c>
      <c r="F206">
        <v>7.9649645918747662</v>
      </c>
      <c r="G206" s="2">
        <f>+IFERROR(SECADERO[[#This Row],[KG uva]]/COUNTIFS(SECADERO[Finca],SECADERO[[#This Row],[Finca]],SECADERO[Variedad],SECADERO[[#This Row],[Variedad]],SECADERO[Tipo de Cosecha],SECADERO[[#This Row],[Tipo de Cosecha]]),0)</f>
        <v>34969.090909090912</v>
      </c>
    </row>
    <row r="207" spans="1:34">
      <c r="A207" t="s">
        <v>15</v>
      </c>
      <c r="B207" t="s">
        <v>6</v>
      </c>
      <c r="C207" t="s">
        <v>142</v>
      </c>
      <c r="D207" t="s">
        <v>163</v>
      </c>
      <c r="E207">
        <v>384660</v>
      </c>
      <c r="F207">
        <v>7.4670528377557295</v>
      </c>
      <c r="G207" s="2">
        <f>+IFERROR(SECADERO[[#This Row],[KG uva]]/COUNTIFS(SECADERO[Finca],SECADERO[[#This Row],[Finca]],SECADERO[Variedad],SECADERO[[#This Row],[Variedad]],SECADERO[Tipo de Cosecha],SECADERO[[#This Row],[Tipo de Cosecha]]),0)</f>
        <v>34969.090909090912</v>
      </c>
    </row>
    <row r="208" spans="1:34">
      <c r="A208" t="s">
        <v>15</v>
      </c>
      <c r="B208" t="s">
        <v>5</v>
      </c>
      <c r="C208" t="s">
        <v>130</v>
      </c>
      <c r="D208" t="s">
        <v>163</v>
      </c>
      <c r="E208">
        <v>63600.000000000007</v>
      </c>
      <c r="F208">
        <v>2.0766668843466336</v>
      </c>
      <c r="G208" s="2">
        <f>+IFERROR(SECADERO[[#This Row],[KG uva]]/COUNTIFS(SECADERO[Finca],SECADERO[[#This Row],[Finca]],SECADERO[Variedad],SECADERO[[#This Row],[Variedad]],SECADERO[Tipo de Cosecha],SECADERO[[#This Row],[Tipo de Cosecha]]),0)</f>
        <v>5781.8181818181829</v>
      </c>
    </row>
    <row r="209" spans="1:7">
      <c r="A209" t="s">
        <v>15</v>
      </c>
      <c r="B209" t="s">
        <v>5</v>
      </c>
      <c r="C209" t="s">
        <v>135</v>
      </c>
      <c r="D209" t="s">
        <v>163</v>
      </c>
      <c r="E209">
        <v>63600.000000000007</v>
      </c>
      <c r="F209">
        <v>2.3869125136515636</v>
      </c>
      <c r="G209" s="2">
        <f>+IFERROR(SECADERO[[#This Row],[KG uva]]/COUNTIFS(SECADERO[Finca],SECADERO[[#This Row],[Finca]],SECADERO[Variedad],SECADERO[[#This Row],[Variedad]],SECADERO[Tipo de Cosecha],SECADERO[[#This Row],[Tipo de Cosecha]]),0)</f>
        <v>5781.8181818181829</v>
      </c>
    </row>
    <row r="210" spans="1:7">
      <c r="A210" t="s">
        <v>15</v>
      </c>
      <c r="B210" t="s">
        <v>5</v>
      </c>
      <c r="C210" t="s">
        <v>143</v>
      </c>
      <c r="D210" t="s">
        <v>163</v>
      </c>
      <c r="E210">
        <v>63600.000000000007</v>
      </c>
      <c r="F210">
        <v>3.9941469419027471</v>
      </c>
      <c r="G210" s="2">
        <f>+IFERROR(SECADERO[[#This Row],[KG uva]]/COUNTIFS(SECADERO[Finca],SECADERO[[#This Row],[Finca]],SECADERO[Variedad],SECADERO[[#This Row],[Variedad]],SECADERO[Tipo de Cosecha],SECADERO[[#This Row],[Tipo de Cosecha]]),0)</f>
        <v>5781.8181818181829</v>
      </c>
    </row>
    <row r="211" spans="1:7">
      <c r="A211" t="s">
        <v>15</v>
      </c>
      <c r="B211" t="s">
        <v>5</v>
      </c>
      <c r="C211" t="s">
        <v>136</v>
      </c>
      <c r="D211" t="s">
        <v>163</v>
      </c>
      <c r="E211">
        <v>63600.000000000007</v>
      </c>
      <c r="F211">
        <v>8.0252365930599368</v>
      </c>
      <c r="G211" s="2">
        <f>+IFERROR(SECADERO[[#This Row],[KG uva]]/COUNTIFS(SECADERO[Finca],SECADERO[[#This Row],[Finca]],SECADERO[Variedad],SECADERO[[#This Row],[Variedad]],SECADERO[Tipo de Cosecha],SECADERO[[#This Row],[Tipo de Cosecha]]),0)</f>
        <v>5781.8181818181829</v>
      </c>
    </row>
    <row r="212" spans="1:7">
      <c r="A212" t="s">
        <v>15</v>
      </c>
      <c r="B212" t="s">
        <v>5</v>
      </c>
      <c r="C212" t="s">
        <v>137</v>
      </c>
      <c r="D212" t="s">
        <v>163</v>
      </c>
      <c r="E212">
        <v>63600.000000000007</v>
      </c>
      <c r="F212">
        <v>4.8152634766808005</v>
      </c>
      <c r="G212" s="2">
        <f>+IFERROR(SECADERO[[#This Row],[KG uva]]/COUNTIFS(SECADERO[Finca],SECADERO[[#This Row],[Finca]],SECADERO[Variedad],SECADERO[[#This Row],[Variedad]],SECADERO[Tipo de Cosecha],SECADERO[[#This Row],[Tipo de Cosecha]]),0)</f>
        <v>5781.8181818181829</v>
      </c>
    </row>
    <row r="213" spans="1:7">
      <c r="A213" t="s">
        <v>15</v>
      </c>
      <c r="B213" t="s">
        <v>5</v>
      </c>
      <c r="C213" t="s">
        <v>138</v>
      </c>
      <c r="D213" t="s">
        <v>163</v>
      </c>
      <c r="E213">
        <v>63600.000000000007</v>
      </c>
      <c r="F213">
        <v>6.0084458342386942</v>
      </c>
      <c r="G213" s="2">
        <f>+IFERROR(SECADERO[[#This Row],[KG uva]]/COUNTIFS(SECADERO[Finca],SECADERO[[#This Row],[Finca]],SECADERO[Variedad],SECADERO[[#This Row],[Variedad]],SECADERO[Tipo de Cosecha],SECADERO[[#This Row],[Tipo de Cosecha]]),0)</f>
        <v>5781.8181818181829</v>
      </c>
    </row>
    <row r="214" spans="1:7">
      <c r="A214" t="s">
        <v>15</v>
      </c>
      <c r="B214" t="s">
        <v>5</v>
      </c>
      <c r="C214" t="s">
        <v>139</v>
      </c>
      <c r="D214" t="s">
        <v>163</v>
      </c>
      <c r="E214">
        <v>63600.000000000007</v>
      </c>
      <c r="F214">
        <v>2.3869125136515636</v>
      </c>
      <c r="G214" s="2">
        <f>+IFERROR(SECADERO[[#This Row],[KG uva]]/COUNTIFS(SECADERO[Finca],SECADERO[[#This Row],[Finca]],SECADERO[Variedad],SECADERO[[#This Row],[Variedad]],SECADERO[Tipo de Cosecha],SECADERO[[#This Row],[Tipo de Cosecha]]),0)</f>
        <v>5781.8181818181829</v>
      </c>
    </row>
    <row r="215" spans="1:7">
      <c r="A215" t="s">
        <v>15</v>
      </c>
      <c r="B215" t="s">
        <v>5</v>
      </c>
      <c r="C215" t="s">
        <v>140</v>
      </c>
      <c r="D215" t="s">
        <v>163</v>
      </c>
      <c r="E215">
        <v>63600.000000000007</v>
      </c>
      <c r="F215">
        <v>0.90537931976972619</v>
      </c>
      <c r="G215" s="2">
        <f>+IFERROR(SECADERO[[#This Row],[KG uva]]/COUNTIFS(SECADERO[Finca],SECADERO[[#This Row],[Finca]],SECADERO[Variedad],SECADERO[[#This Row],[Variedad]],SECADERO[Tipo de Cosecha],SECADERO[[#This Row],[Tipo de Cosecha]]),0)</f>
        <v>5781.8181818181829</v>
      </c>
    </row>
    <row r="216" spans="1:7">
      <c r="A216" t="s">
        <v>15</v>
      </c>
      <c r="B216" t="s">
        <v>5</v>
      </c>
      <c r="C216" t="s">
        <v>141</v>
      </c>
      <c r="D216" t="s">
        <v>163</v>
      </c>
      <c r="E216">
        <v>63600.000000000007</v>
      </c>
      <c r="F216">
        <v>15.930227606884065</v>
      </c>
      <c r="G216" s="2">
        <f>+IFERROR(SECADERO[[#This Row],[KG uva]]/COUNTIFS(SECADERO[Finca],SECADERO[[#This Row],[Finca]],SECADERO[Variedad],SECADERO[[#This Row],[Variedad]],SECADERO[Tipo de Cosecha],SECADERO[[#This Row],[Tipo de Cosecha]]),0)</f>
        <v>5781.8181818181829</v>
      </c>
    </row>
    <row r="217" spans="1:7">
      <c r="A217" t="s">
        <v>15</v>
      </c>
      <c r="B217" t="s">
        <v>5</v>
      </c>
      <c r="C217" t="s">
        <v>146</v>
      </c>
      <c r="D217" t="s">
        <v>163</v>
      </c>
      <c r="E217">
        <v>63600.000000000007</v>
      </c>
      <c r="F217">
        <v>1.3169337805938628</v>
      </c>
      <c r="G217" s="2">
        <f>+IFERROR(SECADERO[[#This Row],[KG uva]]/COUNTIFS(SECADERO[Finca],SECADERO[[#This Row],[Finca]],SECADERO[Variedad],SECADERO[[#This Row],[Variedad]],SECADERO[Tipo de Cosecha],SECADERO[[#This Row],[Tipo de Cosecha]]),0)</f>
        <v>5781.8181818181829</v>
      </c>
    </row>
    <row r="218" spans="1:7">
      <c r="A218" t="s">
        <v>15</v>
      </c>
      <c r="B218" t="s">
        <v>5</v>
      </c>
      <c r="C218" t="s">
        <v>142</v>
      </c>
      <c r="D218" t="s">
        <v>163</v>
      </c>
      <c r="E218">
        <v>63600.000000000007</v>
      </c>
      <c r="F218">
        <v>1.2346086426487404</v>
      </c>
      <c r="G218" s="2">
        <f>+IFERROR(SECADERO[[#This Row],[KG uva]]/COUNTIFS(SECADERO[Finca],SECADERO[[#This Row],[Finca]],SECADERO[Variedad],SECADERO[[#This Row],[Variedad]],SECADERO[Tipo de Cosecha],SECADERO[[#This Row],[Tipo de Cosecha]]),0)</f>
        <v>5781.8181818181829</v>
      </c>
    </row>
  </sheetData>
  <mergeCells count="4">
    <mergeCell ref="I25:J25"/>
    <mergeCell ref="I26:J26"/>
    <mergeCell ref="I27:J27"/>
    <mergeCell ref="I28:J28"/>
  </mergeCells>
  <phoneticPr fontId="3" type="noConversion"/>
  <pageMargins left="0.7" right="0.7" top="0.75" bottom="0.75" header="0.3" footer="0.3"/>
  <tableParts count="2">
    <tablePart r:id="rId2"/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198"/>
  <sheetViews>
    <sheetView topLeftCell="A20" workbookViewId="0">
      <selection activeCell="C41" sqref="C41"/>
    </sheetView>
  </sheetViews>
  <sheetFormatPr baseColWidth="10" defaultRowHeight="15"/>
  <cols>
    <col min="1" max="1" width="16.42578125" bestFit="1" customWidth="1"/>
    <col min="2" max="2" width="22.28515625" bestFit="1" customWidth="1"/>
    <col min="4" max="4" width="8" bestFit="1" customWidth="1"/>
  </cols>
  <sheetData>
    <row r="1" spans="1:4">
      <c r="A1" t="s">
        <v>0</v>
      </c>
      <c r="B1" t="s">
        <v>364</v>
      </c>
      <c r="C1" t="s">
        <v>365</v>
      </c>
      <c r="D1" t="s">
        <v>366</v>
      </c>
    </row>
    <row r="2" spans="1:4">
      <c r="A2" t="s">
        <v>8</v>
      </c>
      <c r="B2" t="s">
        <v>353</v>
      </c>
      <c r="C2" t="s">
        <v>96</v>
      </c>
      <c r="D2" s="2">
        <v>4500</v>
      </c>
    </row>
    <row r="3" spans="1:4">
      <c r="A3" t="s">
        <v>8</v>
      </c>
      <c r="B3" t="s">
        <v>353</v>
      </c>
      <c r="C3" t="s">
        <v>97</v>
      </c>
      <c r="D3" s="2">
        <v>4500</v>
      </c>
    </row>
    <row r="4" spans="1:4">
      <c r="A4" t="s">
        <v>8</v>
      </c>
      <c r="B4" t="s">
        <v>353</v>
      </c>
      <c r="C4" t="s">
        <v>98</v>
      </c>
      <c r="D4" s="2">
        <v>2250</v>
      </c>
    </row>
    <row r="5" spans="1:4">
      <c r="A5" t="s">
        <v>8</v>
      </c>
      <c r="B5" t="s">
        <v>354</v>
      </c>
      <c r="C5" t="s">
        <v>88</v>
      </c>
      <c r="D5" s="2">
        <v>407.65692513828344</v>
      </c>
    </row>
    <row r="6" spans="1:4">
      <c r="A6" t="s">
        <v>8</v>
      </c>
      <c r="B6" t="s">
        <v>354</v>
      </c>
      <c r="C6" t="s">
        <v>89</v>
      </c>
      <c r="D6" s="2">
        <v>347.50324113893669</v>
      </c>
    </row>
    <row r="7" spans="1:4">
      <c r="A7" t="s">
        <v>8</v>
      </c>
      <c r="B7" t="s">
        <v>354</v>
      </c>
      <c r="C7" t="s">
        <v>90</v>
      </c>
      <c r="D7" s="2">
        <v>0</v>
      </c>
    </row>
    <row r="8" spans="1:4">
      <c r="A8" t="s">
        <v>8</v>
      </c>
      <c r="B8" t="s">
        <v>354</v>
      </c>
      <c r="C8" t="s">
        <v>91</v>
      </c>
      <c r="D8" s="2">
        <v>0</v>
      </c>
    </row>
    <row r="9" spans="1:4">
      <c r="A9" t="s">
        <v>8</v>
      </c>
      <c r="B9" t="s">
        <v>354</v>
      </c>
      <c r="C9" t="s">
        <v>92</v>
      </c>
      <c r="D9" s="2">
        <v>27.233535063908384</v>
      </c>
    </row>
    <row r="10" spans="1:4">
      <c r="A10" t="s">
        <v>8</v>
      </c>
      <c r="B10" t="s">
        <v>354</v>
      </c>
      <c r="C10" t="s">
        <v>93</v>
      </c>
      <c r="D10" s="2">
        <v>0</v>
      </c>
    </row>
    <row r="11" spans="1:4">
      <c r="A11" t="s">
        <v>8</v>
      </c>
      <c r="B11" t="s">
        <v>354</v>
      </c>
      <c r="C11" t="s">
        <v>94</v>
      </c>
      <c r="D11" s="2">
        <v>0</v>
      </c>
    </row>
    <row r="12" spans="1:4">
      <c r="A12" t="s">
        <v>8</v>
      </c>
      <c r="B12" t="s">
        <v>354</v>
      </c>
      <c r="C12" t="s">
        <v>95</v>
      </c>
      <c r="D12" s="2">
        <v>8.8108669420905112</v>
      </c>
    </row>
    <row r="13" spans="1:4">
      <c r="A13" t="s">
        <v>8</v>
      </c>
      <c r="B13" t="s">
        <v>354</v>
      </c>
      <c r="C13" t="s">
        <v>96</v>
      </c>
      <c r="D13" s="2">
        <v>216.22732783281231</v>
      </c>
    </row>
    <row r="14" spans="1:4">
      <c r="A14" t="s">
        <v>8</v>
      </c>
      <c r="B14" t="s">
        <v>354</v>
      </c>
      <c r="C14" t="s">
        <v>97</v>
      </c>
      <c r="D14" s="2">
        <v>704.21119193811194</v>
      </c>
    </row>
    <row r="15" spans="1:4">
      <c r="A15" t="s">
        <v>8</v>
      </c>
      <c r="B15" t="s">
        <v>354</v>
      </c>
      <c r="C15" t="s">
        <v>98</v>
      </c>
      <c r="D15" s="2">
        <v>648.05095689879727</v>
      </c>
    </row>
    <row r="16" spans="1:4">
      <c r="A16" t="s">
        <v>8</v>
      </c>
      <c r="B16" t="s">
        <v>354</v>
      </c>
      <c r="C16" t="s">
        <v>99</v>
      </c>
      <c r="D16" s="2">
        <v>399.2608504086333</v>
      </c>
    </row>
    <row r="17" spans="1:4">
      <c r="A17" t="s">
        <v>8</v>
      </c>
      <c r="B17" t="s">
        <v>355</v>
      </c>
      <c r="C17" t="s">
        <v>88</v>
      </c>
      <c r="D17" s="2">
        <v>0</v>
      </c>
    </row>
    <row r="18" spans="1:4">
      <c r="A18" t="s">
        <v>8</v>
      </c>
      <c r="B18" t="s">
        <v>355</v>
      </c>
      <c r="C18" t="s">
        <v>89</v>
      </c>
      <c r="D18" s="2">
        <v>0</v>
      </c>
    </row>
    <row r="19" spans="1:4">
      <c r="A19" t="s">
        <v>8</v>
      </c>
      <c r="B19" t="s">
        <v>355</v>
      </c>
      <c r="C19" t="s">
        <v>90</v>
      </c>
      <c r="D19" s="2">
        <v>0</v>
      </c>
    </row>
    <row r="20" spans="1:4">
      <c r="A20" t="s">
        <v>8</v>
      </c>
      <c r="B20" t="s">
        <v>355</v>
      </c>
      <c r="C20" t="s">
        <v>91</v>
      </c>
      <c r="D20" s="2">
        <v>0</v>
      </c>
    </row>
    <row r="21" spans="1:4">
      <c r="A21" t="s">
        <v>8</v>
      </c>
      <c r="B21" t="s">
        <v>355</v>
      </c>
      <c r="C21" t="s">
        <v>92</v>
      </c>
      <c r="D21" s="2">
        <v>0</v>
      </c>
    </row>
    <row r="22" spans="1:4">
      <c r="A22" t="s">
        <v>8</v>
      </c>
      <c r="B22" t="s">
        <v>355</v>
      </c>
      <c r="C22" t="s">
        <v>93</v>
      </c>
      <c r="D22" s="2">
        <v>0</v>
      </c>
    </row>
    <row r="23" spans="1:4">
      <c r="A23" t="s">
        <v>8</v>
      </c>
      <c r="B23" t="s">
        <v>355</v>
      </c>
      <c r="C23" t="s">
        <v>94</v>
      </c>
      <c r="D23" s="2">
        <v>0</v>
      </c>
    </row>
    <row r="24" spans="1:4">
      <c r="A24" t="s">
        <v>8</v>
      </c>
      <c r="B24" t="s">
        <v>355</v>
      </c>
      <c r="C24" t="s">
        <v>95</v>
      </c>
      <c r="D24" s="2">
        <v>0</v>
      </c>
    </row>
    <row r="25" spans="1:4">
      <c r="A25" t="s">
        <v>8</v>
      </c>
      <c r="B25" t="s">
        <v>355</v>
      </c>
      <c r="C25" t="s">
        <v>96</v>
      </c>
      <c r="D25" s="2">
        <v>0</v>
      </c>
    </row>
    <row r="26" spans="1:4">
      <c r="A26" t="s">
        <v>8</v>
      </c>
      <c r="B26" t="s">
        <v>355</v>
      </c>
      <c r="C26" t="s">
        <v>97</v>
      </c>
      <c r="D26" s="2">
        <v>0</v>
      </c>
    </row>
    <row r="27" spans="1:4">
      <c r="A27" t="s">
        <v>8</v>
      </c>
      <c r="B27" t="s">
        <v>355</v>
      </c>
      <c r="C27" t="s">
        <v>98</v>
      </c>
      <c r="D27" s="2">
        <v>0</v>
      </c>
    </row>
    <row r="28" spans="1:4">
      <c r="A28" t="s">
        <v>8</v>
      </c>
      <c r="B28" t="s">
        <v>355</v>
      </c>
      <c r="C28" t="s">
        <v>99</v>
      </c>
      <c r="D28" s="2">
        <v>0</v>
      </c>
    </row>
    <row r="29" spans="1:4">
      <c r="A29" t="s">
        <v>8</v>
      </c>
      <c r="B29" t="s">
        <v>133</v>
      </c>
      <c r="C29" t="s">
        <v>88</v>
      </c>
      <c r="D29" s="2">
        <v>2068.9233079178989</v>
      </c>
    </row>
    <row r="30" spans="1:4">
      <c r="A30" t="s">
        <v>8</v>
      </c>
      <c r="B30" t="s">
        <v>133</v>
      </c>
      <c r="C30" t="s">
        <v>89</v>
      </c>
      <c r="D30" s="2">
        <v>1793.4671597401477</v>
      </c>
    </row>
    <row r="31" spans="1:4">
      <c r="A31" t="s">
        <v>8</v>
      </c>
      <c r="B31" t="s">
        <v>133</v>
      </c>
      <c r="C31" t="s">
        <v>90</v>
      </c>
      <c r="D31" s="2">
        <v>0</v>
      </c>
    </row>
    <row r="32" spans="1:4">
      <c r="A32" t="s">
        <v>8</v>
      </c>
      <c r="B32" t="s">
        <v>133</v>
      </c>
      <c r="C32" t="s">
        <v>91</v>
      </c>
      <c r="D32" s="2">
        <v>0</v>
      </c>
    </row>
    <row r="33" spans="1:4">
      <c r="A33" t="s">
        <v>8</v>
      </c>
      <c r="B33" t="s">
        <v>133</v>
      </c>
      <c r="C33" t="s">
        <v>92</v>
      </c>
      <c r="D33" s="2">
        <v>147.77043267088436</v>
      </c>
    </row>
    <row r="34" spans="1:4">
      <c r="A34" t="s">
        <v>8</v>
      </c>
      <c r="B34" t="s">
        <v>133</v>
      </c>
      <c r="C34" t="s">
        <v>93</v>
      </c>
      <c r="D34" s="2">
        <v>0</v>
      </c>
    </row>
    <row r="35" spans="1:4">
      <c r="A35" t="s">
        <v>8</v>
      </c>
      <c r="B35" t="s">
        <v>133</v>
      </c>
      <c r="C35" t="s">
        <v>94</v>
      </c>
      <c r="D35" s="2">
        <v>0</v>
      </c>
    </row>
    <row r="36" spans="1:4">
      <c r="A36" t="s">
        <v>8</v>
      </c>
      <c r="B36" t="s">
        <v>133</v>
      </c>
      <c r="C36" t="s">
        <v>95</v>
      </c>
      <c r="D36" s="2">
        <v>50.266529708531259</v>
      </c>
    </row>
    <row r="37" spans="1:4">
      <c r="A37" t="s">
        <v>8</v>
      </c>
      <c r="B37" t="s">
        <v>133</v>
      </c>
      <c r="C37" t="s">
        <v>96</v>
      </c>
      <c r="D37" s="2">
        <v>1254.4196528678133</v>
      </c>
    </row>
    <row r="38" spans="1:4">
      <c r="A38" t="s">
        <v>8</v>
      </c>
      <c r="B38" t="s">
        <v>133</v>
      </c>
      <c r="C38" t="s">
        <v>97</v>
      </c>
      <c r="D38" s="2">
        <v>4153.946884138858</v>
      </c>
    </row>
    <row r="39" spans="1:4">
      <c r="A39" t="s">
        <v>8</v>
      </c>
      <c r="B39" t="s">
        <v>133</v>
      </c>
      <c r="C39" t="s">
        <v>98</v>
      </c>
      <c r="D39" s="2">
        <v>3887.3655916534581</v>
      </c>
    </row>
    <row r="40" spans="1:4">
      <c r="A40" t="s">
        <v>8</v>
      </c>
      <c r="B40" t="s">
        <v>133</v>
      </c>
      <c r="C40" t="s">
        <v>99</v>
      </c>
      <c r="D40" s="2">
        <v>2435.2410938939111</v>
      </c>
    </row>
    <row r="41" spans="1:4">
      <c r="A41" t="s">
        <v>12</v>
      </c>
      <c r="B41" t="s">
        <v>353</v>
      </c>
      <c r="C41" t="s">
        <v>96</v>
      </c>
      <c r="D41" s="2">
        <v>2700</v>
      </c>
    </row>
    <row r="42" spans="1:4">
      <c r="A42" t="s">
        <v>12</v>
      </c>
      <c r="B42" t="s">
        <v>353</v>
      </c>
      <c r="C42" t="s">
        <v>97</v>
      </c>
      <c r="D42" s="2">
        <v>2700</v>
      </c>
    </row>
    <row r="43" spans="1:4">
      <c r="A43" t="s">
        <v>12</v>
      </c>
      <c r="B43" t="s">
        <v>353</v>
      </c>
      <c r="C43" t="s">
        <v>98</v>
      </c>
      <c r="D43" s="2">
        <v>1350</v>
      </c>
    </row>
    <row r="44" spans="1:4">
      <c r="A44" t="s">
        <v>12</v>
      </c>
      <c r="B44" t="s">
        <v>354</v>
      </c>
      <c r="C44" t="s">
        <v>88</v>
      </c>
      <c r="D44" s="2">
        <v>83.931924609389981</v>
      </c>
    </row>
    <row r="45" spans="1:4">
      <c r="A45" t="s">
        <v>12</v>
      </c>
      <c r="B45" t="s">
        <v>354</v>
      </c>
      <c r="C45" t="s">
        <v>89</v>
      </c>
      <c r="D45" s="2">
        <v>71.54696520094231</v>
      </c>
    </row>
    <row r="46" spans="1:4">
      <c r="A46" t="s">
        <v>12</v>
      </c>
      <c r="B46" t="s">
        <v>354</v>
      </c>
      <c r="C46" t="s">
        <v>90</v>
      </c>
      <c r="D46" s="2">
        <v>0</v>
      </c>
    </row>
    <row r="47" spans="1:4">
      <c r="A47" t="s">
        <v>12</v>
      </c>
      <c r="B47" t="s">
        <v>354</v>
      </c>
      <c r="C47" t="s">
        <v>91</v>
      </c>
      <c r="D47" s="2">
        <v>0</v>
      </c>
    </row>
    <row r="48" spans="1:4">
      <c r="A48" t="s">
        <v>12</v>
      </c>
      <c r="B48" t="s">
        <v>354</v>
      </c>
      <c r="C48" t="s">
        <v>92</v>
      </c>
      <c r="D48" s="2">
        <v>5.6070751430403689</v>
      </c>
    </row>
    <row r="49" spans="1:4">
      <c r="A49" t="s">
        <v>12</v>
      </c>
      <c r="B49" t="s">
        <v>354</v>
      </c>
      <c r="C49" t="s">
        <v>93</v>
      </c>
      <c r="D49" s="2">
        <v>0</v>
      </c>
    </row>
    <row r="50" spans="1:4">
      <c r="A50" t="s">
        <v>12</v>
      </c>
      <c r="B50" t="s">
        <v>354</v>
      </c>
      <c r="C50" t="s">
        <v>94</v>
      </c>
      <c r="D50" s="2">
        <v>0</v>
      </c>
    </row>
    <row r="51" spans="1:4">
      <c r="A51" t="s">
        <v>12</v>
      </c>
      <c r="B51" t="s">
        <v>354</v>
      </c>
      <c r="C51" t="s">
        <v>95</v>
      </c>
      <c r="D51" s="2">
        <v>1.8140572975083236</v>
      </c>
    </row>
    <row r="52" spans="1:4">
      <c r="A52" t="s">
        <v>12</v>
      </c>
      <c r="B52" t="s">
        <v>354</v>
      </c>
      <c r="C52" t="s">
        <v>96</v>
      </c>
      <c r="D52" s="2">
        <v>44.51874765036127</v>
      </c>
    </row>
    <row r="53" spans="1:4">
      <c r="A53" t="s">
        <v>12</v>
      </c>
      <c r="B53" t="s">
        <v>354</v>
      </c>
      <c r="C53" t="s">
        <v>97</v>
      </c>
      <c r="D53" s="2">
        <v>144.98907543589181</v>
      </c>
    </row>
    <row r="54" spans="1:4">
      <c r="A54" t="s">
        <v>12</v>
      </c>
      <c r="B54" t="s">
        <v>354</v>
      </c>
      <c r="C54" t="s">
        <v>98</v>
      </c>
      <c r="D54" s="2">
        <v>133.42632175087482</v>
      </c>
    </row>
    <row r="55" spans="1:4">
      <c r="A55" t="s">
        <v>12</v>
      </c>
      <c r="B55" t="s">
        <v>354</v>
      </c>
      <c r="C55" t="s">
        <v>99</v>
      </c>
      <c r="D55" s="2">
        <v>82.203268310997061</v>
      </c>
    </row>
    <row r="56" spans="1:4">
      <c r="A56" t="s">
        <v>12</v>
      </c>
      <c r="B56" t="s">
        <v>355</v>
      </c>
      <c r="C56" t="s">
        <v>88</v>
      </c>
      <c r="D56" s="2">
        <v>0</v>
      </c>
    </row>
    <row r="57" spans="1:4">
      <c r="A57" t="s">
        <v>12</v>
      </c>
      <c r="B57" t="s">
        <v>355</v>
      </c>
      <c r="C57" t="s">
        <v>89</v>
      </c>
      <c r="D57" s="2">
        <v>0</v>
      </c>
    </row>
    <row r="58" spans="1:4">
      <c r="A58" t="s">
        <v>12</v>
      </c>
      <c r="B58" t="s">
        <v>355</v>
      </c>
      <c r="C58" t="s">
        <v>90</v>
      </c>
      <c r="D58" s="2">
        <v>0</v>
      </c>
    </row>
    <row r="59" spans="1:4">
      <c r="A59" t="s">
        <v>12</v>
      </c>
      <c r="B59" t="s">
        <v>355</v>
      </c>
      <c r="C59" t="s">
        <v>91</v>
      </c>
      <c r="D59" s="2">
        <v>0</v>
      </c>
    </row>
    <row r="60" spans="1:4">
      <c r="A60" t="s">
        <v>12</v>
      </c>
      <c r="B60" t="s">
        <v>355</v>
      </c>
      <c r="C60" t="s">
        <v>92</v>
      </c>
      <c r="D60" s="2">
        <v>0</v>
      </c>
    </row>
    <row r="61" spans="1:4">
      <c r="A61" t="s">
        <v>12</v>
      </c>
      <c r="B61" t="s">
        <v>355</v>
      </c>
      <c r="C61" t="s">
        <v>93</v>
      </c>
      <c r="D61" s="2">
        <v>0</v>
      </c>
    </row>
    <row r="62" spans="1:4">
      <c r="A62" t="s">
        <v>12</v>
      </c>
      <c r="B62" t="s">
        <v>355</v>
      </c>
      <c r="C62" t="s">
        <v>94</v>
      </c>
      <c r="D62" s="2">
        <v>0</v>
      </c>
    </row>
    <row r="63" spans="1:4">
      <c r="A63" t="s">
        <v>12</v>
      </c>
      <c r="B63" t="s">
        <v>355</v>
      </c>
      <c r="C63" t="s">
        <v>95</v>
      </c>
      <c r="D63" s="2">
        <v>0</v>
      </c>
    </row>
    <row r="64" spans="1:4">
      <c r="A64" t="s">
        <v>12</v>
      </c>
      <c r="B64" t="s">
        <v>355</v>
      </c>
      <c r="C64" t="s">
        <v>96</v>
      </c>
      <c r="D64" s="2">
        <v>0</v>
      </c>
    </row>
    <row r="65" spans="1:4">
      <c r="A65" t="s">
        <v>12</v>
      </c>
      <c r="B65" t="s">
        <v>355</v>
      </c>
      <c r="C65" t="s">
        <v>97</v>
      </c>
      <c r="D65" s="2">
        <v>0</v>
      </c>
    </row>
    <row r="66" spans="1:4">
      <c r="A66" t="s">
        <v>12</v>
      </c>
      <c r="B66" t="s">
        <v>355</v>
      </c>
      <c r="C66" t="s">
        <v>98</v>
      </c>
      <c r="D66" s="2">
        <v>0</v>
      </c>
    </row>
    <row r="67" spans="1:4">
      <c r="A67" t="s">
        <v>12</v>
      </c>
      <c r="B67" t="s">
        <v>355</v>
      </c>
      <c r="C67" t="s">
        <v>99</v>
      </c>
      <c r="D67" s="2">
        <v>0</v>
      </c>
    </row>
    <row r="68" spans="1:4">
      <c r="A68" t="s">
        <v>12</v>
      </c>
      <c r="B68" t="s">
        <v>133</v>
      </c>
      <c r="C68" t="s">
        <v>88</v>
      </c>
      <c r="D68" s="2">
        <v>743.26731557894834</v>
      </c>
    </row>
    <row r="69" spans="1:4">
      <c r="A69" t="s">
        <v>12</v>
      </c>
      <c r="B69" t="s">
        <v>133</v>
      </c>
      <c r="C69" t="s">
        <v>89</v>
      </c>
      <c r="D69" s="2">
        <v>644.30881333178877</v>
      </c>
    </row>
    <row r="70" spans="1:4">
      <c r="A70" t="s">
        <v>12</v>
      </c>
      <c r="B70" t="s">
        <v>133</v>
      </c>
      <c r="C70" t="s">
        <v>90</v>
      </c>
      <c r="D70" s="2">
        <v>0</v>
      </c>
    </row>
    <row r="71" spans="1:4">
      <c r="A71" t="s">
        <v>12</v>
      </c>
      <c r="B71" t="s">
        <v>133</v>
      </c>
      <c r="C71" t="s">
        <v>91</v>
      </c>
      <c r="D71" s="2">
        <v>0</v>
      </c>
    </row>
    <row r="72" spans="1:4">
      <c r="A72" t="s">
        <v>12</v>
      </c>
      <c r="B72" t="s">
        <v>133</v>
      </c>
      <c r="C72" t="s">
        <v>92</v>
      </c>
      <c r="D72" s="2">
        <v>53.087000563476884</v>
      </c>
    </row>
    <row r="73" spans="1:4">
      <c r="A73" t="s">
        <v>12</v>
      </c>
      <c r="B73" t="s">
        <v>133</v>
      </c>
      <c r="C73" t="s">
        <v>93</v>
      </c>
      <c r="D73" s="2">
        <v>0</v>
      </c>
    </row>
    <row r="74" spans="1:4">
      <c r="A74" t="s">
        <v>12</v>
      </c>
      <c r="B74" t="s">
        <v>133</v>
      </c>
      <c r="C74" t="s">
        <v>94</v>
      </c>
      <c r="D74" s="2">
        <v>0</v>
      </c>
    </row>
    <row r="75" spans="1:4">
      <c r="A75" t="s">
        <v>12</v>
      </c>
      <c r="B75" t="s">
        <v>133</v>
      </c>
      <c r="C75" t="s">
        <v>95</v>
      </c>
      <c r="D75" s="2">
        <v>18.058411569411401</v>
      </c>
    </row>
    <row r="76" spans="1:4">
      <c r="A76" t="s">
        <v>12</v>
      </c>
      <c r="B76" t="s">
        <v>133</v>
      </c>
      <c r="C76" t="s">
        <v>96</v>
      </c>
      <c r="D76" s="2">
        <v>450.65427240744066</v>
      </c>
    </row>
    <row r="77" spans="1:4">
      <c r="A77" t="s">
        <v>12</v>
      </c>
      <c r="B77" t="s">
        <v>133</v>
      </c>
      <c r="C77" t="s">
        <v>97</v>
      </c>
      <c r="D77" s="2">
        <v>1492.318704040598</v>
      </c>
    </row>
    <row r="78" spans="1:4">
      <c r="A78" t="s">
        <v>12</v>
      </c>
      <c r="B78" t="s">
        <v>133</v>
      </c>
      <c r="C78" t="s">
        <v>98</v>
      </c>
      <c r="D78" s="2">
        <v>1396.5485220861046</v>
      </c>
    </row>
    <row r="79" spans="1:4">
      <c r="A79" t="s">
        <v>12</v>
      </c>
      <c r="B79" t="s">
        <v>133</v>
      </c>
      <c r="C79" t="s">
        <v>99</v>
      </c>
      <c r="D79" s="2">
        <v>874.86815181546422</v>
      </c>
    </row>
    <row r="80" spans="1:4">
      <c r="A80" t="s">
        <v>4</v>
      </c>
      <c r="B80" t="s">
        <v>353</v>
      </c>
      <c r="C80" t="s">
        <v>96</v>
      </c>
      <c r="D80" s="2">
        <v>1800</v>
      </c>
    </row>
    <row r="81" spans="1:4">
      <c r="A81" t="s">
        <v>4</v>
      </c>
      <c r="B81" t="s">
        <v>353</v>
      </c>
      <c r="C81" t="s">
        <v>97</v>
      </c>
      <c r="D81" s="2">
        <v>1800</v>
      </c>
    </row>
    <row r="82" spans="1:4">
      <c r="A82" t="s">
        <v>4</v>
      </c>
      <c r="B82" t="s">
        <v>353</v>
      </c>
      <c r="C82" t="s">
        <v>98</v>
      </c>
      <c r="D82" s="2">
        <v>900</v>
      </c>
    </row>
    <row r="83" spans="1:4">
      <c r="A83" t="s">
        <v>4</v>
      </c>
      <c r="B83" t="s">
        <v>354</v>
      </c>
      <c r="C83" t="s">
        <v>88</v>
      </c>
      <c r="D83" s="2">
        <v>39.559834103923833</v>
      </c>
    </row>
    <row r="84" spans="1:4">
      <c r="A84" t="s">
        <v>4</v>
      </c>
      <c r="B84" t="s">
        <v>354</v>
      </c>
      <c r="C84" t="s">
        <v>89</v>
      </c>
      <c r="D84" s="2">
        <v>33.72240166254732</v>
      </c>
    </row>
    <row r="85" spans="1:4">
      <c r="A85" t="s">
        <v>4</v>
      </c>
      <c r="B85" t="s">
        <v>354</v>
      </c>
      <c r="C85" t="s">
        <v>90</v>
      </c>
      <c r="D85" s="2">
        <v>0</v>
      </c>
    </row>
    <row r="86" spans="1:4">
      <c r="A86" t="s">
        <v>4</v>
      </c>
      <c r="B86" t="s">
        <v>354</v>
      </c>
      <c r="C86" t="s">
        <v>91</v>
      </c>
      <c r="D86" s="2">
        <v>0</v>
      </c>
    </row>
    <row r="87" spans="1:4">
      <c r="A87" t="s">
        <v>4</v>
      </c>
      <c r="B87" t="s">
        <v>354</v>
      </c>
      <c r="C87" t="s">
        <v>92</v>
      </c>
      <c r="D87" s="2">
        <v>2.6427960933722732</v>
      </c>
    </row>
    <row r="88" spans="1:4">
      <c r="A88" t="s">
        <v>4</v>
      </c>
      <c r="B88" t="s">
        <v>354</v>
      </c>
      <c r="C88" t="s">
        <v>93</v>
      </c>
      <c r="D88" s="2">
        <v>0</v>
      </c>
    </row>
    <row r="89" spans="1:4">
      <c r="A89" t="s">
        <v>4</v>
      </c>
      <c r="B89" t="s">
        <v>354</v>
      </c>
      <c r="C89" t="s">
        <v>94</v>
      </c>
      <c r="D89" s="2">
        <v>0</v>
      </c>
    </row>
    <row r="90" spans="1:4">
      <c r="A90" t="s">
        <v>4</v>
      </c>
      <c r="B90" t="s">
        <v>354</v>
      </c>
      <c r="C90" t="s">
        <v>95</v>
      </c>
      <c r="D90" s="2">
        <v>0.85502395040293189</v>
      </c>
    </row>
    <row r="91" spans="1:4">
      <c r="A91" t="s">
        <v>4</v>
      </c>
      <c r="B91" t="s">
        <v>354</v>
      </c>
      <c r="C91" t="s">
        <v>96</v>
      </c>
      <c r="D91" s="2">
        <v>20.98312745429061</v>
      </c>
    </row>
    <row r="92" spans="1:4">
      <c r="A92" t="s">
        <v>4</v>
      </c>
      <c r="B92" t="s">
        <v>354</v>
      </c>
      <c r="C92" t="s">
        <v>97</v>
      </c>
      <c r="D92" s="2">
        <v>68.338046551639351</v>
      </c>
    </row>
    <row r="93" spans="1:4">
      <c r="A93" t="s">
        <v>4</v>
      </c>
      <c r="B93" t="s">
        <v>354</v>
      </c>
      <c r="C93" t="s">
        <v>98</v>
      </c>
      <c r="D93" s="2">
        <v>62.888146293869845</v>
      </c>
    </row>
    <row r="94" spans="1:4">
      <c r="A94" t="s">
        <v>4</v>
      </c>
      <c r="B94" t="s">
        <v>354</v>
      </c>
      <c r="C94" t="s">
        <v>99</v>
      </c>
      <c r="D94" s="2">
        <v>38.74506241001373</v>
      </c>
    </row>
    <row r="95" spans="1:4">
      <c r="A95" t="s">
        <v>4</v>
      </c>
      <c r="B95" t="s">
        <v>355</v>
      </c>
      <c r="C95" t="s">
        <v>88</v>
      </c>
      <c r="D95" s="2">
        <v>0</v>
      </c>
    </row>
    <row r="96" spans="1:4">
      <c r="A96" t="s">
        <v>4</v>
      </c>
      <c r="B96" t="s">
        <v>355</v>
      </c>
      <c r="C96" t="s">
        <v>89</v>
      </c>
      <c r="D96" s="2">
        <v>0</v>
      </c>
    </row>
    <row r="97" spans="1:4">
      <c r="A97" t="s">
        <v>4</v>
      </c>
      <c r="B97" t="s">
        <v>355</v>
      </c>
      <c r="C97" t="s">
        <v>90</v>
      </c>
      <c r="D97" s="2">
        <v>0</v>
      </c>
    </row>
    <row r="98" spans="1:4">
      <c r="A98" t="s">
        <v>4</v>
      </c>
      <c r="B98" t="s">
        <v>355</v>
      </c>
      <c r="C98" t="s">
        <v>91</v>
      </c>
      <c r="D98" s="2">
        <v>0</v>
      </c>
    </row>
    <row r="99" spans="1:4">
      <c r="A99" t="s">
        <v>4</v>
      </c>
      <c r="B99" t="s">
        <v>355</v>
      </c>
      <c r="C99" t="s">
        <v>92</v>
      </c>
      <c r="D99" s="2">
        <v>0</v>
      </c>
    </row>
    <row r="100" spans="1:4">
      <c r="A100" t="s">
        <v>4</v>
      </c>
      <c r="B100" t="s">
        <v>355</v>
      </c>
      <c r="C100" t="s">
        <v>93</v>
      </c>
      <c r="D100" s="2">
        <v>0</v>
      </c>
    </row>
    <row r="101" spans="1:4">
      <c r="A101" t="s">
        <v>4</v>
      </c>
      <c r="B101" t="s">
        <v>355</v>
      </c>
      <c r="C101" t="s">
        <v>94</v>
      </c>
      <c r="D101" s="2">
        <v>0</v>
      </c>
    </row>
    <row r="102" spans="1:4">
      <c r="A102" t="s">
        <v>4</v>
      </c>
      <c r="B102" t="s">
        <v>355</v>
      </c>
      <c r="C102" t="s">
        <v>95</v>
      </c>
      <c r="D102" s="2">
        <v>0</v>
      </c>
    </row>
    <row r="103" spans="1:4">
      <c r="A103" t="s">
        <v>4</v>
      </c>
      <c r="B103" t="s">
        <v>355</v>
      </c>
      <c r="C103" t="s">
        <v>96</v>
      </c>
      <c r="D103" s="2">
        <v>0</v>
      </c>
    </row>
    <row r="104" spans="1:4">
      <c r="A104" t="s">
        <v>4</v>
      </c>
      <c r="B104" t="s">
        <v>355</v>
      </c>
      <c r="C104" t="s">
        <v>97</v>
      </c>
      <c r="D104" s="2">
        <v>0</v>
      </c>
    </row>
    <row r="105" spans="1:4">
      <c r="A105" t="s">
        <v>4</v>
      </c>
      <c r="B105" t="s">
        <v>355</v>
      </c>
      <c r="C105" t="s">
        <v>98</v>
      </c>
      <c r="D105" s="2">
        <v>0</v>
      </c>
    </row>
    <row r="106" spans="1:4">
      <c r="A106" t="s">
        <v>4</v>
      </c>
      <c r="B106" t="s">
        <v>355</v>
      </c>
      <c r="C106" t="s">
        <v>99</v>
      </c>
      <c r="D106" s="2">
        <v>0</v>
      </c>
    </row>
    <row r="107" spans="1:4">
      <c r="A107" t="s">
        <v>4</v>
      </c>
      <c r="B107" t="s">
        <v>133</v>
      </c>
      <c r="C107" t="s">
        <v>88</v>
      </c>
      <c r="D107" s="2">
        <v>763.91014446199335</v>
      </c>
    </row>
    <row r="108" spans="1:4">
      <c r="A108" t="s">
        <v>4</v>
      </c>
      <c r="B108" t="s">
        <v>133</v>
      </c>
      <c r="C108" t="s">
        <v>89</v>
      </c>
      <c r="D108" s="2">
        <v>662.20325898097758</v>
      </c>
    </row>
    <row r="109" spans="1:4">
      <c r="A109" t="s">
        <v>4</v>
      </c>
      <c r="B109" t="s">
        <v>133</v>
      </c>
      <c r="C109" t="s">
        <v>90</v>
      </c>
      <c r="D109" s="2">
        <v>0</v>
      </c>
    </row>
    <row r="110" spans="1:4">
      <c r="A110" t="s">
        <v>4</v>
      </c>
      <c r="B110" t="s">
        <v>133</v>
      </c>
      <c r="C110" t="s">
        <v>91</v>
      </c>
      <c r="D110" s="2">
        <v>0</v>
      </c>
    </row>
    <row r="111" spans="1:4">
      <c r="A111" t="s">
        <v>4</v>
      </c>
      <c r="B111" t="s">
        <v>133</v>
      </c>
      <c r="C111" t="s">
        <v>92</v>
      </c>
      <c r="D111" s="2">
        <v>54.56139052463422</v>
      </c>
    </row>
    <row r="112" spans="1:4">
      <c r="A112" t="s">
        <v>4</v>
      </c>
      <c r="B112" t="s">
        <v>133</v>
      </c>
      <c r="C112" t="s">
        <v>93</v>
      </c>
      <c r="D112" s="2">
        <v>0</v>
      </c>
    </row>
    <row r="113" spans="1:4">
      <c r="A113" t="s">
        <v>4</v>
      </c>
      <c r="B113" t="s">
        <v>133</v>
      </c>
      <c r="C113" t="s">
        <v>94</v>
      </c>
      <c r="D113" s="2">
        <v>0</v>
      </c>
    </row>
    <row r="114" spans="1:4">
      <c r="A114" t="s">
        <v>4</v>
      </c>
      <c r="B114" t="s">
        <v>133</v>
      </c>
      <c r="C114" t="s">
        <v>95</v>
      </c>
      <c r="D114" s="2">
        <v>18.559949430842309</v>
      </c>
    </row>
    <row r="115" spans="1:4">
      <c r="A115" t="s">
        <v>4</v>
      </c>
      <c r="B115" t="s">
        <v>133</v>
      </c>
      <c r="C115" t="s">
        <v>96</v>
      </c>
      <c r="D115" s="2">
        <v>463.17033336657715</v>
      </c>
    </row>
    <row r="116" spans="1:4">
      <c r="A116" t="s">
        <v>4</v>
      </c>
      <c r="B116" t="s">
        <v>133</v>
      </c>
      <c r="C116" t="s">
        <v>97</v>
      </c>
      <c r="D116" s="2">
        <v>1533.7650033743475</v>
      </c>
    </row>
    <row r="117" spans="1:4">
      <c r="A117" t="s">
        <v>4</v>
      </c>
      <c r="B117" t="s">
        <v>133</v>
      </c>
      <c r="C117" t="s">
        <v>98</v>
      </c>
      <c r="D117" s="2">
        <v>1435.3349876874306</v>
      </c>
    </row>
    <row r="118" spans="1:4">
      <c r="A118" t="s">
        <v>4</v>
      </c>
      <c r="B118" t="s">
        <v>133</v>
      </c>
      <c r="C118" t="s">
        <v>99</v>
      </c>
      <c r="D118" s="2">
        <v>899.16594236082858</v>
      </c>
    </row>
    <row r="119" spans="1:4">
      <c r="A119" t="s">
        <v>373</v>
      </c>
      <c r="B119" t="s">
        <v>353</v>
      </c>
      <c r="C119" t="s">
        <v>95</v>
      </c>
      <c r="D119" s="2">
        <v>2077.5</v>
      </c>
    </row>
    <row r="120" spans="1:4">
      <c r="A120" t="s">
        <v>373</v>
      </c>
      <c r="B120" t="s">
        <v>353</v>
      </c>
      <c r="C120" t="s">
        <v>96</v>
      </c>
      <c r="D120" s="2">
        <v>2077.5</v>
      </c>
    </row>
    <row r="121" spans="1:4">
      <c r="A121" t="s">
        <v>373</v>
      </c>
      <c r="B121" t="s">
        <v>353</v>
      </c>
      <c r="C121" t="s">
        <v>97</v>
      </c>
      <c r="D121" s="2">
        <v>2077.5</v>
      </c>
    </row>
    <row r="122" spans="1:4">
      <c r="A122" t="s">
        <v>373</v>
      </c>
      <c r="B122" t="s">
        <v>353</v>
      </c>
      <c r="C122" t="s">
        <v>98</v>
      </c>
      <c r="D122" s="2">
        <v>1038.75</v>
      </c>
    </row>
    <row r="123" spans="1:4">
      <c r="A123" t="s">
        <v>373</v>
      </c>
      <c r="B123" t="s">
        <v>354</v>
      </c>
      <c r="C123" t="s">
        <v>88</v>
      </c>
      <c r="D123" s="2">
        <v>31.401675190960201</v>
      </c>
    </row>
    <row r="124" spans="1:4">
      <c r="A124" t="s">
        <v>373</v>
      </c>
      <c r="B124" t="s">
        <v>354</v>
      </c>
      <c r="C124" t="s">
        <v>89</v>
      </c>
      <c r="D124" s="2">
        <v>49.992910468511894</v>
      </c>
    </row>
    <row r="125" spans="1:4">
      <c r="A125" t="s">
        <v>373</v>
      </c>
      <c r="B125" t="s">
        <v>354</v>
      </c>
      <c r="C125" t="s">
        <v>90</v>
      </c>
      <c r="D125" s="2">
        <v>0</v>
      </c>
    </row>
    <row r="126" spans="1:4">
      <c r="A126" t="s">
        <v>373</v>
      </c>
      <c r="B126" t="s">
        <v>354</v>
      </c>
      <c r="C126" t="s">
        <v>91</v>
      </c>
      <c r="D126" s="2">
        <v>0</v>
      </c>
    </row>
    <row r="127" spans="1:4">
      <c r="A127" t="s">
        <v>373</v>
      </c>
      <c r="B127" t="s">
        <v>354</v>
      </c>
      <c r="C127" t="s">
        <v>92</v>
      </c>
      <c r="D127" s="2">
        <v>3.9179021056862919</v>
      </c>
    </row>
    <row r="128" spans="1:4">
      <c r="A128" t="s">
        <v>373</v>
      </c>
      <c r="B128" t="s">
        <v>354</v>
      </c>
      <c r="C128" t="s">
        <v>93</v>
      </c>
      <c r="D128" s="2">
        <v>0</v>
      </c>
    </row>
    <row r="129" spans="1:4">
      <c r="A129" t="s">
        <v>373</v>
      </c>
      <c r="B129" t="s">
        <v>354</v>
      </c>
      <c r="C129" t="s">
        <v>94</v>
      </c>
      <c r="D129" s="2">
        <v>0</v>
      </c>
    </row>
    <row r="130" spans="1:4">
      <c r="A130" t="s">
        <v>373</v>
      </c>
      <c r="B130" t="s">
        <v>354</v>
      </c>
      <c r="C130" t="s">
        <v>95</v>
      </c>
      <c r="D130" s="2">
        <v>1.2675590614413628</v>
      </c>
    </row>
    <row r="131" spans="1:4">
      <c r="A131" t="s">
        <v>373</v>
      </c>
      <c r="B131" t="s">
        <v>354</v>
      </c>
      <c r="C131" t="s">
        <v>96</v>
      </c>
      <c r="D131" s="2">
        <v>31.107144226230201</v>
      </c>
    </row>
    <row r="132" spans="1:4">
      <c r="A132" t="s">
        <v>373</v>
      </c>
      <c r="B132" t="s">
        <v>354</v>
      </c>
      <c r="C132" t="s">
        <v>97</v>
      </c>
      <c r="D132" s="2">
        <v>101.31003945200727</v>
      </c>
    </row>
    <row r="133" spans="1:4">
      <c r="A133" t="s">
        <v>373</v>
      </c>
      <c r="B133" t="s">
        <v>354</v>
      </c>
      <c r="C133" t="s">
        <v>98</v>
      </c>
      <c r="D133" s="2">
        <v>93.230651205126094</v>
      </c>
    </row>
    <row r="134" spans="1:4">
      <c r="A134" t="s">
        <v>373</v>
      </c>
      <c r="B134" t="s">
        <v>354</v>
      </c>
      <c r="C134" t="s">
        <v>99</v>
      </c>
      <c r="D134" s="2">
        <v>57.438923109440452</v>
      </c>
    </row>
    <row r="135" spans="1:4">
      <c r="A135" t="s">
        <v>373</v>
      </c>
      <c r="B135" t="s">
        <v>355</v>
      </c>
      <c r="C135" t="s">
        <v>88</v>
      </c>
      <c r="D135" s="2">
        <v>0</v>
      </c>
    </row>
    <row r="136" spans="1:4">
      <c r="A136" t="s">
        <v>373</v>
      </c>
      <c r="B136" t="s">
        <v>355</v>
      </c>
      <c r="C136" t="s">
        <v>89</v>
      </c>
      <c r="D136" s="2">
        <v>0</v>
      </c>
    </row>
    <row r="137" spans="1:4">
      <c r="A137" t="s">
        <v>373</v>
      </c>
      <c r="B137" t="s">
        <v>355</v>
      </c>
      <c r="C137" t="s">
        <v>90</v>
      </c>
      <c r="D137" s="2">
        <v>0</v>
      </c>
    </row>
    <row r="138" spans="1:4">
      <c r="A138" t="s">
        <v>373</v>
      </c>
      <c r="B138" t="s">
        <v>355</v>
      </c>
      <c r="C138" t="s">
        <v>91</v>
      </c>
      <c r="D138" s="2">
        <v>0</v>
      </c>
    </row>
    <row r="139" spans="1:4">
      <c r="A139" t="s">
        <v>373</v>
      </c>
      <c r="B139" t="s">
        <v>355</v>
      </c>
      <c r="C139" t="s">
        <v>92</v>
      </c>
      <c r="D139" s="2">
        <v>0</v>
      </c>
    </row>
    <row r="140" spans="1:4">
      <c r="A140" t="s">
        <v>373</v>
      </c>
      <c r="B140" t="s">
        <v>355</v>
      </c>
      <c r="C140" t="s">
        <v>93</v>
      </c>
      <c r="D140" s="2">
        <v>0</v>
      </c>
    </row>
    <row r="141" spans="1:4">
      <c r="A141" t="s">
        <v>373</v>
      </c>
      <c r="B141" t="s">
        <v>355</v>
      </c>
      <c r="C141" t="s">
        <v>94</v>
      </c>
      <c r="D141" s="2">
        <v>0</v>
      </c>
    </row>
    <row r="142" spans="1:4">
      <c r="A142" t="s">
        <v>373</v>
      </c>
      <c r="B142" t="s">
        <v>355</v>
      </c>
      <c r="C142" t="s">
        <v>95</v>
      </c>
      <c r="D142" s="2">
        <v>0</v>
      </c>
    </row>
    <row r="143" spans="1:4">
      <c r="A143" t="s">
        <v>373</v>
      </c>
      <c r="B143" t="s">
        <v>355</v>
      </c>
      <c r="C143" t="s">
        <v>96</v>
      </c>
      <c r="D143" s="2">
        <v>0</v>
      </c>
    </row>
    <row r="144" spans="1:4">
      <c r="A144" t="s">
        <v>373</v>
      </c>
      <c r="B144" t="s">
        <v>355</v>
      </c>
      <c r="C144" t="s">
        <v>97</v>
      </c>
      <c r="D144" s="2">
        <v>0</v>
      </c>
    </row>
    <row r="145" spans="1:4">
      <c r="A145" t="s">
        <v>373</v>
      </c>
      <c r="B145" t="s">
        <v>355</v>
      </c>
      <c r="C145" t="s">
        <v>98</v>
      </c>
      <c r="D145" s="2">
        <v>0</v>
      </c>
    </row>
    <row r="146" spans="1:4">
      <c r="A146" t="s">
        <v>373</v>
      </c>
      <c r="B146" t="s">
        <v>355</v>
      </c>
      <c r="C146" t="s">
        <v>99</v>
      </c>
      <c r="D146" s="2">
        <v>0</v>
      </c>
    </row>
    <row r="147" spans="1:4">
      <c r="A147" t="s">
        <v>373</v>
      </c>
      <c r="B147" t="s">
        <v>133</v>
      </c>
      <c r="C147" t="s">
        <v>88</v>
      </c>
      <c r="D147" s="2">
        <v>606.81040989613746</v>
      </c>
    </row>
    <row r="148" spans="1:4">
      <c r="A148" t="s">
        <v>373</v>
      </c>
      <c r="B148" t="s">
        <v>133</v>
      </c>
      <c r="C148" t="s">
        <v>89</v>
      </c>
      <c r="D148" s="2">
        <v>526.01976021644168</v>
      </c>
    </row>
    <row r="149" spans="1:4">
      <c r="A149" t="s">
        <v>373</v>
      </c>
      <c r="B149" t="s">
        <v>133</v>
      </c>
      <c r="C149" t="s">
        <v>90</v>
      </c>
      <c r="D149" s="2">
        <v>0</v>
      </c>
    </row>
    <row r="150" spans="1:4">
      <c r="A150" t="s">
        <v>373</v>
      </c>
      <c r="B150" t="s">
        <v>133</v>
      </c>
      <c r="C150" t="s">
        <v>91</v>
      </c>
      <c r="D150" s="2">
        <v>0</v>
      </c>
    </row>
    <row r="151" spans="1:4">
      <c r="A151" t="s">
        <v>373</v>
      </c>
      <c r="B151" t="s">
        <v>133</v>
      </c>
      <c r="C151" t="s">
        <v>92</v>
      </c>
      <c r="D151" s="2">
        <v>43.340725331084748</v>
      </c>
    </row>
    <row r="152" spans="1:4">
      <c r="A152" t="s">
        <v>373</v>
      </c>
      <c r="B152" t="s">
        <v>133</v>
      </c>
      <c r="C152" t="s">
        <v>93</v>
      </c>
      <c r="D152" s="2">
        <v>0</v>
      </c>
    </row>
    <row r="153" spans="1:4">
      <c r="A153" t="s">
        <v>373</v>
      </c>
      <c r="B153" t="s">
        <v>133</v>
      </c>
      <c r="C153" t="s">
        <v>94</v>
      </c>
      <c r="D153" s="2">
        <v>0</v>
      </c>
    </row>
    <row r="154" spans="1:4">
      <c r="A154" t="s">
        <v>373</v>
      </c>
      <c r="B154" t="s">
        <v>133</v>
      </c>
      <c r="C154" t="s">
        <v>95</v>
      </c>
      <c r="D154" s="2">
        <v>14.743056632286077</v>
      </c>
    </row>
    <row r="155" spans="1:4">
      <c r="A155" t="s">
        <v>373</v>
      </c>
      <c r="B155" t="s">
        <v>133</v>
      </c>
      <c r="C155" t="s">
        <v>96</v>
      </c>
      <c r="D155" s="2">
        <v>367.91837610671593</v>
      </c>
    </row>
    <row r="156" spans="1:4">
      <c r="A156" t="s">
        <v>373</v>
      </c>
      <c r="B156" t="s">
        <v>133</v>
      </c>
      <c r="C156" t="s">
        <v>97</v>
      </c>
      <c r="D156" s="2">
        <v>1218.342991160845</v>
      </c>
    </row>
    <row r="157" spans="1:4">
      <c r="A157" t="s">
        <v>373</v>
      </c>
      <c r="B157" t="s">
        <v>133</v>
      </c>
      <c r="C157" t="s">
        <v>98</v>
      </c>
      <c r="D157" s="2">
        <v>1140.1553160814328</v>
      </c>
    </row>
    <row r="158" spans="1:4">
      <c r="A158" t="s">
        <v>373</v>
      </c>
      <c r="B158" t="s">
        <v>133</v>
      </c>
      <c r="C158" t="s">
        <v>99</v>
      </c>
      <c r="D158" s="2">
        <v>714.25056730054621</v>
      </c>
    </row>
    <row r="159" spans="1:4">
      <c r="A159" t="s">
        <v>15</v>
      </c>
      <c r="B159" t="s">
        <v>353</v>
      </c>
      <c r="C159" t="s">
        <v>95</v>
      </c>
      <c r="D159" s="2">
        <v>872.4</v>
      </c>
    </row>
    <row r="160" spans="1:4">
      <c r="A160" t="s">
        <v>15</v>
      </c>
      <c r="B160" t="s">
        <v>353</v>
      </c>
      <c r="C160" t="s">
        <v>96</v>
      </c>
      <c r="D160" s="2">
        <v>872.4</v>
      </c>
    </row>
    <row r="161" spans="1:4">
      <c r="A161" t="s">
        <v>15</v>
      </c>
      <c r="B161" t="s">
        <v>353</v>
      </c>
      <c r="C161" t="s">
        <v>97</v>
      </c>
      <c r="D161" s="2">
        <v>872.4</v>
      </c>
    </row>
    <row r="162" spans="1:4">
      <c r="A162" t="s">
        <v>15</v>
      </c>
      <c r="B162" t="s">
        <v>353</v>
      </c>
      <c r="C162" t="s">
        <v>98</v>
      </c>
      <c r="D162" s="2">
        <v>436.2</v>
      </c>
    </row>
    <row r="163" spans="1:4">
      <c r="A163" t="s">
        <v>15</v>
      </c>
      <c r="B163" t="s">
        <v>354</v>
      </c>
      <c r="C163" t="s">
        <v>88</v>
      </c>
      <c r="D163" s="2">
        <v>246.05682834534392</v>
      </c>
    </row>
    <row r="164" spans="1:4">
      <c r="A164" t="s">
        <v>15</v>
      </c>
      <c r="B164" t="s">
        <v>354</v>
      </c>
      <c r="C164" t="s">
        <v>89</v>
      </c>
      <c r="D164" s="2">
        <v>209.74878649582416</v>
      </c>
    </row>
    <row r="165" spans="1:4">
      <c r="A165" t="s">
        <v>15</v>
      </c>
      <c r="B165" t="s">
        <v>354</v>
      </c>
      <c r="C165" t="s">
        <v>90</v>
      </c>
      <c r="D165" s="2">
        <v>0</v>
      </c>
    </row>
    <row r="166" spans="1:4">
      <c r="A166" t="s">
        <v>15</v>
      </c>
      <c r="B166" t="s">
        <v>354</v>
      </c>
      <c r="C166" t="s">
        <v>91</v>
      </c>
      <c r="D166" s="2">
        <v>0</v>
      </c>
    </row>
    <row r="167" spans="1:4">
      <c r="A167" t="s">
        <v>15</v>
      </c>
      <c r="B167" t="s">
        <v>354</v>
      </c>
      <c r="C167" t="s">
        <v>92</v>
      </c>
      <c r="D167" s="2">
        <v>16.437834976515926</v>
      </c>
    </row>
    <row r="168" spans="1:4">
      <c r="A168" t="s">
        <v>15</v>
      </c>
      <c r="B168" t="s">
        <v>354</v>
      </c>
      <c r="C168" t="s">
        <v>93</v>
      </c>
      <c r="D168" s="2">
        <v>0</v>
      </c>
    </row>
    <row r="169" spans="1:4">
      <c r="A169" t="s">
        <v>15</v>
      </c>
      <c r="B169" t="s">
        <v>354</v>
      </c>
      <c r="C169" t="s">
        <v>94</v>
      </c>
      <c r="D169" s="2">
        <v>0</v>
      </c>
    </row>
    <row r="170" spans="1:4">
      <c r="A170" t="s">
        <v>15</v>
      </c>
      <c r="B170" t="s">
        <v>354</v>
      </c>
      <c r="C170" t="s">
        <v>95</v>
      </c>
      <c r="D170" s="2">
        <v>5.3181335604889339</v>
      </c>
    </row>
    <row r="171" spans="1:4">
      <c r="A171" t="s">
        <v>15</v>
      </c>
      <c r="B171" t="s">
        <v>354</v>
      </c>
      <c r="C171" t="s">
        <v>96</v>
      </c>
      <c r="D171" s="2">
        <v>130.51222046597888</v>
      </c>
    </row>
    <row r="172" spans="1:4">
      <c r="A172" t="s">
        <v>15</v>
      </c>
      <c r="B172" t="s">
        <v>354</v>
      </c>
      <c r="C172" t="s">
        <v>97</v>
      </c>
      <c r="D172" s="2">
        <v>425.05342529090649</v>
      </c>
    </row>
    <row r="173" spans="1:4">
      <c r="A173" t="s">
        <v>15</v>
      </c>
      <c r="B173" t="s">
        <v>354</v>
      </c>
      <c r="C173" t="s">
        <v>98</v>
      </c>
      <c r="D173" s="2">
        <v>391.15578131438053</v>
      </c>
    </row>
    <row r="174" spans="1:4">
      <c r="A174" t="s">
        <v>15</v>
      </c>
      <c r="B174" t="s">
        <v>354</v>
      </c>
      <c r="C174" t="s">
        <v>99</v>
      </c>
      <c r="D174" s="2">
        <v>240.98905838699622</v>
      </c>
    </row>
    <row r="175" spans="1:4">
      <c r="A175" t="s">
        <v>15</v>
      </c>
      <c r="B175" t="s">
        <v>355</v>
      </c>
      <c r="C175" t="s">
        <v>88</v>
      </c>
      <c r="D175" s="2">
        <v>0</v>
      </c>
    </row>
    <row r="176" spans="1:4">
      <c r="A176" t="s">
        <v>15</v>
      </c>
      <c r="B176" t="s">
        <v>355</v>
      </c>
      <c r="C176" t="s">
        <v>89</v>
      </c>
      <c r="D176" s="2">
        <v>0</v>
      </c>
    </row>
    <row r="177" spans="1:4">
      <c r="A177" t="s">
        <v>15</v>
      </c>
      <c r="B177" t="s">
        <v>355</v>
      </c>
      <c r="C177" t="s">
        <v>90</v>
      </c>
      <c r="D177" s="2">
        <v>0</v>
      </c>
    </row>
    <row r="178" spans="1:4">
      <c r="A178" t="s">
        <v>15</v>
      </c>
      <c r="B178" t="s">
        <v>355</v>
      </c>
      <c r="C178" t="s">
        <v>91</v>
      </c>
      <c r="D178" s="2">
        <v>0</v>
      </c>
    </row>
    <row r="179" spans="1:4">
      <c r="A179" t="s">
        <v>15</v>
      </c>
      <c r="B179" t="s">
        <v>355</v>
      </c>
      <c r="C179" t="s">
        <v>92</v>
      </c>
      <c r="D179" s="2">
        <v>0</v>
      </c>
    </row>
    <row r="180" spans="1:4">
      <c r="A180" t="s">
        <v>15</v>
      </c>
      <c r="B180" t="s">
        <v>355</v>
      </c>
      <c r="C180" t="s">
        <v>93</v>
      </c>
      <c r="D180" s="2">
        <v>0</v>
      </c>
    </row>
    <row r="181" spans="1:4">
      <c r="A181" t="s">
        <v>15</v>
      </c>
      <c r="B181" t="s">
        <v>355</v>
      </c>
      <c r="C181" t="s">
        <v>94</v>
      </c>
      <c r="D181" s="2">
        <v>0</v>
      </c>
    </row>
    <row r="182" spans="1:4">
      <c r="A182" t="s">
        <v>15</v>
      </c>
      <c r="B182" t="s">
        <v>355</v>
      </c>
      <c r="C182" t="s">
        <v>95</v>
      </c>
      <c r="D182" s="2">
        <v>0</v>
      </c>
    </row>
    <row r="183" spans="1:4">
      <c r="A183" t="s">
        <v>15</v>
      </c>
      <c r="B183" t="s">
        <v>355</v>
      </c>
      <c r="C183" t="s">
        <v>96</v>
      </c>
      <c r="D183" s="2">
        <v>0</v>
      </c>
    </row>
    <row r="184" spans="1:4">
      <c r="A184" t="s">
        <v>15</v>
      </c>
      <c r="B184" t="s">
        <v>355</v>
      </c>
      <c r="C184" t="s">
        <v>97</v>
      </c>
      <c r="D184" s="2">
        <v>0</v>
      </c>
    </row>
    <row r="185" spans="1:4">
      <c r="A185" t="s">
        <v>15</v>
      </c>
      <c r="B185" t="s">
        <v>355</v>
      </c>
      <c r="C185" t="s">
        <v>98</v>
      </c>
      <c r="D185" s="2">
        <v>0</v>
      </c>
    </row>
    <row r="186" spans="1:4">
      <c r="A186" t="s">
        <v>15</v>
      </c>
      <c r="B186" t="s">
        <v>355</v>
      </c>
      <c r="C186" t="s">
        <v>99</v>
      </c>
      <c r="D186" s="2">
        <v>0</v>
      </c>
    </row>
    <row r="187" spans="1:4">
      <c r="A187" t="s">
        <v>15</v>
      </c>
      <c r="B187" t="s">
        <v>133</v>
      </c>
      <c r="C187" t="s">
        <v>88</v>
      </c>
      <c r="D187" s="2">
        <v>1685.5844719337149</v>
      </c>
    </row>
    <row r="188" spans="1:4">
      <c r="A188" t="s">
        <v>15</v>
      </c>
      <c r="B188" t="s">
        <v>133</v>
      </c>
      <c r="C188" t="s">
        <v>89</v>
      </c>
      <c r="D188" s="2">
        <v>1461.1660006012266</v>
      </c>
    </row>
    <row r="189" spans="1:4">
      <c r="A189" t="s">
        <v>15</v>
      </c>
      <c r="B189" t="s">
        <v>133</v>
      </c>
      <c r="C189" t="s">
        <v>90</v>
      </c>
      <c r="D189" s="2">
        <v>0</v>
      </c>
    </row>
    <row r="190" spans="1:4">
      <c r="A190" t="s">
        <v>15</v>
      </c>
      <c r="B190" t="s">
        <v>133</v>
      </c>
      <c r="C190" t="s">
        <v>91</v>
      </c>
      <c r="D190" s="2">
        <v>0</v>
      </c>
    </row>
    <row r="191" spans="1:4">
      <c r="A191" t="s">
        <v>15</v>
      </c>
      <c r="B191" t="s">
        <v>133</v>
      </c>
      <c r="C191" t="s">
        <v>92</v>
      </c>
      <c r="D191" s="2">
        <v>120.39090369745763</v>
      </c>
    </row>
    <row r="192" spans="1:4">
      <c r="A192" t="s">
        <v>15</v>
      </c>
      <c r="B192" t="s">
        <v>133</v>
      </c>
      <c r="C192" t="s">
        <v>93</v>
      </c>
      <c r="D192" s="2">
        <v>0</v>
      </c>
    </row>
    <row r="193" spans="1:4">
      <c r="A193" t="s">
        <v>15</v>
      </c>
      <c r="B193" t="s">
        <v>133</v>
      </c>
      <c r="C193" t="s">
        <v>94</v>
      </c>
      <c r="D193" s="2">
        <v>0</v>
      </c>
    </row>
    <row r="194" spans="1:4">
      <c r="A194" t="s">
        <v>15</v>
      </c>
      <c r="B194" t="s">
        <v>133</v>
      </c>
      <c r="C194" t="s">
        <v>95</v>
      </c>
      <c r="D194" s="2">
        <v>40.952935089683542</v>
      </c>
    </row>
    <row r="195" spans="1:4">
      <c r="A195" t="s">
        <v>15</v>
      </c>
      <c r="B195" t="s">
        <v>133</v>
      </c>
      <c r="C195" t="s">
        <v>96</v>
      </c>
      <c r="D195" s="2">
        <v>1021.995489185322</v>
      </c>
    </row>
    <row r="196" spans="1:4">
      <c r="A196" t="s">
        <v>15</v>
      </c>
      <c r="B196" t="s">
        <v>133</v>
      </c>
      <c r="C196" t="s">
        <v>97</v>
      </c>
      <c r="D196" s="2">
        <v>3384.2860865579028</v>
      </c>
    </row>
    <row r="197" spans="1:4">
      <c r="A197" t="s">
        <v>15</v>
      </c>
      <c r="B197" t="s">
        <v>133</v>
      </c>
      <c r="C197" t="s">
        <v>98</v>
      </c>
      <c r="D197" s="2">
        <v>3167.0981002262024</v>
      </c>
    </row>
    <row r="198" spans="1:4">
      <c r="A198" t="s">
        <v>15</v>
      </c>
      <c r="B198" t="s">
        <v>133</v>
      </c>
      <c r="C198" t="s">
        <v>99</v>
      </c>
      <c r="D198" s="2">
        <v>1984.0293536126283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9"/>
  <sheetViews>
    <sheetView workbookViewId="0">
      <selection activeCell="H18" sqref="H18"/>
    </sheetView>
  </sheetViews>
  <sheetFormatPr baseColWidth="10" defaultRowHeight="15"/>
  <cols>
    <col min="1" max="1" width="10" bestFit="1" customWidth="1"/>
    <col min="2" max="2" width="16.42578125" bestFit="1" customWidth="1"/>
    <col min="3" max="3" width="7.140625" bestFit="1" customWidth="1"/>
    <col min="4" max="4" width="11.140625" bestFit="1" customWidth="1"/>
  </cols>
  <sheetData>
    <row r="1" spans="1:4">
      <c r="A1" t="s">
        <v>366</v>
      </c>
      <c r="B1" t="s">
        <v>0</v>
      </c>
      <c r="C1" t="s">
        <v>365</v>
      </c>
      <c r="D1" t="s">
        <v>364</v>
      </c>
    </row>
    <row r="2" spans="1:4">
      <c r="A2">
        <v>93702.81</v>
      </c>
      <c r="B2" t="s">
        <v>373</v>
      </c>
      <c r="C2" t="s">
        <v>99</v>
      </c>
      <c r="D2" t="s">
        <v>346</v>
      </c>
    </row>
    <row r="3" spans="1:4">
      <c r="A3">
        <v>30457.290000000005</v>
      </c>
      <c r="B3" t="s">
        <v>373</v>
      </c>
      <c r="C3" t="s">
        <v>99</v>
      </c>
      <c r="D3" t="s">
        <v>346</v>
      </c>
    </row>
    <row r="4" spans="1:4">
      <c r="A4">
        <v>30729.9</v>
      </c>
      <c r="B4" t="s">
        <v>373</v>
      </c>
      <c r="C4" t="s">
        <v>99</v>
      </c>
      <c r="D4" t="s">
        <v>346</v>
      </c>
    </row>
    <row r="5" spans="1:4">
      <c r="A5">
        <v>44489.144</v>
      </c>
      <c r="B5" t="s">
        <v>15</v>
      </c>
      <c r="C5" t="s">
        <v>99</v>
      </c>
      <c r="D5" t="s">
        <v>346</v>
      </c>
    </row>
    <row r="6" spans="1:4">
      <c r="A6">
        <v>48580</v>
      </c>
      <c r="B6" t="s">
        <v>12</v>
      </c>
      <c r="C6" t="s">
        <v>99</v>
      </c>
      <c r="D6" t="s">
        <v>346</v>
      </c>
    </row>
    <row r="7" spans="1:4">
      <c r="A7">
        <v>40485</v>
      </c>
      <c r="B7" t="s">
        <v>8</v>
      </c>
      <c r="C7" t="s">
        <v>99</v>
      </c>
      <c r="D7" t="s">
        <v>346</v>
      </c>
    </row>
    <row r="8" spans="1:4">
      <c r="A8">
        <v>26459.65</v>
      </c>
      <c r="B8" t="s">
        <v>8</v>
      </c>
      <c r="C8" t="s">
        <v>99</v>
      </c>
      <c r="D8" t="s">
        <v>346</v>
      </c>
    </row>
    <row r="9" spans="1:4">
      <c r="A9">
        <v>26686.82</v>
      </c>
      <c r="B9" t="s">
        <v>4</v>
      </c>
      <c r="C9" t="s">
        <v>99</v>
      </c>
      <c r="D9" t="s">
        <v>346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S126"/>
  <sheetViews>
    <sheetView tabSelected="1" zoomScale="80" zoomScaleNormal="80" workbookViewId="0">
      <pane xSplit="8" ySplit="2" topLeftCell="I87" activePane="bottomRight" state="frozen"/>
      <selection pane="topRight" activeCell="H1" sqref="H1"/>
      <selection pane="bottomLeft" activeCell="A3" sqref="A3"/>
      <selection pane="bottomRight" activeCell="E3" sqref="E3"/>
    </sheetView>
  </sheetViews>
  <sheetFormatPr baseColWidth="10" defaultColWidth="9.140625" defaultRowHeight="15"/>
  <cols>
    <col min="1" max="1" width="16.42578125" bestFit="1" customWidth="1"/>
    <col min="2" max="2" width="9.42578125" customWidth="1"/>
    <col min="4" max="4" width="11.140625" customWidth="1"/>
    <col min="5" max="5" width="12.140625" bestFit="1" customWidth="1"/>
    <col min="6" max="6" width="14.42578125" bestFit="1" customWidth="1"/>
    <col min="7" max="7" width="14.42578125" customWidth="1"/>
    <col min="8" max="8" width="13.42578125" bestFit="1" customWidth="1"/>
    <col min="9" max="9" width="19.85546875" bestFit="1" customWidth="1"/>
    <col min="10" max="10" width="16" customWidth="1"/>
    <col min="11" max="11" width="12" customWidth="1"/>
    <col min="12" max="12" width="16.140625" customWidth="1"/>
    <col min="13" max="13" width="14.28515625" customWidth="1"/>
    <col min="14" max="14" width="16.28515625" customWidth="1"/>
    <col min="15" max="15" width="16.85546875" customWidth="1"/>
    <col min="16" max="16" width="13.140625" customWidth="1"/>
    <col min="17" max="17" width="16.85546875" customWidth="1"/>
    <col min="18" max="18" width="13.140625" customWidth="1"/>
    <col min="19" max="19" width="22" customWidth="1"/>
    <col min="20" max="20" width="22.42578125" customWidth="1"/>
    <col min="21" max="21" width="14" customWidth="1"/>
    <col min="22" max="22" width="10.28515625" customWidth="1"/>
    <col min="23" max="23" width="13.7109375" customWidth="1"/>
    <col min="24" max="24" width="9.140625" customWidth="1"/>
    <col min="25" max="25" width="17.42578125" customWidth="1"/>
    <col min="26" max="26" width="15.42578125" bestFit="1" customWidth="1"/>
    <col min="27" max="27" width="16.140625" bestFit="1" customWidth="1"/>
    <col min="31" max="31" width="9.42578125" customWidth="1"/>
    <col min="40" max="40" width="23.140625" bestFit="1" customWidth="1"/>
    <col min="41" max="41" width="34.85546875" bestFit="1" customWidth="1"/>
    <col min="42" max="42" width="22.7109375" bestFit="1" customWidth="1"/>
    <col min="43" max="43" width="19.85546875" bestFit="1" customWidth="1"/>
    <col min="44" max="44" width="19.85546875" customWidth="1"/>
    <col min="45" max="45" width="22.28515625" bestFit="1" customWidth="1"/>
    <col min="66" max="66" width="15" bestFit="1" customWidth="1"/>
    <col min="67" max="68" width="15" customWidth="1"/>
    <col min="69" max="69" width="20.28515625" bestFit="1" customWidth="1"/>
    <col min="70" max="70" width="13.140625" customWidth="1"/>
    <col min="71" max="74" width="13.140625" bestFit="1" customWidth="1"/>
    <col min="76" max="76" width="9.85546875" bestFit="1" customWidth="1"/>
    <col min="92" max="92" width="15.85546875" bestFit="1" customWidth="1"/>
    <col min="93" max="93" width="13.42578125" bestFit="1" customWidth="1"/>
    <col min="94" max="94" width="14.140625" bestFit="1" customWidth="1"/>
    <col min="95" max="95" width="12.140625" bestFit="1" customWidth="1"/>
    <col min="96" max="96" width="18.140625" bestFit="1" customWidth="1"/>
  </cols>
  <sheetData>
    <row r="1" spans="1:97" ht="15.75" thickBot="1">
      <c r="K1" s="164" t="s">
        <v>59</v>
      </c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6"/>
      <c r="Z1" s="164" t="s">
        <v>60</v>
      </c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6"/>
      <c r="AT1" s="164" t="s">
        <v>83</v>
      </c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  <c r="BI1" s="165"/>
      <c r="BJ1" s="165"/>
      <c r="BK1" s="165"/>
      <c r="BL1" s="165"/>
      <c r="BM1" s="166"/>
      <c r="BR1" s="164" t="s">
        <v>131</v>
      </c>
      <c r="BS1" s="165"/>
      <c r="BT1" s="165"/>
      <c r="BU1" s="165"/>
      <c r="BV1" s="166"/>
      <c r="BW1" s="164" t="s">
        <v>147</v>
      </c>
      <c r="BX1" s="165"/>
      <c r="BY1" s="165"/>
      <c r="BZ1" s="165"/>
      <c r="CA1" s="165"/>
      <c r="CB1" s="165"/>
      <c r="CC1" s="165"/>
      <c r="CD1" s="165"/>
      <c r="CE1" s="165"/>
      <c r="CF1" s="165"/>
      <c r="CG1" s="165"/>
      <c r="CH1" s="166"/>
    </row>
    <row r="2" spans="1:97">
      <c r="A2" t="s">
        <v>0</v>
      </c>
      <c r="B2" t="s">
        <v>1</v>
      </c>
      <c r="C2" t="s">
        <v>2</v>
      </c>
      <c r="D2" t="s">
        <v>3</v>
      </c>
      <c r="E2" t="s">
        <v>16</v>
      </c>
      <c r="F2" t="s">
        <v>17</v>
      </c>
      <c r="G2" t="s">
        <v>416</v>
      </c>
      <c r="H2" s="2" t="s">
        <v>18</v>
      </c>
      <c r="I2" s="2" t="s">
        <v>171</v>
      </c>
      <c r="J2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  <c r="R2" s="4" t="s">
        <v>34</v>
      </c>
      <c r="S2" s="4" t="s">
        <v>35</v>
      </c>
      <c r="T2" s="4" t="s">
        <v>36</v>
      </c>
      <c r="U2" s="4" t="s">
        <v>37</v>
      </c>
      <c r="V2" s="4" t="s">
        <v>38</v>
      </c>
      <c r="W2" s="4" t="s">
        <v>39</v>
      </c>
      <c r="X2" s="5" t="s">
        <v>40</v>
      </c>
      <c r="Y2" t="s">
        <v>43</v>
      </c>
      <c r="Z2" s="6" t="s">
        <v>44</v>
      </c>
      <c r="AA2" s="6" t="s">
        <v>45</v>
      </c>
      <c r="AB2" s="6" t="s">
        <v>46</v>
      </c>
      <c r="AC2" s="6" t="s">
        <v>47</v>
      </c>
      <c r="AD2" s="6" t="s">
        <v>48</v>
      </c>
      <c r="AE2" s="6" t="s">
        <v>49</v>
      </c>
      <c r="AF2" s="6" t="s">
        <v>50</v>
      </c>
      <c r="AG2" t="s">
        <v>51</v>
      </c>
      <c r="AH2" t="s">
        <v>52</v>
      </c>
      <c r="AI2" t="s">
        <v>53</v>
      </c>
      <c r="AJ2" t="s">
        <v>54</v>
      </c>
      <c r="AK2" t="s">
        <v>55</v>
      </c>
      <c r="AL2" t="s">
        <v>56</v>
      </c>
      <c r="AM2" t="s">
        <v>57</v>
      </c>
      <c r="AN2" t="s">
        <v>58</v>
      </c>
      <c r="AO2" t="s">
        <v>61</v>
      </c>
      <c r="AP2" t="s">
        <v>62</v>
      </c>
      <c r="AQ2" t="s">
        <v>63</v>
      </c>
      <c r="AR2" t="s">
        <v>106</v>
      </c>
      <c r="AS2" t="s">
        <v>64</v>
      </c>
      <c r="AT2" t="s">
        <v>65</v>
      </c>
      <c r="AU2" t="s">
        <v>66</v>
      </c>
      <c r="AV2" t="s">
        <v>67</v>
      </c>
      <c r="AW2" t="s">
        <v>68</v>
      </c>
      <c r="AX2" t="s">
        <v>69</v>
      </c>
      <c r="AY2" t="s">
        <v>70</v>
      </c>
      <c r="AZ2" t="s">
        <v>118</v>
      </c>
      <c r="BA2" t="s">
        <v>119</v>
      </c>
      <c r="BB2" t="s">
        <v>71</v>
      </c>
      <c r="BC2" t="s">
        <v>72</v>
      </c>
      <c r="BD2" t="s">
        <v>73</v>
      </c>
      <c r="BE2" t="s">
        <v>74</v>
      </c>
      <c r="BF2" t="s">
        <v>75</v>
      </c>
      <c r="BG2" t="s">
        <v>76</v>
      </c>
      <c r="BH2" t="s">
        <v>77</v>
      </c>
      <c r="BI2" t="s">
        <v>78</v>
      </c>
      <c r="BJ2" t="s">
        <v>79</v>
      </c>
      <c r="BK2" t="s">
        <v>80</v>
      </c>
      <c r="BL2" t="s">
        <v>81</v>
      </c>
      <c r="BM2" t="s">
        <v>82</v>
      </c>
      <c r="BN2" s="18" t="s">
        <v>84</v>
      </c>
      <c r="BO2" s="18" t="s">
        <v>248</v>
      </c>
      <c r="BP2" s="18" t="s">
        <v>249</v>
      </c>
      <c r="BQ2" s="18" t="s">
        <v>250</v>
      </c>
      <c r="BR2" t="s">
        <v>126</v>
      </c>
      <c r="BS2" t="s">
        <v>127</v>
      </c>
      <c r="BT2" t="s">
        <v>128</v>
      </c>
      <c r="BU2" t="s">
        <v>129</v>
      </c>
      <c r="BV2" t="s">
        <v>130</v>
      </c>
      <c r="BW2" t="s">
        <v>135</v>
      </c>
      <c r="BX2" t="s">
        <v>143</v>
      </c>
      <c r="BY2" t="s">
        <v>136</v>
      </c>
      <c r="BZ2" t="s">
        <v>137</v>
      </c>
      <c r="CA2" t="s">
        <v>138</v>
      </c>
      <c r="CB2" t="s">
        <v>139</v>
      </c>
      <c r="CC2" t="s">
        <v>140</v>
      </c>
      <c r="CD2" t="s">
        <v>144</v>
      </c>
      <c r="CE2" t="s">
        <v>145</v>
      </c>
      <c r="CF2" t="s">
        <v>141</v>
      </c>
      <c r="CG2" t="s">
        <v>146</v>
      </c>
      <c r="CH2" t="s">
        <v>142</v>
      </c>
      <c r="CI2" t="s">
        <v>156</v>
      </c>
      <c r="CJ2" t="s">
        <v>157</v>
      </c>
      <c r="CK2" t="s">
        <v>158</v>
      </c>
      <c r="CL2" t="s">
        <v>159</v>
      </c>
      <c r="CM2" t="s">
        <v>160</v>
      </c>
      <c r="CN2" s="64" t="s">
        <v>169</v>
      </c>
      <c r="CO2" s="64" t="s">
        <v>170</v>
      </c>
      <c r="CP2" t="s">
        <v>303</v>
      </c>
      <c r="CQ2" t="s">
        <v>307</v>
      </c>
      <c r="CR2" t="s">
        <v>376</v>
      </c>
      <c r="CS2" t="s">
        <v>492</v>
      </c>
    </row>
    <row r="3" spans="1:97">
      <c r="A3" t="s">
        <v>4</v>
      </c>
      <c r="B3">
        <v>1</v>
      </c>
      <c r="C3">
        <v>5.13</v>
      </c>
      <c r="D3" t="s">
        <v>5</v>
      </c>
      <c r="E3" s="3">
        <v>15000</v>
      </c>
      <c r="F3" s="2">
        <f>+TablaGeneral[[#This Row],[Has]]*TablaGeneral[[#This Row],[Kg x Has]]</f>
        <v>76950</v>
      </c>
      <c r="G3" s="2">
        <f>+TablaGeneral[[#This Row],[Kg 2026]]/4</f>
        <v>19237.5</v>
      </c>
      <c r="H3">
        <v>6918</v>
      </c>
      <c r="J3" t="s">
        <v>112</v>
      </c>
      <c r="K3" s="2">
        <f>10000/(3*3)</f>
        <v>1111.1111111111111</v>
      </c>
      <c r="L3">
        <v>6</v>
      </c>
      <c r="M3">
        <f>+TablaGeneral[[#This Row],[Plantas x Has]]*TablaGeneral[[#This Row],[N° de Guías x planta]]</f>
        <v>6666.6666666666661</v>
      </c>
      <c r="N3">
        <v>7</v>
      </c>
      <c r="O3">
        <f>+TablaGeneral[[#This Row],[N° de Guías x planta]]*TablaGeneral[[#This Row],[N° de Yemas x Guias]]</f>
        <v>42</v>
      </c>
      <c r="P3">
        <v>0.8</v>
      </c>
      <c r="Q3">
        <f>+TablaGeneral[[#This Row],[N° de Yemas x Planta]]*TablaGeneral[[#This Row],[% de Brotación]]</f>
        <v>33.6</v>
      </c>
      <c r="R3">
        <v>0.84</v>
      </c>
      <c r="S3">
        <v>1</v>
      </c>
      <c r="T3">
        <f>+TablaGeneral[[#This Row],[N° de Brotes x Planta]]*TablaGeneral[[#This Row],[% de Fertilidad]]*TablaGeneral[[#This Row],[Cantidad de Racimos x Brote]]</f>
        <v>28.224</v>
      </c>
      <c r="U3">
        <v>0.39450000000000002</v>
      </c>
      <c r="V3">
        <f>+TablaGeneral[[#This Row],[Cantidad de Racimos x Planta]]*TablaGeneral[[#This Row],[Peso del Racimo]]</f>
        <v>11.134368</v>
      </c>
      <c r="W3">
        <f>+TablaGeneral[[#This Row],[Plantas]]*TablaGeneral[[#This Row],[Kg x Planta]]</f>
        <v>77027.557824000003</v>
      </c>
      <c r="X3">
        <f>+TablaGeneral[[#This Row],[Kg x Cuartel]]/TablaGeneral[[#This Row],[Has]]</f>
        <v>15015.118484210527</v>
      </c>
      <c r="Y3" t="s">
        <v>41</v>
      </c>
      <c r="Z3" s="39">
        <v>150</v>
      </c>
      <c r="AA3">
        <f>+TablaGeneral[[#This Row],[Rendimiento Poda]]*1.5</f>
        <v>225</v>
      </c>
      <c r="AB3">
        <f t="shared" ref="AB3:AB9" si="0">650/5</f>
        <v>130</v>
      </c>
      <c r="AC3">
        <v>300</v>
      </c>
      <c r="AE3">
        <v>500</v>
      </c>
      <c r="AG3">
        <f>+IFERROR(TablaGeneral[[#This Row],[Plantas]]/TablaGeneral[[#This Row],[Rendimiento Poda]],0)</f>
        <v>46.12</v>
      </c>
      <c r="AH3">
        <f>+TablaGeneral[[#This Row],[Plantas]]/TablaGeneral[[#This Row],[Rendimiento Atada]]</f>
        <v>30.746666666666666</v>
      </c>
      <c r="AI3">
        <f>+IFERROR(TablaGeneral[[#This Row],[Plantas]]/TablaGeneral[[#This Row],[Rendimiento Desbrote de troncos]],0)</f>
        <v>53.215384615384615</v>
      </c>
      <c r="AJ3" s="2">
        <f>+IFERROR(TablaGeneral[[#This Row],[Plantas]]/TablaGeneral[[#This Row],[Rendimiento Acomodo de brotes ]],0)</f>
        <v>23.06</v>
      </c>
      <c r="AK3">
        <f>+IFERROR(TablaGeneral[[#This Row],[Plantas]]/TablaGeneral[[#This Row],[Rendimiento Desniete, deshoje ]],0)</f>
        <v>0</v>
      </c>
      <c r="AL3">
        <f>+IFERROR(TablaGeneral[[#This Row],[Plantas]]/TablaGeneral[[#This Row],[Rendimiento Desbrote con criterio de Poda]],0)</f>
        <v>13.836</v>
      </c>
      <c r="AM3">
        <f>+IFERROR(TablaGeneral[[#This Row],[Plantas]]/TablaGeneral[[#This Row],[Rendimiento Raleo de Racimos]],0)</f>
        <v>0</v>
      </c>
      <c r="AN3">
        <f t="shared" ref="AN3:AN9" si="1">+H3/2820.3125</f>
        <v>2.4529196675900278</v>
      </c>
      <c r="AO3">
        <f t="shared" ref="AO3:AO9" si="2">+H3/6446.4285271</f>
        <v>1.0731523619501202</v>
      </c>
      <c r="AP3">
        <f t="shared" ref="AP3:AP9" si="3">+H3/15041</f>
        <v>0.45994282295060168</v>
      </c>
      <c r="AQ3">
        <f t="shared" ref="AQ3:AQ9" si="4">+H3/716.2698413</f>
        <v>9.6583711907290652</v>
      </c>
      <c r="AR3">
        <f t="shared" ref="AR3:AR9" si="5">H3/6016</f>
        <v>1.149933510638298</v>
      </c>
      <c r="AS3">
        <f t="shared" ref="AS3:AS9" si="6">+H3/750</f>
        <v>9.2240000000000002</v>
      </c>
      <c r="AT3">
        <f t="shared" ref="AT3:AT9" si="7">+H3/451.25</f>
        <v>15.330747922437673</v>
      </c>
      <c r="AW3">
        <v>1</v>
      </c>
      <c r="AX3">
        <f t="shared" ref="AX3:AX9" si="8">+H3/451</f>
        <v>15.339246119733925</v>
      </c>
      <c r="AY3">
        <f t="shared" ref="AY3:AY9" si="9">+H3/2256.25</f>
        <v>3.0661495844875346</v>
      </c>
      <c r="AZ3">
        <f t="shared" ref="AZ3:AZ9" si="10">+H3/399.336</f>
        <v>17.323757437345993</v>
      </c>
      <c r="BA3">
        <f t="shared" ref="BA3:BA9" si="11">+H3/2256.25</f>
        <v>3.0661495844875346</v>
      </c>
      <c r="BC3">
        <f t="shared" ref="BC3:BC9" si="12">+H3/2820.31</f>
        <v>2.4529218419251784</v>
      </c>
      <c r="BD3">
        <f t="shared" ref="BD3:BD9" si="13">+H3/1002</f>
        <v>6.9041916167664672</v>
      </c>
      <c r="BF3">
        <f t="shared" ref="BF3:BF9" si="14">+H3/2256.25</f>
        <v>3.0661495844875346</v>
      </c>
      <c r="BG3">
        <f t="shared" ref="BG3:BG9" si="15">+H3/1410.16</f>
        <v>4.9058262892154083</v>
      </c>
      <c r="BH3">
        <f t="shared" ref="BH3:BH9" si="16">+H3/940.104</f>
        <v>7.3587603073702477</v>
      </c>
      <c r="BI3">
        <f t="shared" ref="BI3:BI9" si="17">+H3/2654</f>
        <v>2.6066314996232101</v>
      </c>
      <c r="BJ3">
        <f t="shared" ref="BJ3:BJ9" si="18">+H3/778.017</f>
        <v>8.8918365536999833</v>
      </c>
      <c r="BK3">
        <f t="shared" ref="BK3:BK9" si="19">+H3/4102.27</f>
        <v>1.6863833926094576</v>
      </c>
      <c r="BL3">
        <f t="shared" ref="BL3:BL9" si="20">+H3/716.27</f>
        <v>9.6583690507769422</v>
      </c>
      <c r="BM3">
        <f t="shared" ref="BM3:BM9" si="21">+H3/1504.17</f>
        <v>4.5992141845669039</v>
      </c>
      <c r="BN3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492.03946511964386</v>
      </c>
      <c r="BO3" s="1">
        <f>+TablaGeneral[[#This Row],[Combustible]]/100</f>
        <v>4.9203946511964389</v>
      </c>
      <c r="BP3" s="1">
        <f>+TablaGeneral[[#This Row],[Combustible]]/150</f>
        <v>3.280263100797626</v>
      </c>
      <c r="BQ3" s="1">
        <f>+TablaGeneral[[#This Row],[Combustible]]/200</f>
        <v>2.4601973255982195</v>
      </c>
      <c r="BR3">
        <f t="shared" ref="BR3:BR9" si="22">+H3/940</f>
        <v>7.3595744680851061</v>
      </c>
      <c r="BS3">
        <f t="shared" ref="BS3:BS9" si="23">+H3/940</f>
        <v>7.3595744680851061</v>
      </c>
      <c r="BT3">
        <f t="shared" ref="BT3:BT9" si="24">+H3/940</f>
        <v>7.3595744680851061</v>
      </c>
      <c r="BU3">
        <f t="shared" ref="BU3:BU9" si="25">+H3/2150</f>
        <v>3.2176744186046511</v>
      </c>
      <c r="BW3">
        <f>+H3/4841</f>
        <v>1.4290435860359429</v>
      </c>
      <c r="BX3">
        <f>+H3/6446</f>
        <v>1.073223704623022</v>
      </c>
      <c r="BY3">
        <f>+H3/3008</f>
        <v>2.2998670212765959</v>
      </c>
      <c r="BZ3">
        <f>+H3/4102</f>
        <v>1.6864943929790346</v>
      </c>
      <c r="CA3">
        <f>+H3/2654</f>
        <v>2.6066314996232101</v>
      </c>
      <c r="CB3">
        <f>+H3/5013</f>
        <v>1.3800119688809096</v>
      </c>
      <c r="CC3">
        <f>+H3/38591.5</f>
        <v>0.17926227278027546</v>
      </c>
      <c r="CD3">
        <f>+H3/57852</f>
        <v>0.11958099979257415</v>
      </c>
      <c r="CF3">
        <f>+H3/1367</f>
        <v>5.0607168983174837</v>
      </c>
      <c r="CG3">
        <f>+H3/7520</f>
        <v>0.91994680851063826</v>
      </c>
      <c r="CH3">
        <f>+H3/6953</f>
        <v>0.99496620163958005</v>
      </c>
      <c r="CI3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31.37707986122836</v>
      </c>
      <c r="CJ3" s="59">
        <f>+TablaGeneral[[#This Row],[Tracto elevador]]+TablaGeneral[[#This Row],[Tractor con uñas]]+TablaGeneral[[#This Row],[Tractor con acoplado]]</f>
        <v>14.719148936170212</v>
      </c>
      <c r="CK3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3.1077177145658141</v>
      </c>
      <c r="CL3" s="60">
        <f>+SUM(BR3:BV3)+TablaGeneral[[#This Row],[Cosecha DOV]]+TablaGeneral[[#This Row],[Corte DOV]]</f>
        <v>25.296397822859969</v>
      </c>
      <c r="CM3" s="60">
        <f>+SUM(TablaGeneral[[#This Row],[Colocación de malla]:[Descarga y carga de bines con Autoelevador]])</f>
        <v>17.749745354459268</v>
      </c>
      <c r="CN3" s="59"/>
      <c r="CO3" s="59"/>
      <c r="CP3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3" t="str">
        <f>+TablaGeneral[[#This Row],[Variedad]]&amp;" "&amp;TablaGeneral[[#This Row],[Año de plantación]]</f>
        <v xml:space="preserve">Selma </v>
      </c>
      <c r="CR3" t="str">
        <f>+IF(TablaGeneral[[#This Row],[Finca]]="El Espejo I","El Espejo I y II",IF(TablaGeneral[[#This Row],[Finca]]="El Espejo II","El Espejo I y II",TablaGeneral[[#This Row],[Finca]]))</f>
        <v>Puente Alto</v>
      </c>
    </row>
    <row r="4" spans="1:97">
      <c r="A4" t="s">
        <v>4</v>
      </c>
      <c r="B4">
        <v>2</v>
      </c>
      <c r="C4">
        <v>5.13</v>
      </c>
      <c r="D4" t="s">
        <v>6</v>
      </c>
      <c r="E4" s="3">
        <v>36000</v>
      </c>
      <c r="F4" s="2">
        <f>+TablaGeneral[[#This Row],[Has]]*TablaGeneral[[#This Row],[Kg x Has]]</f>
        <v>184680</v>
      </c>
      <c r="G4" s="2">
        <f>+TablaGeneral[[#This Row],[Kg 2026]]/4</f>
        <v>46170</v>
      </c>
      <c r="H4">
        <v>8494</v>
      </c>
      <c r="J4" t="s">
        <v>20</v>
      </c>
      <c r="K4" s="2">
        <f>10000/(2.5*2.5)</f>
        <v>1600</v>
      </c>
      <c r="L4">
        <v>8</v>
      </c>
      <c r="M4">
        <f>+TablaGeneral[[#This Row],[Plantas x Has]]*TablaGeneral[[#This Row],[N° de Guías x planta]]</f>
        <v>12800</v>
      </c>
      <c r="N4">
        <v>9</v>
      </c>
      <c r="O4">
        <f>+TablaGeneral[[#This Row],[N° de Guías x planta]]*TablaGeneral[[#This Row],[N° de Yemas x Guias]]</f>
        <v>72</v>
      </c>
      <c r="P4">
        <v>0.89</v>
      </c>
      <c r="Q4">
        <f>+TablaGeneral[[#This Row],[N° de Yemas x Planta]]*TablaGeneral[[#This Row],[% de Brotación]]</f>
        <v>64.08</v>
      </c>
      <c r="R4">
        <v>0.85</v>
      </c>
      <c r="S4">
        <v>1</v>
      </c>
      <c r="T4">
        <f>+TablaGeneral[[#This Row],[N° de Brotes x Planta]]*TablaGeneral[[#This Row],[% de Fertilidad]]*TablaGeneral[[#This Row],[Cantidad de Racimos x Brote]]</f>
        <v>54.467999999999996</v>
      </c>
      <c r="U4">
        <v>0.4</v>
      </c>
      <c r="V4">
        <f>+TablaGeneral[[#This Row],[Cantidad de Racimos x Planta]]*TablaGeneral[[#This Row],[Peso del Racimo]]</f>
        <v>21.787199999999999</v>
      </c>
      <c r="W4">
        <f>+TablaGeneral[[#This Row],[Plantas]]*TablaGeneral[[#This Row],[Kg x Planta]]</f>
        <v>185060.47679999997</v>
      </c>
      <c r="X4">
        <f>+TablaGeneral[[#This Row],[Kg x Cuartel]]/TablaGeneral[[#This Row],[Has]]</f>
        <v>36074.167017543856</v>
      </c>
      <c r="Y4" t="s">
        <v>41</v>
      </c>
      <c r="Z4">
        <v>150</v>
      </c>
      <c r="AA4">
        <f>+TablaGeneral[[#This Row],[Rendimiento Poda]]*1.5</f>
        <v>225</v>
      </c>
      <c r="AB4">
        <f t="shared" si="0"/>
        <v>130</v>
      </c>
      <c r="AC4">
        <v>300</v>
      </c>
      <c r="AE4">
        <v>500</v>
      </c>
      <c r="AG4">
        <f>+IFERROR(TablaGeneral[[#This Row],[Plantas]]/TablaGeneral[[#This Row],[Rendimiento Poda]],0)</f>
        <v>56.626666666666665</v>
      </c>
      <c r="AH4">
        <f>+TablaGeneral[[#This Row],[Plantas]]/TablaGeneral[[#This Row],[Rendimiento Atada]]</f>
        <v>37.751111111111108</v>
      </c>
      <c r="AI4">
        <f>+IFERROR(TablaGeneral[[#This Row],[Plantas]]/TablaGeneral[[#This Row],[Rendimiento Desbrote de troncos]],0)</f>
        <v>65.338461538461544</v>
      </c>
      <c r="AJ4" s="2">
        <f>+IFERROR(TablaGeneral[[#This Row],[Plantas]]/TablaGeneral[[#This Row],[Rendimiento Acomodo de brotes ]],0)</f>
        <v>28.313333333333333</v>
      </c>
      <c r="AK4">
        <f>+IFERROR(TablaGeneral[[#This Row],[Plantas]]/TablaGeneral[[#This Row],[Rendimiento Desniete, deshoje ]],0)</f>
        <v>0</v>
      </c>
      <c r="AL4">
        <f>+IFERROR(TablaGeneral[[#This Row],[Plantas]]/TablaGeneral[[#This Row],[Rendimiento Desbrote con criterio de Poda]],0)</f>
        <v>16.988</v>
      </c>
      <c r="AM4">
        <f>+IFERROR(TablaGeneral[[#This Row],[Plantas]]/TablaGeneral[[#This Row],[Rendimiento Raleo de Racimos]],0)</f>
        <v>0</v>
      </c>
      <c r="AN4">
        <f t="shared" si="1"/>
        <v>3.0117229916897506</v>
      </c>
      <c r="AO4">
        <f t="shared" si="2"/>
        <v>1.3176288179248803</v>
      </c>
      <c r="AP4">
        <f t="shared" si="3"/>
        <v>0.56472309022006517</v>
      </c>
      <c r="AQ4">
        <f t="shared" si="4"/>
        <v>11.858659279279081</v>
      </c>
      <c r="AR4">
        <f t="shared" si="5"/>
        <v>1.4119015957446808</v>
      </c>
      <c r="AS4">
        <f t="shared" si="6"/>
        <v>11.325333333333333</v>
      </c>
      <c r="AT4">
        <f t="shared" si="7"/>
        <v>18.823268698060943</v>
      </c>
      <c r="AW4">
        <v>1</v>
      </c>
      <c r="AX4">
        <f t="shared" si="8"/>
        <v>18.833702882483369</v>
      </c>
      <c r="AY4">
        <f t="shared" si="9"/>
        <v>3.7646537396121884</v>
      </c>
      <c r="AZ4">
        <f t="shared" si="10"/>
        <v>21.270308712462686</v>
      </c>
      <c r="BA4">
        <f t="shared" si="11"/>
        <v>3.7646537396121884</v>
      </c>
      <c r="BC4">
        <f t="shared" si="12"/>
        <v>3.0117256613634673</v>
      </c>
      <c r="BD4">
        <f t="shared" si="13"/>
        <v>8.4770459081836336</v>
      </c>
      <c r="BF4">
        <f t="shared" si="14"/>
        <v>3.7646537396121884</v>
      </c>
      <c r="BG4">
        <f t="shared" si="15"/>
        <v>6.0234299653939978</v>
      </c>
      <c r="BH4">
        <f t="shared" si="16"/>
        <v>9.0351705768723463</v>
      </c>
      <c r="BI4">
        <f t="shared" si="17"/>
        <v>3.2004521477015824</v>
      </c>
      <c r="BJ4">
        <f t="shared" si="18"/>
        <v>10.917499232021921</v>
      </c>
      <c r="BK4">
        <f t="shared" si="19"/>
        <v>2.0705609333369082</v>
      </c>
      <c r="BL4">
        <f t="shared" si="20"/>
        <v>11.85865665182124</v>
      </c>
      <c r="BM4">
        <f t="shared" si="21"/>
        <v>5.6469680953615615</v>
      </c>
      <c r="BN4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604.13171678610229</v>
      </c>
      <c r="BO4" s="1">
        <f>+TablaGeneral[[#This Row],[Combustible]]/100</f>
        <v>6.0413171678610231</v>
      </c>
      <c r="BP4" s="1">
        <f>+TablaGeneral[[#This Row],[Combustible]]/150</f>
        <v>4.0275447785740148</v>
      </c>
      <c r="BQ4" s="1">
        <f>+TablaGeneral[[#This Row],[Combustible]]/200</f>
        <v>3.0206585839305116</v>
      </c>
      <c r="BR4">
        <f t="shared" si="22"/>
        <v>9.036170212765958</v>
      </c>
      <c r="BS4">
        <f t="shared" si="23"/>
        <v>9.036170212765958</v>
      </c>
      <c r="BT4">
        <f t="shared" si="24"/>
        <v>9.036170212765958</v>
      </c>
      <c r="BU4">
        <f t="shared" si="25"/>
        <v>3.9506976744186049</v>
      </c>
      <c r="BW4">
        <f t="shared" ref="BW4:BW9" si="26">+H4/4841</f>
        <v>1.7545961578186324</v>
      </c>
      <c r="BX4">
        <f t="shared" ref="BX4:BX9" si="27">+H4/6446</f>
        <v>1.3177164132795531</v>
      </c>
      <c r="BY4">
        <f t="shared" ref="BY4:BY9" si="28">+H4/3008</f>
        <v>2.8238031914893615</v>
      </c>
      <c r="BZ4">
        <f t="shared" ref="BZ4:BZ9" si="29">+H4/4102</f>
        <v>2.0706972208678693</v>
      </c>
      <c r="CA4">
        <f t="shared" ref="CA4:CA9" si="30">+H4/2654</f>
        <v>3.2004521477015824</v>
      </c>
      <c r="CB4">
        <f t="shared" ref="CB4:CB9" si="31">+H4/5013</f>
        <v>1.694394574107321</v>
      </c>
      <c r="CC4">
        <f t="shared" ref="CC4:CC9" si="32">+H4/38591.5</f>
        <v>0.22010028114999416</v>
      </c>
      <c r="CD4">
        <f t="shared" ref="CD4:CD9" si="33">+H4/57852</f>
        <v>0.14682292747009612</v>
      </c>
      <c r="CF4">
        <f t="shared" ref="CF4:CF9" si="34">+H4/1367</f>
        <v>6.2136064374542794</v>
      </c>
      <c r="CG4">
        <f t="shared" ref="CG4:CG9" si="35">+H4/7520</f>
        <v>1.1295212765957447</v>
      </c>
      <c r="CH4">
        <f t="shared" ref="CH4:CH9" si="36">+H4/6953</f>
        <v>1.2216309506687761</v>
      </c>
      <c r="CI4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38.525139685064133</v>
      </c>
      <c r="CJ4" s="59">
        <f>+TablaGeneral[[#This Row],[Tracto elevador]]+TablaGeneral[[#This Row],[Tractor con uñas]]+TablaGeneral[[#This Row],[Tractor con acoplado]]</f>
        <v>18.072340425531916</v>
      </c>
      <c r="CK4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3.8156915680141701</v>
      </c>
      <c r="CL4" s="60">
        <f>+SUM(BR4:BV4)+TablaGeneral[[#This Row],[Cosecha DOV]]+TablaGeneral[[#This Row],[Corte DOV]]</f>
        <v>31.059208312716478</v>
      </c>
      <c r="CM4" s="60">
        <f>+SUM(TablaGeneral[[#This Row],[Colocación de malla]:[Descarga y carga de bines con Autoelevador]])</f>
        <v>21.793341578603211</v>
      </c>
      <c r="CN4" s="59"/>
      <c r="CO4" s="59"/>
      <c r="CP4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4" t="str">
        <f>+TablaGeneral[[#This Row],[Variedad]]&amp;" "&amp;TablaGeneral[[#This Row],[Año de plantación]]</f>
        <v xml:space="preserve">Flame </v>
      </c>
      <c r="CR4" t="str">
        <f>+IF(TablaGeneral[[#This Row],[Finca]]="El Espejo I","El Espejo I y II",IF(TablaGeneral[[#This Row],[Finca]]="El Espejo II","El Espejo I y II",TablaGeneral[[#This Row],[Finca]]))</f>
        <v>Puente Alto</v>
      </c>
    </row>
    <row r="5" spans="1:97">
      <c r="A5" t="s">
        <v>4</v>
      </c>
      <c r="B5">
        <v>3</v>
      </c>
      <c r="C5">
        <v>5.1100000000000003</v>
      </c>
      <c r="D5" t="s">
        <v>6</v>
      </c>
      <c r="E5" s="3">
        <v>40000</v>
      </c>
      <c r="F5" s="2">
        <f>+TablaGeneral[[#This Row],[Has]]*TablaGeneral[[#This Row],[Kg x Has]]</f>
        <v>204400</v>
      </c>
      <c r="G5" s="2">
        <f>+TablaGeneral[[#This Row],[Kg 2026]]/4</f>
        <v>51100</v>
      </c>
      <c r="H5">
        <v>8512</v>
      </c>
      <c r="J5" t="s">
        <v>114</v>
      </c>
      <c r="K5" s="2">
        <f>10000/(3*2)</f>
        <v>1666.6666666666667</v>
      </c>
      <c r="L5">
        <v>8</v>
      </c>
      <c r="M5">
        <f>+TablaGeneral[[#This Row],[Plantas x Has]]*TablaGeneral[[#This Row],[N° de Guías x planta]]</f>
        <v>13333.333333333334</v>
      </c>
      <c r="N5">
        <v>9</v>
      </c>
      <c r="O5">
        <f>+TablaGeneral[[#This Row],[N° de Guías x planta]]*TablaGeneral[[#This Row],[N° de Yemas x Guias]]</f>
        <v>72</v>
      </c>
      <c r="P5">
        <v>0.9</v>
      </c>
      <c r="Q5">
        <f>+TablaGeneral[[#This Row],[N° de Yemas x Planta]]*TablaGeneral[[#This Row],[% de Brotación]]</f>
        <v>64.8</v>
      </c>
      <c r="R5">
        <v>0.9</v>
      </c>
      <c r="S5">
        <v>1</v>
      </c>
      <c r="T5">
        <f>+TablaGeneral[[#This Row],[N° de Brotes x Planta]]*TablaGeneral[[#This Row],[% de Fertilidad]]*TablaGeneral[[#This Row],[Cantidad de Racimos x Brote]]</f>
        <v>58.32</v>
      </c>
      <c r="U5">
        <v>0.41199999999999998</v>
      </c>
      <c r="V5">
        <f>+TablaGeneral[[#This Row],[Cantidad de Racimos x Planta]]*TablaGeneral[[#This Row],[Peso del Racimo]]</f>
        <v>24.027839999999998</v>
      </c>
      <c r="W5">
        <f>+TablaGeneral[[#This Row],[Plantas]]*TablaGeneral[[#This Row],[Kg x Planta]]</f>
        <v>204524.97407999999</v>
      </c>
      <c r="X5">
        <f>+TablaGeneral[[#This Row],[Kg x Cuartel]]/TablaGeneral[[#This Row],[Has]]</f>
        <v>40024.45676712328</v>
      </c>
      <c r="Y5" t="s">
        <v>41</v>
      </c>
      <c r="Z5">
        <v>100</v>
      </c>
      <c r="AA5">
        <f>+TablaGeneral[[#This Row],[Rendimiento Poda]]*1.5</f>
        <v>150</v>
      </c>
      <c r="AB5">
        <f t="shared" si="0"/>
        <v>130</v>
      </c>
      <c r="AC5">
        <v>300</v>
      </c>
      <c r="AE5">
        <v>500</v>
      </c>
      <c r="AG5">
        <f>+IFERROR(TablaGeneral[[#This Row],[Plantas]]/TablaGeneral[[#This Row],[Rendimiento Poda]],0)</f>
        <v>85.12</v>
      </c>
      <c r="AH5">
        <f>+TablaGeneral[[#This Row],[Plantas]]/TablaGeneral[[#This Row],[Rendimiento Atada]]</f>
        <v>56.74666666666667</v>
      </c>
      <c r="AI5">
        <f>+IFERROR(TablaGeneral[[#This Row],[Plantas]]/TablaGeneral[[#This Row],[Rendimiento Desbrote de troncos]],0)</f>
        <v>65.476923076923072</v>
      </c>
      <c r="AJ5" s="2">
        <f>+IFERROR(TablaGeneral[[#This Row],[Plantas]]/TablaGeneral[[#This Row],[Rendimiento Acomodo de brotes ]],0)</f>
        <v>28.373333333333335</v>
      </c>
      <c r="AK5">
        <f>+IFERROR(TablaGeneral[[#This Row],[Plantas]]/TablaGeneral[[#This Row],[Rendimiento Desniete, deshoje ]],0)</f>
        <v>0</v>
      </c>
      <c r="AL5">
        <f>+IFERROR(TablaGeneral[[#This Row],[Plantas]]/TablaGeneral[[#This Row],[Rendimiento Desbrote con criterio de Poda]],0)</f>
        <v>17.024000000000001</v>
      </c>
      <c r="AM5">
        <f>+IFERROR(TablaGeneral[[#This Row],[Plantas]]/TablaGeneral[[#This Row],[Rendimiento Raleo de Racimos]],0)</f>
        <v>0</v>
      </c>
      <c r="AN5">
        <f t="shared" si="1"/>
        <v>3.0181052631578948</v>
      </c>
      <c r="AO5">
        <f t="shared" si="2"/>
        <v>1.3204210617113941</v>
      </c>
      <c r="AP5">
        <f t="shared" si="3"/>
        <v>0.56591981916096001</v>
      </c>
      <c r="AQ5">
        <f t="shared" si="4"/>
        <v>11.883789473183839</v>
      </c>
      <c r="AR5">
        <f t="shared" si="5"/>
        <v>1.4148936170212767</v>
      </c>
      <c r="AS5">
        <f t="shared" si="6"/>
        <v>11.349333333333334</v>
      </c>
      <c r="AT5">
        <f t="shared" si="7"/>
        <v>18.86315789473684</v>
      </c>
      <c r="AW5">
        <v>1</v>
      </c>
      <c r="AX5">
        <f t="shared" si="8"/>
        <v>18.873614190687363</v>
      </c>
      <c r="AY5">
        <f t="shared" si="9"/>
        <v>3.7726315789473683</v>
      </c>
      <c r="AZ5">
        <f t="shared" si="10"/>
        <v>21.315383536670872</v>
      </c>
      <c r="BA5">
        <f t="shared" si="11"/>
        <v>3.7726315789473683</v>
      </c>
      <c r="BC5">
        <f t="shared" si="12"/>
        <v>3.0181079384890315</v>
      </c>
      <c r="BD5">
        <f t="shared" si="13"/>
        <v>8.4950099800399208</v>
      </c>
      <c r="BF5">
        <f t="shared" si="14"/>
        <v>3.7726315789473683</v>
      </c>
      <c r="BG5">
        <f t="shared" si="15"/>
        <v>6.0361944743858853</v>
      </c>
      <c r="BH5">
        <f t="shared" si="16"/>
        <v>9.0543173946712283</v>
      </c>
      <c r="BI5">
        <f t="shared" si="17"/>
        <v>3.2072343632253202</v>
      </c>
      <c r="BJ5">
        <f t="shared" si="18"/>
        <v>10.940634973271791</v>
      </c>
      <c r="BK5">
        <f t="shared" si="19"/>
        <v>2.0749487478883641</v>
      </c>
      <c r="BL5">
        <f t="shared" si="20"/>
        <v>11.883786840158042</v>
      </c>
      <c r="BM5">
        <f t="shared" si="21"/>
        <v>5.6589348278452567</v>
      </c>
      <c r="BN5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605.41195823914552</v>
      </c>
      <c r="BO5" s="1">
        <f>+TablaGeneral[[#This Row],[Combustible]]/100</f>
        <v>6.0541195823914551</v>
      </c>
      <c r="BP5" s="1">
        <f>+TablaGeneral[[#This Row],[Combustible]]/150</f>
        <v>4.0360797215943034</v>
      </c>
      <c r="BQ5" s="1">
        <f>+TablaGeneral[[#This Row],[Combustible]]/200</f>
        <v>3.0270597911957275</v>
      </c>
      <c r="BR5">
        <f t="shared" si="22"/>
        <v>9.0553191489361708</v>
      </c>
      <c r="BS5">
        <f t="shared" si="23"/>
        <v>9.0553191489361708</v>
      </c>
      <c r="BT5">
        <f t="shared" si="24"/>
        <v>9.0553191489361708</v>
      </c>
      <c r="BU5">
        <f t="shared" si="25"/>
        <v>3.9590697674418607</v>
      </c>
      <c r="BW5">
        <f t="shared" si="26"/>
        <v>1.7583143978516835</v>
      </c>
      <c r="BX5">
        <f t="shared" si="27"/>
        <v>1.3205088426931431</v>
      </c>
      <c r="BY5">
        <f t="shared" si="28"/>
        <v>2.8297872340425534</v>
      </c>
      <c r="BZ5">
        <f t="shared" si="29"/>
        <v>2.0750853242320817</v>
      </c>
      <c r="CA5">
        <f t="shared" si="30"/>
        <v>3.2072343632253202</v>
      </c>
      <c r="CB5">
        <f t="shared" si="31"/>
        <v>1.6979852383802114</v>
      </c>
      <c r="CC5">
        <f t="shared" si="32"/>
        <v>0.22056670510345541</v>
      </c>
      <c r="CD5">
        <f t="shared" si="33"/>
        <v>0.14713406623798658</v>
      </c>
      <c r="CF5">
        <f t="shared" si="34"/>
        <v>6.2267739575713241</v>
      </c>
      <c r="CG5">
        <f t="shared" si="35"/>
        <v>1.1319148936170214</v>
      </c>
      <c r="CH5">
        <f t="shared" si="36"/>
        <v>1.224219761254135</v>
      </c>
      <c r="CI5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38.606779962239926</v>
      </c>
      <c r="CJ5" s="59">
        <f>+TablaGeneral[[#This Row],[Tracto elevador]]+TablaGeneral[[#This Row],[Tractor con uñas]]+TablaGeneral[[#This Row],[Tractor con acoplado]]</f>
        <v>18.110638297872342</v>
      </c>
      <c r="CK5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3.823777563802286</v>
      </c>
      <c r="CL5" s="60">
        <f>+SUM(BR5:BV5)+TablaGeneral[[#This Row],[Cosecha DOV]]+TablaGeneral[[#This Row],[Corte DOV]]</f>
        <v>31.125027214250373</v>
      </c>
      <c r="CM5" s="60">
        <f>+SUM(TablaGeneral[[#This Row],[Colocación de malla]:[Descarga y carga de bines con Autoelevador]])</f>
        <v>21.839524784208919</v>
      </c>
      <c r="CN5" s="59"/>
      <c r="CO5" s="59"/>
      <c r="CP5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5" t="str">
        <f>+TablaGeneral[[#This Row],[Variedad]]&amp;" "&amp;TablaGeneral[[#This Row],[Año de plantación]]</f>
        <v xml:space="preserve">Flame </v>
      </c>
      <c r="CR5" t="str">
        <f>+IF(TablaGeneral[[#This Row],[Finca]]="El Espejo I","El Espejo I y II",IF(TablaGeneral[[#This Row],[Finca]]="El Espejo II","El Espejo I y II",TablaGeneral[[#This Row],[Finca]]))</f>
        <v>Puente Alto</v>
      </c>
    </row>
    <row r="6" spans="1:97">
      <c r="A6" t="s">
        <v>4</v>
      </c>
      <c r="B6">
        <v>4</v>
      </c>
      <c r="C6">
        <v>4.4400000000000004</v>
      </c>
      <c r="D6" t="s">
        <v>6</v>
      </c>
      <c r="E6" s="3">
        <v>30000</v>
      </c>
      <c r="F6" s="2">
        <f>+TablaGeneral[[#This Row],[Has]]*TablaGeneral[[#This Row],[Kg x Has]]</f>
        <v>133200</v>
      </c>
      <c r="G6" s="2">
        <f>+TablaGeneral[[#This Row],[Kg 2026]]/4</f>
        <v>33300</v>
      </c>
      <c r="H6">
        <v>7392</v>
      </c>
      <c r="J6" t="s">
        <v>115</v>
      </c>
      <c r="K6" s="2">
        <f>10000/(3*2)</f>
        <v>1666.6666666666667</v>
      </c>
      <c r="L6">
        <v>8</v>
      </c>
      <c r="M6">
        <f>+TablaGeneral[[#This Row],[Plantas x Has]]*TablaGeneral[[#This Row],[N° de Guías x planta]]</f>
        <v>13333.333333333334</v>
      </c>
      <c r="N6">
        <v>9</v>
      </c>
      <c r="O6">
        <f>+TablaGeneral[[#This Row],[N° de Guías x planta]]*TablaGeneral[[#This Row],[N° de Yemas x Guias]]</f>
        <v>72</v>
      </c>
      <c r="P6">
        <v>0.8</v>
      </c>
      <c r="Q6">
        <f>+TablaGeneral[[#This Row],[N° de Yemas x Planta]]*TablaGeneral[[#This Row],[% de Brotación]]</f>
        <v>57.6</v>
      </c>
      <c r="R6">
        <v>0.9</v>
      </c>
      <c r="S6">
        <v>1</v>
      </c>
      <c r="T6">
        <f>+TablaGeneral[[#This Row],[N° de Brotes x Planta]]*TablaGeneral[[#This Row],[% de Fertilidad]]*TablaGeneral[[#This Row],[Cantidad de Racimos x Brote]]</f>
        <v>51.84</v>
      </c>
      <c r="U6">
        <v>0.34899999999999998</v>
      </c>
      <c r="V6">
        <f>+TablaGeneral[[#This Row],[Cantidad de Racimos x Planta]]*TablaGeneral[[#This Row],[Peso del Racimo]]</f>
        <v>18.09216</v>
      </c>
      <c r="W6">
        <f>+TablaGeneral[[#This Row],[Plantas]]*TablaGeneral[[#This Row],[Kg x Planta]]</f>
        <v>133737.24672</v>
      </c>
      <c r="X6">
        <f>+TablaGeneral[[#This Row],[Kg x Cuartel]]/TablaGeneral[[#This Row],[Has]]</f>
        <v>30121.001513513511</v>
      </c>
      <c r="Y6" t="s">
        <v>41</v>
      </c>
      <c r="Z6" s="39">
        <v>180</v>
      </c>
      <c r="AA6">
        <f>+TablaGeneral[[#This Row],[Rendimiento Poda]]*1.5</f>
        <v>270</v>
      </c>
      <c r="AB6">
        <f t="shared" si="0"/>
        <v>130</v>
      </c>
      <c r="AC6">
        <v>300</v>
      </c>
      <c r="AE6">
        <v>500</v>
      </c>
      <c r="AG6">
        <f>+IFERROR(TablaGeneral[[#This Row],[Plantas]]/TablaGeneral[[#This Row],[Rendimiento Poda]],0)</f>
        <v>41.06666666666667</v>
      </c>
      <c r="AH6">
        <f>+TablaGeneral[[#This Row],[Plantas]]/TablaGeneral[[#This Row],[Rendimiento Atada]]</f>
        <v>27.377777777777776</v>
      </c>
      <c r="AI6">
        <f>+IFERROR(TablaGeneral[[#This Row],[Plantas]]/TablaGeneral[[#This Row],[Rendimiento Desbrote de troncos]],0)</f>
        <v>56.861538461538458</v>
      </c>
      <c r="AJ6" s="2">
        <f>+IFERROR(TablaGeneral[[#This Row],[Plantas]]/TablaGeneral[[#This Row],[Rendimiento Acomodo de brotes ]],0)</f>
        <v>24.64</v>
      </c>
      <c r="AK6">
        <f>+IFERROR(TablaGeneral[[#This Row],[Plantas]]/TablaGeneral[[#This Row],[Rendimiento Desniete, deshoje ]],0)</f>
        <v>0</v>
      </c>
      <c r="AL6">
        <f>+IFERROR(TablaGeneral[[#This Row],[Plantas]]/TablaGeneral[[#This Row],[Rendimiento Desbrote con criterio de Poda]],0)</f>
        <v>14.784000000000001</v>
      </c>
      <c r="AM6">
        <f>+IFERROR(TablaGeneral[[#This Row],[Plantas]]/TablaGeneral[[#This Row],[Rendimiento Raleo de Racimos]],0)</f>
        <v>0</v>
      </c>
      <c r="AN6">
        <f t="shared" si="1"/>
        <v>2.6209861495844877</v>
      </c>
      <c r="AO6">
        <f t="shared" si="2"/>
        <v>1.1466814483283159</v>
      </c>
      <c r="AP6">
        <f t="shared" si="3"/>
        <v>0.49145668506083373</v>
      </c>
      <c r="AQ6">
        <f t="shared" si="4"/>
        <v>10.320132963554387</v>
      </c>
      <c r="AR6">
        <f t="shared" si="5"/>
        <v>1.2287234042553192</v>
      </c>
      <c r="AS6">
        <f t="shared" si="6"/>
        <v>9.8559999999999999</v>
      </c>
      <c r="AT6">
        <f t="shared" si="7"/>
        <v>16.381163434903048</v>
      </c>
      <c r="AW6">
        <v>1</v>
      </c>
      <c r="AX6">
        <f t="shared" si="8"/>
        <v>16.390243902439025</v>
      </c>
      <c r="AY6">
        <f t="shared" si="9"/>
        <v>3.2762326869806095</v>
      </c>
      <c r="AZ6">
        <f t="shared" si="10"/>
        <v>18.510727808161548</v>
      </c>
      <c r="BA6">
        <f t="shared" si="11"/>
        <v>3.2762326869806095</v>
      </c>
      <c r="BC6">
        <f t="shared" si="12"/>
        <v>2.6209884728983694</v>
      </c>
      <c r="BD6">
        <f t="shared" si="13"/>
        <v>7.3772455089820363</v>
      </c>
      <c r="BF6">
        <f t="shared" si="14"/>
        <v>3.2762326869806095</v>
      </c>
      <c r="BG6">
        <f t="shared" si="15"/>
        <v>5.2419583593351105</v>
      </c>
      <c r="BH6">
        <f t="shared" si="16"/>
        <v>7.8629598427408025</v>
      </c>
      <c r="BI6">
        <f t="shared" si="17"/>
        <v>2.7852298417483046</v>
      </c>
      <c r="BJ6">
        <f t="shared" si="18"/>
        <v>9.501077739946556</v>
      </c>
      <c r="BK6">
        <f t="shared" si="19"/>
        <v>1.8019291757977898</v>
      </c>
      <c r="BL6">
        <f t="shared" si="20"/>
        <v>10.320130676979351</v>
      </c>
      <c r="BM6">
        <f t="shared" si="21"/>
        <v>4.914338139970881</v>
      </c>
      <c r="BN6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525.75249004978434</v>
      </c>
      <c r="BO6" s="1">
        <f>+TablaGeneral[[#This Row],[Combustible]]/100</f>
        <v>5.2575249004978435</v>
      </c>
      <c r="BP6" s="1">
        <f>+TablaGeneral[[#This Row],[Combustible]]/150</f>
        <v>3.5050166003318957</v>
      </c>
      <c r="BQ6" s="1">
        <f>+TablaGeneral[[#This Row],[Combustible]]/200</f>
        <v>2.6287624502489217</v>
      </c>
      <c r="BR6">
        <f t="shared" si="22"/>
        <v>7.8638297872340424</v>
      </c>
      <c r="BS6">
        <f t="shared" si="23"/>
        <v>7.8638297872340424</v>
      </c>
      <c r="BT6">
        <f t="shared" si="24"/>
        <v>7.8638297872340424</v>
      </c>
      <c r="BU6">
        <f t="shared" si="25"/>
        <v>3.4381395348837209</v>
      </c>
      <c r="BW6">
        <f t="shared" si="26"/>
        <v>1.5269572402396199</v>
      </c>
      <c r="BX6">
        <f t="shared" si="27"/>
        <v>1.1467576791808873</v>
      </c>
      <c r="BY6">
        <f t="shared" si="28"/>
        <v>2.4574468085106385</v>
      </c>
      <c r="BZ6">
        <f t="shared" si="29"/>
        <v>1.8020477815699658</v>
      </c>
      <c r="CA6">
        <f t="shared" si="30"/>
        <v>2.7852298417483046</v>
      </c>
      <c r="CB6">
        <f t="shared" si="31"/>
        <v>1.4745661280670257</v>
      </c>
      <c r="CC6">
        <f t="shared" si="32"/>
        <v>0.19154477022142183</v>
      </c>
      <c r="CD6">
        <f t="shared" si="33"/>
        <v>0.12777432068035677</v>
      </c>
      <c r="CF6">
        <f t="shared" si="34"/>
        <v>5.4074615947329923</v>
      </c>
      <c r="CG6">
        <f t="shared" si="35"/>
        <v>0.98297872340425529</v>
      </c>
      <c r="CH6">
        <f t="shared" si="36"/>
        <v>1.0631382137206962</v>
      </c>
      <c r="CI6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33.526940493524144</v>
      </c>
      <c r="CJ6" s="59">
        <f>+TablaGeneral[[#This Row],[Tracto elevador]]+TablaGeneral[[#This Row],[Tractor con uñas]]+TablaGeneral[[#This Row],[Tractor con acoplado]]</f>
        <v>15.727659574468085</v>
      </c>
      <c r="CK6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3.3206489369861956</v>
      </c>
      <c r="CL6" s="60">
        <f>+SUM(BR6:BV6)+TablaGeneral[[#This Row],[Cosecha DOV]]+TablaGeneral[[#This Row],[Corte DOV]]</f>
        <v>27.029628896585848</v>
      </c>
      <c r="CM6" s="60">
        <f>+SUM(TablaGeneral[[#This Row],[Colocación de malla]:[Descarga y carga de bines con Autoelevador]])</f>
        <v>18.965903102076162</v>
      </c>
      <c r="CN6" s="59"/>
      <c r="CO6" s="59"/>
      <c r="CP6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6" t="str">
        <f>+TablaGeneral[[#This Row],[Variedad]]&amp;" "&amp;TablaGeneral[[#This Row],[Año de plantación]]</f>
        <v xml:space="preserve">Flame </v>
      </c>
      <c r="CR6" t="str">
        <f>+IF(TablaGeneral[[#This Row],[Finca]]="El Espejo I","El Espejo I y II",IF(TablaGeneral[[#This Row],[Finca]]="El Espejo II","El Espejo I y II",TablaGeneral[[#This Row],[Finca]]))</f>
        <v>Puente Alto</v>
      </c>
    </row>
    <row r="7" spans="1:97">
      <c r="A7" t="s">
        <v>4</v>
      </c>
      <c r="B7">
        <v>5</v>
      </c>
      <c r="C7">
        <v>2.3199999999999998</v>
      </c>
      <c r="D7" t="s">
        <v>7</v>
      </c>
      <c r="E7" s="3">
        <v>36000</v>
      </c>
      <c r="F7" s="2">
        <f>+TablaGeneral[[#This Row],[Has]]*TablaGeneral[[#This Row],[Kg x Has]]</f>
        <v>83520</v>
      </c>
      <c r="G7" s="2">
        <f>+TablaGeneral[[#This Row],[Kg 2026]]/4</f>
        <v>20880</v>
      </c>
      <c r="H7">
        <v>4794</v>
      </c>
      <c r="J7" t="s">
        <v>116</v>
      </c>
      <c r="K7" s="2">
        <f>10000/(2.2*2.2)</f>
        <v>2066.1157024793383</v>
      </c>
      <c r="L7">
        <v>8</v>
      </c>
      <c r="M7">
        <f>+TablaGeneral[[#This Row],[Plantas x Has]]*TablaGeneral[[#This Row],[N° de Guías x planta]]</f>
        <v>16528.925619834707</v>
      </c>
      <c r="N7">
        <v>9</v>
      </c>
      <c r="O7">
        <f>+TablaGeneral[[#This Row],[N° de Guías x planta]]*TablaGeneral[[#This Row],[N° de Yemas x Guias]]</f>
        <v>72</v>
      </c>
      <c r="P7">
        <v>0.9</v>
      </c>
      <c r="Q7">
        <f>+TablaGeneral[[#This Row],[N° de Yemas x Planta]]*TablaGeneral[[#This Row],[% de Brotación]]</f>
        <v>64.8</v>
      </c>
      <c r="R7">
        <v>0.7</v>
      </c>
      <c r="S7">
        <v>1</v>
      </c>
      <c r="T7">
        <f>+TablaGeneral[[#This Row],[N° de Brotes x Planta]]*TablaGeneral[[#This Row],[% de Fertilidad]]*TablaGeneral[[#This Row],[Cantidad de Racimos x Brote]]</f>
        <v>45.359999999999992</v>
      </c>
      <c r="U7">
        <v>0.38450000000000001</v>
      </c>
      <c r="V7">
        <f>+TablaGeneral[[#This Row],[Cantidad de Racimos x Planta]]*TablaGeneral[[#This Row],[Peso del Racimo]]</f>
        <v>17.440919999999998</v>
      </c>
      <c r="W7">
        <f>+TablaGeneral[[#This Row],[Plantas]]*TablaGeneral[[#This Row],[Kg x Planta]]</f>
        <v>83611.770479999992</v>
      </c>
      <c r="X7">
        <f>+TablaGeneral[[#This Row],[Kg x Cuartel]]/TablaGeneral[[#This Row],[Has]]</f>
        <v>36039.556241379309</v>
      </c>
      <c r="Y7" t="s">
        <v>41</v>
      </c>
      <c r="Z7">
        <v>180</v>
      </c>
      <c r="AA7">
        <f>+TablaGeneral[[#This Row],[Rendimiento Poda]]*1.5</f>
        <v>270</v>
      </c>
      <c r="AB7">
        <f t="shared" si="0"/>
        <v>130</v>
      </c>
      <c r="AC7">
        <v>300</v>
      </c>
      <c r="AE7">
        <v>500</v>
      </c>
      <c r="AG7">
        <f>+IFERROR(TablaGeneral[[#This Row],[Plantas]]/TablaGeneral[[#This Row],[Rendimiento Poda]],0)</f>
        <v>26.633333333333333</v>
      </c>
      <c r="AH7">
        <f>+TablaGeneral[[#This Row],[Plantas]]/TablaGeneral[[#This Row],[Rendimiento Atada]]</f>
        <v>17.755555555555556</v>
      </c>
      <c r="AI7">
        <f>+IFERROR(TablaGeneral[[#This Row],[Plantas]]/TablaGeneral[[#This Row],[Rendimiento Desbrote de troncos]],0)</f>
        <v>36.876923076923077</v>
      </c>
      <c r="AJ7" s="2">
        <f>+IFERROR(TablaGeneral[[#This Row],[Plantas]]/TablaGeneral[[#This Row],[Rendimiento Acomodo de brotes ]],0)</f>
        <v>15.98</v>
      </c>
      <c r="AK7">
        <f>+IFERROR(TablaGeneral[[#This Row],[Plantas]]/TablaGeneral[[#This Row],[Rendimiento Desniete, deshoje ]],0)</f>
        <v>0</v>
      </c>
      <c r="AL7">
        <f>+IFERROR(TablaGeneral[[#This Row],[Plantas]]/TablaGeneral[[#This Row],[Rendimiento Desbrote con criterio de Poda]],0)</f>
        <v>9.5879999999999992</v>
      </c>
      <c r="AM7">
        <f>+IFERROR(TablaGeneral[[#This Row],[Plantas]]/TablaGeneral[[#This Row],[Rendimiento Raleo de Racimos]],0)</f>
        <v>0</v>
      </c>
      <c r="AN7">
        <f t="shared" si="1"/>
        <v>1.6998116343490304</v>
      </c>
      <c r="AO7">
        <f t="shared" si="2"/>
        <v>0.74366759514149705</v>
      </c>
      <c r="AP7">
        <f t="shared" si="3"/>
        <v>0.31872880792500496</v>
      </c>
      <c r="AQ7">
        <f t="shared" si="4"/>
        <v>6.693008309967496</v>
      </c>
      <c r="AR7">
        <f t="shared" si="5"/>
        <v>0.796875</v>
      </c>
      <c r="AS7">
        <f t="shared" si="6"/>
        <v>6.3920000000000003</v>
      </c>
      <c r="AT7">
        <f t="shared" si="7"/>
        <v>10.62382271468144</v>
      </c>
      <c r="AW7">
        <v>1</v>
      </c>
      <c r="AX7">
        <f t="shared" si="8"/>
        <v>10.62971175166297</v>
      </c>
      <c r="AY7">
        <f t="shared" si="9"/>
        <v>2.1247645429362882</v>
      </c>
      <c r="AZ7">
        <f t="shared" si="10"/>
        <v>12.004928180780094</v>
      </c>
      <c r="BA7">
        <f t="shared" si="11"/>
        <v>2.1247645429362882</v>
      </c>
      <c r="BC7">
        <f t="shared" si="12"/>
        <v>1.6998131411086015</v>
      </c>
      <c r="BD7">
        <f t="shared" si="13"/>
        <v>4.7844311377245505</v>
      </c>
      <c r="BF7">
        <f t="shared" si="14"/>
        <v>2.1247645429362882</v>
      </c>
      <c r="BG7">
        <f t="shared" si="15"/>
        <v>3.3996142281726893</v>
      </c>
      <c r="BH7">
        <f t="shared" si="16"/>
        <v>5.0994358071021928</v>
      </c>
      <c r="BI7">
        <f t="shared" si="17"/>
        <v>1.8063300678221552</v>
      </c>
      <c r="BJ7">
        <f t="shared" si="18"/>
        <v>6.1618190862153392</v>
      </c>
      <c r="BK7">
        <f t="shared" si="19"/>
        <v>1.1686212755376899</v>
      </c>
      <c r="BL7">
        <f t="shared" si="20"/>
        <v>6.6930068270344982</v>
      </c>
      <c r="BM7">
        <f t="shared" si="21"/>
        <v>3.1871397514908555</v>
      </c>
      <c r="BN7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340.97097366053384</v>
      </c>
      <c r="BO7" s="1">
        <f>+TablaGeneral[[#This Row],[Combustible]]/100</f>
        <v>3.4097097366053384</v>
      </c>
      <c r="BP7" s="1">
        <f>+TablaGeneral[[#This Row],[Combustible]]/150</f>
        <v>2.2731398244035588</v>
      </c>
      <c r="BQ7" s="1">
        <f>+TablaGeneral[[#This Row],[Combustible]]/200</f>
        <v>1.7048548683026692</v>
      </c>
      <c r="BR7">
        <f t="shared" si="22"/>
        <v>5.0999999999999996</v>
      </c>
      <c r="BS7">
        <f t="shared" si="23"/>
        <v>5.0999999999999996</v>
      </c>
      <c r="BT7">
        <f t="shared" si="24"/>
        <v>5.0999999999999996</v>
      </c>
      <c r="BU7">
        <f t="shared" si="25"/>
        <v>2.2297674418604649</v>
      </c>
      <c r="BW7">
        <f t="shared" si="26"/>
        <v>0.99029126213592233</v>
      </c>
      <c r="BX7">
        <f t="shared" si="27"/>
        <v>0.74371703381942289</v>
      </c>
      <c r="BY7">
        <f t="shared" si="28"/>
        <v>1.59375</v>
      </c>
      <c r="BZ7">
        <f t="shared" si="29"/>
        <v>1.1686981960019502</v>
      </c>
      <c r="CA7">
        <f t="shared" si="30"/>
        <v>1.8063300678221552</v>
      </c>
      <c r="CB7">
        <f t="shared" si="31"/>
        <v>0.95631358467983241</v>
      </c>
      <c r="CC7">
        <f t="shared" si="32"/>
        <v>0.12422424627184743</v>
      </c>
      <c r="CD7">
        <f t="shared" si="33"/>
        <v>8.2866625181497608E-2</v>
      </c>
      <c r="CF7">
        <f t="shared" si="34"/>
        <v>3.5069495245062181</v>
      </c>
      <c r="CG7">
        <f t="shared" si="35"/>
        <v>0.63749999999999996</v>
      </c>
      <c r="CH7">
        <f t="shared" si="36"/>
        <v>0.68948655256723712</v>
      </c>
      <c r="CI7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21.743527154485221</v>
      </c>
      <c r="CJ7" s="59">
        <f>+TablaGeneral[[#This Row],[Tracto elevador]]+TablaGeneral[[#This Row],[Tractor con uñas]]+TablaGeneral[[#This Row],[Tractor con acoplado]]</f>
        <v>10.199999999999999</v>
      </c>
      <c r="CK7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2.1535702115681579</v>
      </c>
      <c r="CL7" s="60">
        <f>+SUM(BR7:BV7)+TablaGeneral[[#This Row],[Cosecha DOV]]+TablaGeneral[[#This Row],[Corte DOV]]</f>
        <v>17.529767441860464</v>
      </c>
      <c r="CM7" s="60">
        <f>+SUM(TablaGeneral[[#This Row],[Colocación de malla]:[Descarga y carga de bines con Autoelevador]])</f>
        <v>12.300127092986083</v>
      </c>
      <c r="CN7" s="59"/>
      <c r="CO7" s="59"/>
      <c r="CP7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7" t="str">
        <f>+TablaGeneral[[#This Row],[Variedad]]&amp;" "&amp;TablaGeneral[[#This Row],[Año de plantación]]</f>
        <v xml:space="preserve">Arizul </v>
      </c>
      <c r="CR7" t="str">
        <f>+IF(TablaGeneral[[#This Row],[Finca]]="El Espejo I","El Espejo I y II",IF(TablaGeneral[[#This Row],[Finca]]="El Espejo II","El Espejo I y II",TablaGeneral[[#This Row],[Finca]]))</f>
        <v>Puente Alto</v>
      </c>
    </row>
    <row r="8" spans="1:97">
      <c r="A8" t="s">
        <v>4</v>
      </c>
      <c r="B8">
        <v>6</v>
      </c>
      <c r="C8">
        <v>3.5</v>
      </c>
      <c r="D8" t="s">
        <v>7</v>
      </c>
      <c r="E8" s="3">
        <v>36000</v>
      </c>
      <c r="F8" s="2">
        <f>+TablaGeneral[[#This Row],[Has]]*TablaGeneral[[#This Row],[Kg x Has]]</f>
        <v>126000</v>
      </c>
      <c r="G8" s="2">
        <f>+TablaGeneral[[#This Row],[Kg 2026]]/4</f>
        <v>31500</v>
      </c>
      <c r="H8">
        <v>6615</v>
      </c>
      <c r="J8" t="s">
        <v>117</v>
      </c>
      <c r="K8" s="2">
        <f>10000/(2.3*2.3)</f>
        <v>1890.3591682419662</v>
      </c>
      <c r="L8">
        <v>8</v>
      </c>
      <c r="M8">
        <f>+TablaGeneral[[#This Row],[Plantas x Has]]*TablaGeneral[[#This Row],[N° de Guías x planta]]</f>
        <v>15122.87334593573</v>
      </c>
      <c r="N8">
        <v>9</v>
      </c>
      <c r="O8">
        <f>+TablaGeneral[[#This Row],[N° de Guías x planta]]*TablaGeneral[[#This Row],[N° de Yemas x Guias]]</f>
        <v>72</v>
      </c>
      <c r="P8">
        <v>0.9</v>
      </c>
      <c r="Q8">
        <f>+TablaGeneral[[#This Row],[N° de Yemas x Planta]]*TablaGeneral[[#This Row],[% de Brotación]]</f>
        <v>64.8</v>
      </c>
      <c r="R8">
        <v>0.82</v>
      </c>
      <c r="S8">
        <v>1</v>
      </c>
      <c r="T8">
        <f>+TablaGeneral[[#This Row],[N° de Brotes x Planta]]*TablaGeneral[[#This Row],[% de Fertilidad]]*TablaGeneral[[#This Row],[Cantidad de Racimos x Brote]]</f>
        <v>53.135999999999996</v>
      </c>
      <c r="U8">
        <v>0.35899999999999999</v>
      </c>
      <c r="V8">
        <f>+TablaGeneral[[#This Row],[Cantidad de Racimos x Planta]]*TablaGeneral[[#This Row],[Peso del Racimo]]</f>
        <v>19.075823999999997</v>
      </c>
      <c r="W8">
        <f>+TablaGeneral[[#This Row],[Plantas]]*TablaGeneral[[#This Row],[Kg x Planta]]</f>
        <v>126186.57575999998</v>
      </c>
      <c r="X8">
        <f>+TablaGeneral[[#This Row],[Kg x Cuartel]]/TablaGeneral[[#This Row],[Has]]</f>
        <v>36053.307359999992</v>
      </c>
      <c r="Y8" t="s">
        <v>41</v>
      </c>
      <c r="Z8">
        <v>180</v>
      </c>
      <c r="AA8">
        <f>+TablaGeneral[[#This Row],[Rendimiento Poda]]*1.5</f>
        <v>270</v>
      </c>
      <c r="AB8">
        <f t="shared" si="0"/>
        <v>130</v>
      </c>
      <c r="AC8">
        <v>300</v>
      </c>
      <c r="AE8">
        <v>500</v>
      </c>
      <c r="AG8">
        <f>+IFERROR(TablaGeneral[[#This Row],[Plantas]]/TablaGeneral[[#This Row],[Rendimiento Poda]],0)</f>
        <v>36.75</v>
      </c>
      <c r="AH8">
        <f>+TablaGeneral[[#This Row],[Plantas]]/TablaGeneral[[#This Row],[Rendimiento Atada]]</f>
        <v>24.5</v>
      </c>
      <c r="AI8">
        <f>+IFERROR(TablaGeneral[[#This Row],[Plantas]]/TablaGeneral[[#This Row],[Rendimiento Desbrote de troncos]],0)</f>
        <v>50.884615384615387</v>
      </c>
      <c r="AJ8" s="2">
        <f>+IFERROR(TablaGeneral[[#This Row],[Plantas]]/TablaGeneral[[#This Row],[Rendimiento Acomodo de brotes ]],0)</f>
        <v>22.05</v>
      </c>
      <c r="AK8">
        <f>+IFERROR(TablaGeneral[[#This Row],[Plantas]]/TablaGeneral[[#This Row],[Rendimiento Desniete, deshoje ]],0)</f>
        <v>0</v>
      </c>
      <c r="AL8">
        <f>+IFERROR(TablaGeneral[[#This Row],[Plantas]]/TablaGeneral[[#This Row],[Rendimiento Desbrote con criterio de Poda]],0)</f>
        <v>13.23</v>
      </c>
      <c r="AM8">
        <f>+IFERROR(TablaGeneral[[#This Row],[Plantas]]/TablaGeneral[[#This Row],[Rendimiento Raleo de Racimos]],0)</f>
        <v>0</v>
      </c>
      <c r="AN8">
        <f t="shared" si="1"/>
        <v>2.3454847645429364</v>
      </c>
      <c r="AO8">
        <f t="shared" si="2"/>
        <v>1.0261495915438055</v>
      </c>
      <c r="AP8">
        <f t="shared" si="3"/>
        <v>0.43979788577887108</v>
      </c>
      <c r="AQ8">
        <f t="shared" si="4"/>
        <v>9.2353462599989538</v>
      </c>
      <c r="AR8">
        <f t="shared" si="5"/>
        <v>1.0995678191489362</v>
      </c>
      <c r="AS8">
        <f t="shared" si="6"/>
        <v>8.82</v>
      </c>
      <c r="AT8">
        <f t="shared" si="7"/>
        <v>14.659279778393351</v>
      </c>
      <c r="AW8">
        <v>1</v>
      </c>
      <c r="AX8">
        <f t="shared" si="8"/>
        <v>14.667405764966741</v>
      </c>
      <c r="AY8">
        <f t="shared" si="9"/>
        <v>2.9318559556786705</v>
      </c>
      <c r="AZ8">
        <f t="shared" si="10"/>
        <v>16.564997896508203</v>
      </c>
      <c r="BA8">
        <f t="shared" si="11"/>
        <v>2.9318559556786705</v>
      </c>
      <c r="BC8">
        <f t="shared" si="12"/>
        <v>2.3454868436448475</v>
      </c>
      <c r="BD8">
        <f t="shared" si="13"/>
        <v>6.6017964071856285</v>
      </c>
      <c r="BF8">
        <f t="shared" si="14"/>
        <v>2.9318559556786705</v>
      </c>
      <c r="BG8">
        <f t="shared" si="15"/>
        <v>4.6909570545186359</v>
      </c>
      <c r="BH8">
        <f t="shared" si="16"/>
        <v>7.0364555410890706</v>
      </c>
      <c r="BI8">
        <f t="shared" si="17"/>
        <v>2.4924642049736248</v>
      </c>
      <c r="BJ8">
        <f t="shared" si="18"/>
        <v>8.5023849093271728</v>
      </c>
      <c r="BK8">
        <f t="shared" si="19"/>
        <v>1.6125218476599539</v>
      </c>
      <c r="BL8">
        <f t="shared" si="20"/>
        <v>9.2353442137741357</v>
      </c>
      <c r="BM8">
        <f t="shared" si="21"/>
        <v>4.3977741877580323</v>
      </c>
      <c r="BN8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470.48873399341488</v>
      </c>
      <c r="BO8" s="1">
        <f>+TablaGeneral[[#This Row],[Combustible]]/100</f>
        <v>4.7048873399341486</v>
      </c>
      <c r="BP8" s="1">
        <f>+TablaGeneral[[#This Row],[Combustible]]/150</f>
        <v>3.1365915599560994</v>
      </c>
      <c r="BQ8" s="1">
        <f>+TablaGeneral[[#This Row],[Combustible]]/200</f>
        <v>2.3524436699670743</v>
      </c>
      <c r="BR8">
        <f t="shared" si="22"/>
        <v>7.0372340425531918</v>
      </c>
      <c r="BS8">
        <f t="shared" si="23"/>
        <v>7.0372340425531918</v>
      </c>
      <c r="BT8">
        <f t="shared" si="24"/>
        <v>7.0372340425531918</v>
      </c>
      <c r="BU8">
        <f t="shared" si="25"/>
        <v>3.0767441860465117</v>
      </c>
      <c r="BW8">
        <f t="shared" si="26"/>
        <v>1.3664532121462507</v>
      </c>
      <c r="BX8">
        <f t="shared" si="27"/>
        <v>1.02621780949426</v>
      </c>
      <c r="BY8">
        <f t="shared" si="28"/>
        <v>2.1991356382978724</v>
      </c>
      <c r="BZ8">
        <f t="shared" si="29"/>
        <v>1.6126279863481228</v>
      </c>
      <c r="CA8">
        <f t="shared" si="30"/>
        <v>2.4924642049736248</v>
      </c>
      <c r="CB8">
        <f t="shared" si="31"/>
        <v>1.319569120287253</v>
      </c>
      <c r="CC8">
        <f t="shared" si="32"/>
        <v>0.17141080289701099</v>
      </c>
      <c r="CD8">
        <f t="shared" si="33"/>
        <v>0.11434349719975109</v>
      </c>
      <c r="CF8">
        <f t="shared" si="34"/>
        <v>4.8390636430138994</v>
      </c>
      <c r="CG8">
        <f t="shared" si="35"/>
        <v>0.87965425531914898</v>
      </c>
      <c r="CH8">
        <f t="shared" si="36"/>
        <v>0.95138789011937297</v>
      </c>
      <c r="CI8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30.002801862102572</v>
      </c>
      <c r="CJ8" s="59">
        <f>+TablaGeneral[[#This Row],[Tracto elevador]]+TablaGeneral[[#This Row],[Tractor con uñas]]+TablaGeneral[[#This Row],[Tractor con acoplado]]</f>
        <v>14.074468085106384</v>
      </c>
      <c r="CK8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2.9716034521325327</v>
      </c>
      <c r="CL8" s="60">
        <f>+SUM(BR8:BV8)+TablaGeneral[[#This Row],[Cosecha DOV]]+TablaGeneral[[#This Row],[Corte DOV]]</f>
        <v>24.188446313706088</v>
      </c>
      <c r="CM8" s="60">
        <f>+SUM(TablaGeneral[[#This Row],[Colocación de malla]:[Descarga y carga de bines con Autoelevador]])</f>
        <v>16.972328060096569</v>
      </c>
      <c r="CN8" s="59"/>
      <c r="CO8" s="59"/>
      <c r="CP8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8" t="str">
        <f>+TablaGeneral[[#This Row],[Variedad]]&amp;" "&amp;TablaGeneral[[#This Row],[Año de plantación]]</f>
        <v xml:space="preserve">Arizul </v>
      </c>
      <c r="CR8" t="str">
        <f>+IF(TablaGeneral[[#This Row],[Finca]]="El Espejo I","El Espejo I y II",IF(TablaGeneral[[#This Row],[Finca]]="El Espejo II","El Espejo I y II",TablaGeneral[[#This Row],[Finca]]))</f>
        <v>Puente Alto</v>
      </c>
    </row>
    <row r="9" spans="1:97">
      <c r="A9" t="s">
        <v>4</v>
      </c>
      <c r="B9">
        <v>7</v>
      </c>
      <c r="C9">
        <v>1.1499999999999999</v>
      </c>
      <c r="D9" t="s">
        <v>5</v>
      </c>
      <c r="E9" s="3">
        <v>20000</v>
      </c>
      <c r="F9" s="2">
        <f>+TablaGeneral[[#This Row],[Has]]*TablaGeneral[[#This Row],[Kg x Has]]</f>
        <v>23000</v>
      </c>
      <c r="G9" s="2">
        <f>+TablaGeneral[[#This Row],[Kg 2026]]/4</f>
        <v>5750</v>
      </c>
      <c r="H9">
        <v>2400</v>
      </c>
      <c r="J9" t="s">
        <v>113</v>
      </c>
      <c r="K9" s="2">
        <f>10000/(2.5*2.5)</f>
        <v>1600</v>
      </c>
      <c r="L9">
        <v>5</v>
      </c>
      <c r="M9">
        <f>+TablaGeneral[[#This Row],[Plantas x Has]]*TablaGeneral[[#This Row],[N° de Guías x planta]]</f>
        <v>8000</v>
      </c>
      <c r="N9">
        <v>8</v>
      </c>
      <c r="O9">
        <f>+TablaGeneral[[#This Row],[N° de Guías x planta]]*TablaGeneral[[#This Row],[N° de Yemas x Guias]]</f>
        <v>40</v>
      </c>
      <c r="P9">
        <v>0.85</v>
      </c>
      <c r="Q9">
        <f>+TablaGeneral[[#This Row],[N° de Yemas x Planta]]*TablaGeneral[[#This Row],[% de Brotación]]</f>
        <v>34</v>
      </c>
      <c r="R9">
        <v>0.8</v>
      </c>
      <c r="S9">
        <v>1</v>
      </c>
      <c r="T9">
        <f>+TablaGeneral[[#This Row],[N° de Brotes x Planta]]*TablaGeneral[[#This Row],[% de Fertilidad]]*TablaGeneral[[#This Row],[Cantidad de Racimos x Brote]]</f>
        <v>27.200000000000003</v>
      </c>
      <c r="U9">
        <v>0.35289999999999999</v>
      </c>
      <c r="V9">
        <f>+TablaGeneral[[#This Row],[Cantidad de Racimos x Planta]]*TablaGeneral[[#This Row],[Peso del Racimo]]</f>
        <v>9.5988800000000012</v>
      </c>
      <c r="W9">
        <f>+TablaGeneral[[#This Row],[Plantas]]*TablaGeneral[[#This Row],[Kg x Planta]]</f>
        <v>23037.312000000002</v>
      </c>
      <c r="X9">
        <f>+TablaGeneral[[#This Row],[Kg x Cuartel]]/TablaGeneral[[#This Row],[Has]]</f>
        <v>20032.445217391309</v>
      </c>
      <c r="Y9" t="s">
        <v>41</v>
      </c>
      <c r="Z9">
        <v>110</v>
      </c>
      <c r="AA9">
        <f>+TablaGeneral[[#This Row],[Rendimiento Poda]]*1.5</f>
        <v>165</v>
      </c>
      <c r="AB9">
        <f t="shared" si="0"/>
        <v>130</v>
      </c>
      <c r="AC9">
        <v>300</v>
      </c>
      <c r="AE9">
        <v>500</v>
      </c>
      <c r="AG9">
        <f>+IFERROR(TablaGeneral[[#This Row],[Plantas]]/TablaGeneral[[#This Row],[Rendimiento Poda]],0)</f>
        <v>21.818181818181817</v>
      </c>
      <c r="AH9">
        <f>+TablaGeneral[[#This Row],[Plantas]]/TablaGeneral[[#This Row],[Rendimiento Atada]]</f>
        <v>14.545454545454545</v>
      </c>
      <c r="AI9">
        <f>+IFERROR(TablaGeneral[[#This Row],[Plantas]]/TablaGeneral[[#This Row],[Rendimiento Desbrote de troncos]],0)</f>
        <v>18.46153846153846</v>
      </c>
      <c r="AJ9" s="2">
        <f>+IFERROR(TablaGeneral[[#This Row],[Plantas]]/TablaGeneral[[#This Row],[Rendimiento Acomodo de brotes ]],0)</f>
        <v>8</v>
      </c>
      <c r="AK9">
        <f>+IFERROR(TablaGeneral[[#This Row],[Plantas]]/TablaGeneral[[#This Row],[Rendimiento Desniete, deshoje ]],0)</f>
        <v>0</v>
      </c>
      <c r="AL9">
        <f>+IFERROR(TablaGeneral[[#This Row],[Plantas]]/TablaGeneral[[#This Row],[Rendimiento Desbrote con criterio de Poda]],0)</f>
        <v>4.8</v>
      </c>
      <c r="AM9">
        <f>+IFERROR(TablaGeneral[[#This Row],[Plantas]]/TablaGeneral[[#This Row],[Rendimiento Raleo de Racimos]],0)</f>
        <v>0</v>
      </c>
      <c r="AN9">
        <f t="shared" si="1"/>
        <v>0.85096952908587253</v>
      </c>
      <c r="AO9">
        <f t="shared" si="2"/>
        <v>0.37229917153516751</v>
      </c>
      <c r="AP9">
        <f t="shared" si="3"/>
        <v>0.15956385878598497</v>
      </c>
      <c r="AQ9">
        <f t="shared" si="4"/>
        <v>3.3506925206345413</v>
      </c>
      <c r="AR9">
        <f t="shared" si="5"/>
        <v>0.39893617021276595</v>
      </c>
      <c r="AS9">
        <f t="shared" si="6"/>
        <v>3.2</v>
      </c>
      <c r="AT9">
        <f t="shared" si="7"/>
        <v>5.3185595567867034</v>
      </c>
      <c r="AW9">
        <v>1</v>
      </c>
      <c r="AX9">
        <f t="shared" si="8"/>
        <v>5.3215077605321506</v>
      </c>
      <c r="AY9">
        <f t="shared" si="9"/>
        <v>1.0637119113573408</v>
      </c>
      <c r="AZ9">
        <f t="shared" si="10"/>
        <v>6.0099765610914115</v>
      </c>
      <c r="BA9">
        <f t="shared" si="11"/>
        <v>1.0637119113573408</v>
      </c>
      <c r="BC9">
        <f t="shared" si="12"/>
        <v>0.85097028340856151</v>
      </c>
      <c r="BD9">
        <f t="shared" si="13"/>
        <v>2.3952095808383231</v>
      </c>
      <c r="BF9">
        <f t="shared" si="14"/>
        <v>1.0637119113573408</v>
      </c>
      <c r="BG9">
        <f t="shared" si="15"/>
        <v>1.7019345322516592</v>
      </c>
      <c r="BH9">
        <f t="shared" si="16"/>
        <v>2.5529090398509098</v>
      </c>
      <c r="BI9">
        <f t="shared" si="17"/>
        <v>0.90429540316503387</v>
      </c>
      <c r="BJ9">
        <f t="shared" si="18"/>
        <v>3.0847654999826482</v>
      </c>
      <c r="BK9">
        <f t="shared" si="19"/>
        <v>0.58504194019408762</v>
      </c>
      <c r="BL9">
        <f t="shared" si="20"/>
        <v>3.3506917782400492</v>
      </c>
      <c r="BM9">
        <f t="shared" si="21"/>
        <v>1.5955643311593768</v>
      </c>
      <c r="BN9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170.6988604057741</v>
      </c>
      <c r="BO9" s="1">
        <f>+TablaGeneral[[#This Row],[Combustible]]/100</f>
        <v>1.7069886040577409</v>
      </c>
      <c r="BP9" s="1">
        <f>+TablaGeneral[[#This Row],[Combustible]]/150</f>
        <v>1.1379924027051607</v>
      </c>
      <c r="BQ9" s="1">
        <f>+TablaGeneral[[#This Row],[Combustible]]/200</f>
        <v>0.85349430202887044</v>
      </c>
      <c r="BR9">
        <f t="shared" si="22"/>
        <v>2.5531914893617023</v>
      </c>
      <c r="BS9">
        <f t="shared" si="23"/>
        <v>2.5531914893617023</v>
      </c>
      <c r="BT9">
        <f t="shared" si="24"/>
        <v>2.5531914893617023</v>
      </c>
      <c r="BU9">
        <f t="shared" si="25"/>
        <v>1.1162790697674418</v>
      </c>
      <c r="BW9">
        <f t="shared" si="26"/>
        <v>0.49576533774013631</v>
      </c>
      <c r="BX9">
        <f t="shared" si="27"/>
        <v>0.37232392181197643</v>
      </c>
      <c r="BY9">
        <f t="shared" si="28"/>
        <v>0.7978723404255319</v>
      </c>
      <c r="BZ9">
        <f t="shared" si="29"/>
        <v>0.58508044856167718</v>
      </c>
      <c r="CA9">
        <f t="shared" si="30"/>
        <v>0.90429540316503387</v>
      </c>
      <c r="CB9">
        <f t="shared" si="31"/>
        <v>0.47875523638539796</v>
      </c>
      <c r="CC9">
        <f t="shared" si="32"/>
        <v>6.2189860461500587E-2</v>
      </c>
      <c r="CD9">
        <f t="shared" si="33"/>
        <v>4.148516905206389E-2</v>
      </c>
      <c r="CF9">
        <f t="shared" si="34"/>
        <v>1.7556693489392832</v>
      </c>
      <c r="CG9">
        <f t="shared" si="35"/>
        <v>0.31914893617021278</v>
      </c>
      <c r="CH9">
        <f t="shared" si="36"/>
        <v>0.34517474471451171</v>
      </c>
      <c r="CI9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10.885370290105243</v>
      </c>
      <c r="CJ9" s="59">
        <f>+TablaGeneral[[#This Row],[Tracto elevador]]+TablaGeneral[[#This Row],[Tractor con uñas]]+TablaGeneral[[#This Row],[Tractor con acoplado]]</f>
        <v>5.1063829787234045</v>
      </c>
      <c r="CK9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1.0781327717487648</v>
      </c>
      <c r="CL9" s="60">
        <f>+SUM(BR9:BV9)+TablaGeneral[[#This Row],[Cosecha DOV]]+TablaGeneral[[#This Row],[Corte DOV]]</f>
        <v>8.775853537852548</v>
      </c>
      <c r="CM9" s="60">
        <f>+SUM(TablaGeneral[[#This Row],[Colocación de malla]:[Descarga y carga de bines con Autoelevador]])</f>
        <v>6.1577607474273259</v>
      </c>
      <c r="CN9" s="59"/>
      <c r="CO9" s="59"/>
      <c r="CP9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9" t="str">
        <f>+TablaGeneral[[#This Row],[Variedad]]&amp;" "&amp;TablaGeneral[[#This Row],[Año de plantación]]</f>
        <v xml:space="preserve">Selma </v>
      </c>
      <c r="CR9" t="str">
        <f>+IF(TablaGeneral[[#This Row],[Finca]]="El Espejo I","El Espejo I y II",IF(TablaGeneral[[#This Row],[Finca]]="El Espejo II","El Espejo I y II",TablaGeneral[[#This Row],[Finca]]))</f>
        <v>Puente Alto</v>
      </c>
    </row>
    <row r="10" spans="1:97">
      <c r="A10" t="s">
        <v>8</v>
      </c>
      <c r="B10">
        <v>2</v>
      </c>
      <c r="C10" s="1">
        <v>4.08</v>
      </c>
      <c r="D10" t="s">
        <v>6</v>
      </c>
      <c r="E10" s="2">
        <v>35000</v>
      </c>
      <c r="F10" s="2">
        <f>+TablaGeneral[[#This Row],[Has]]*TablaGeneral[[#This Row],[Kg x Has]]</f>
        <v>142800</v>
      </c>
      <c r="G10" s="2">
        <f>+TablaGeneral[[#This Row],[Kg 2026]]/4</f>
        <v>35700</v>
      </c>
      <c r="H10" s="2">
        <v>8428</v>
      </c>
      <c r="I10" s="2"/>
      <c r="J10" t="s">
        <v>19</v>
      </c>
      <c r="K10" s="5">
        <f>10000/IF(LEN(TablaGeneral[[#This Row],[Marco de plantación]])&gt;3,(MID(TablaGeneral[[#This Row],[Marco de plantación]],1,3)*MID(TablaGeneral[[#This Row],[Marco de plantación]],5,3)),(3*2))</f>
        <v>2066.1157024793383</v>
      </c>
      <c r="L10" s="7">
        <v>10</v>
      </c>
      <c r="M10" s="5">
        <f>+TablaGeneral[[#This Row],[Plantas x Has]]*TablaGeneral[[#This Row],[N° de Guías x planta]]</f>
        <v>20661.157024793385</v>
      </c>
      <c r="N10" s="7">
        <v>8</v>
      </c>
      <c r="O10" s="7">
        <f>+TablaGeneral[[#This Row],[N° de Guías x planta]]*TablaGeneral[[#This Row],[N° de Yemas x Guias]]</f>
        <v>80</v>
      </c>
      <c r="P10" s="7">
        <v>0.8</v>
      </c>
      <c r="Q10" s="5">
        <f>+TablaGeneral[[#This Row],[N° de Yemas x Planta]]*TablaGeneral[[#This Row],[% de Brotación]]</f>
        <v>64</v>
      </c>
      <c r="R10" s="7">
        <v>0.81</v>
      </c>
      <c r="S10" s="7">
        <v>1</v>
      </c>
      <c r="T10" s="5">
        <f>+TablaGeneral[[#This Row],[N° de Brotes x Planta]]*TablaGeneral[[#This Row],[% de Fertilidad]]*TablaGeneral[[#This Row],[Cantidad de Racimos x Brote]]</f>
        <v>51.84</v>
      </c>
      <c r="U10" s="7">
        <v>0.32700000000000001</v>
      </c>
      <c r="V10" s="5">
        <f>+TablaGeneral[[#This Row],[Cantidad de Racimos x Planta]]*TablaGeneral[[#This Row],[Peso del Racimo]]</f>
        <v>16.951680000000003</v>
      </c>
      <c r="W10" s="5">
        <f>+TablaGeneral[[#This Row],[Plantas]]*TablaGeneral[[#This Row],[Kg x Planta]]</f>
        <v>142868.75904000003</v>
      </c>
      <c r="X10" s="5">
        <f>+TablaGeneral[[#This Row],[Kg x Cuartel]]/TablaGeneral[[#This Row],[Has]]</f>
        <v>35016.85270588236</v>
      </c>
      <c r="Y10" t="s">
        <v>41</v>
      </c>
      <c r="Z10" s="15">
        <v>150</v>
      </c>
      <c r="AA10" s="6">
        <f>+TablaGeneral[[#This Row],[Rendimiento Poda]]*1.5</f>
        <v>225</v>
      </c>
      <c r="AB10" s="6">
        <v>500</v>
      </c>
      <c r="AC10" s="6"/>
      <c r="AD10" s="6"/>
      <c r="AE10" s="6">
        <v>700</v>
      </c>
      <c r="AF10" s="6">
        <v>500</v>
      </c>
      <c r="AG10" s="9">
        <f>+IFERROR(TablaGeneral[[#This Row],[Plantas]]/TablaGeneral[[#This Row],[Rendimiento Poda]],0)</f>
        <v>56.186666666666667</v>
      </c>
      <c r="AH10" s="9">
        <f>+TablaGeneral[[#This Row],[Plantas]]/TablaGeneral[[#This Row],[Rendimiento Atada]]</f>
        <v>37.457777777777778</v>
      </c>
      <c r="AI10" s="9">
        <f>+IFERROR(TablaGeneral[[#This Row],[Plantas]]/TablaGeneral[[#This Row],[Rendimiento Desbrote de troncos]],0)</f>
        <v>16.856000000000002</v>
      </c>
      <c r="AJ10" s="9">
        <f>+IFERROR(TablaGeneral[[#This Row],[Plantas]]/TablaGeneral[[#This Row],[Rendimiento Acomodo de brotes ]],0)</f>
        <v>0</v>
      </c>
      <c r="AK10" s="9">
        <f>+IFERROR(TablaGeneral[[#This Row],[Plantas]]/TablaGeneral[[#This Row],[Rendimiento Desniete, deshoje ]],0)</f>
        <v>0</v>
      </c>
      <c r="AL10" s="9">
        <f>+IFERROR(TablaGeneral[[#This Row],[Plantas]]/TablaGeneral[[#This Row],[Rendimiento Desbrote con criterio de Poda]],0)</f>
        <v>12.04</v>
      </c>
      <c r="AM10" s="9">
        <f>+IFERROR(TablaGeneral[[#This Row],[Plantas]]/TablaGeneral[[#This Row],[Rendimiento Raleo de Racimos]],0)</f>
        <v>16.856000000000002</v>
      </c>
      <c r="AN10" s="10">
        <f>+TablaGeneral[[#This Row],[Plantas]]/3366.9</f>
        <v>2.5031928480204342</v>
      </c>
      <c r="AO10" s="10">
        <f>+TablaGeneral[[#This Row],[Plantas]]/5179.85</f>
        <v>1.6270741430736411</v>
      </c>
      <c r="AP10" s="10">
        <f>+TablaGeneral[[#This Row],[Plantas]]/6899.38</f>
        <v>1.2215590386382544</v>
      </c>
      <c r="AQ10" s="13">
        <f>+TablaGeneral[[#This Row],[Plantas]]/2591.91</f>
        <v>3.2516561146027447</v>
      </c>
      <c r="AR10" s="13">
        <f>+TablaGeneral[[#This Row],[Plantas]]/1683.45</f>
        <v>5.0063856960408684</v>
      </c>
      <c r="AS10" s="10">
        <f>+TablaGeneral[[#This Row],[Plantas]]/1232.39</f>
        <v>6.8387442286938382</v>
      </c>
      <c r="AT10" s="13">
        <f>+TablaGeneral[[#This Row],[Plantas]]/216.3</f>
        <v>38.96440129449838</v>
      </c>
      <c r="AU10" s="13">
        <f>+TablaGeneral[[#This Row],[Plantas]]/2941.65</f>
        <v>2.8650587255451869</v>
      </c>
      <c r="AV10" s="13">
        <f>+TablaGeneral[[#This Row],[Plantas]]/980.55</f>
        <v>8.5951761766355617</v>
      </c>
      <c r="AW10" s="13">
        <f>+TablaGeneral[[#This Row],[Plantas]]/9805</f>
        <v>0.85956144824069347</v>
      </c>
      <c r="AX10" s="13">
        <f>+TablaGeneral[[#This Row],[Plantas]]/460</f>
        <v>18.321739130434782</v>
      </c>
      <c r="AY10" s="13">
        <f>+TablaGeneral[[#This Row],[Plantas]]/1176.66</f>
        <v>7.1626468138629678</v>
      </c>
      <c r="AZ10" s="13"/>
      <c r="BA10" s="13"/>
      <c r="BB10" s="13">
        <f>+TablaGeneral[[#This Row],[Plantas]]/11766.6</f>
        <v>0.71626468138629673</v>
      </c>
      <c r="BC10" s="13">
        <f>+TablaGeneral[[#This Row],[Plantas]]/1897.32</f>
        <v>4.4420551093120828</v>
      </c>
      <c r="BD10" s="13">
        <f>+TablaGeneral[[#This Row],[Plantas]]/3565.64</f>
        <v>2.3636710380184205</v>
      </c>
      <c r="BE10" s="13">
        <f>+TablaGeneral[[#This Row],[Plantas]]/1176.7</f>
        <v>7.1624033313503865</v>
      </c>
      <c r="BF10" s="13">
        <f>+TablaGeneral[[#This Row],[Plantas]]/1568.88</f>
        <v>5.371985110397226</v>
      </c>
      <c r="BG10" s="13">
        <f>+TablaGeneral[[#This Row],[Plantas]]/2941.65</f>
        <v>2.8650587255451869</v>
      </c>
      <c r="BH10" s="13">
        <f>+TablaGeneral[[#This Row],[Plantas]]/1961.1</f>
        <v>4.2975880883177808</v>
      </c>
      <c r="BI10" s="13">
        <f>+TablaGeneral[[#This Row],[Plantas]]/2353.32</f>
        <v>3.5813234069314839</v>
      </c>
      <c r="BJ10" s="13">
        <f>+TablaGeneral[[#This Row],[Plantas]]/1961.1</f>
        <v>4.2975880883177808</v>
      </c>
      <c r="BK10" s="13">
        <f>+TablaGeneral[[#This Row],[Plantas]]/3268</f>
        <v>2.5789473684210527</v>
      </c>
      <c r="BL10" s="13">
        <f>+TablaGeneral[[#This Row],[Plantas]]/525.295</f>
        <v>16.04431795467309</v>
      </c>
      <c r="BM10" s="13">
        <f>+TablaGeneral[[#This Row],[Plantas]]/653.7</f>
        <v>12.892764264953342</v>
      </c>
      <c r="BN10" s="17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678.75389563699298</v>
      </c>
      <c r="BO10" s="17">
        <f>+TablaGeneral[[#This Row],[Combustible]]/100</f>
        <v>6.7875389563699295</v>
      </c>
      <c r="BP10" s="17">
        <f>+TablaGeneral[[#This Row],[Combustible]]/150</f>
        <v>4.525025970913287</v>
      </c>
      <c r="BQ10" s="17">
        <f>+TablaGeneral[[#This Row],[Combustible]]/200</f>
        <v>3.3937694781849648</v>
      </c>
      <c r="BR10" s="1">
        <f>+H10/2094.5</f>
        <v>4.0238720458343282</v>
      </c>
      <c r="BS10" s="1">
        <f>+H10/2094.5</f>
        <v>4.0238720458343282</v>
      </c>
      <c r="BT10" s="1">
        <f>+H10/523.625</f>
        <v>16.095488183337313</v>
      </c>
      <c r="BU10" s="1">
        <f>+H10/5236.25</f>
        <v>1.6095488183337312</v>
      </c>
      <c r="BV10" s="1">
        <f>+H10/1047.25</f>
        <v>8.0477440916686565</v>
      </c>
      <c r="BW10">
        <f t="shared" ref="BW10:BW37" si="37">+H10/1356.59</f>
        <v>6.2126360949144548</v>
      </c>
      <c r="BX10">
        <f t="shared" ref="BX10:BX37" si="38">+H10/1661.13</f>
        <v>5.0736546808497822</v>
      </c>
      <c r="BY10">
        <f t="shared" ref="BY10:BY37" si="39">+H10/834.826</f>
        <v>10.095516910110609</v>
      </c>
      <c r="BZ10">
        <f t="shared" ref="BZ10:BZ37" si="40">+H10/1085.27</f>
        <v>7.7658094299114504</v>
      </c>
      <c r="CA10">
        <f t="shared" ref="CA10:CA37" si="41">+H10/710.787</f>
        <v>11.857279325592618</v>
      </c>
      <c r="CB10">
        <f t="shared" ref="CB10:CB37" si="42">+H10/1356.59</f>
        <v>6.2126360949144548</v>
      </c>
      <c r="CC10">
        <f t="shared" ref="CC10:CC37" si="43">+H10/10852.7</f>
        <v>0.776580942991145</v>
      </c>
      <c r="CD10">
        <f t="shared" ref="CD10:CD37" si="44">+H10/16279.1</f>
        <v>0.51771903852178558</v>
      </c>
      <c r="CF10">
        <f t="shared" ref="CF10:CF37" si="45">+H10/361.758</f>
        <v>23.297342422282302</v>
      </c>
      <c r="CG10">
        <f t="shared" ref="CG10:CG37" si="46">+H10/1750.44</f>
        <v>4.8147894243733003</v>
      </c>
      <c r="CH10">
        <f t="shared" ref="CH10:CH37" si="47">+H10/1849.9</f>
        <v>4.5559219417265799</v>
      </c>
      <c r="CI10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24.746200157387563</v>
      </c>
      <c r="CJ10" s="59">
        <f>+TablaGeneral[[#This Row],[Tracto elevador]]+TablaGeneral[[#This Row],[Tractor con uñas]]+TablaGeneral[[#This Row],[Tractor con acoplado]]</f>
        <v>28.167104320840295</v>
      </c>
      <c r="CK10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14.962085085471447</v>
      </c>
      <c r="CL10" s="60">
        <f>+SUM(BR10:BV10)+TablaGeneral[[#This Row],[Cosecha DOV]]+TablaGeneral[[#This Row],[Corte DOV]]</f>
        <v>33.800525185008361</v>
      </c>
      <c r="CM10" s="60">
        <f>+SUM(TablaGeneral[[#This Row],[Colocación de malla]:[Descarga y carga de bines con Autoelevador]])</f>
        <v>81.179886306188493</v>
      </c>
      <c r="CN10" s="59"/>
      <c r="CO10" s="59"/>
      <c r="CP10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10" t="str">
        <f>+TablaGeneral[[#This Row],[Variedad]]&amp;" "&amp;TablaGeneral[[#This Row],[Año de plantación]]</f>
        <v xml:space="preserve">Flame </v>
      </c>
      <c r="CR10" t="str">
        <f>+IF(TablaGeneral[[#This Row],[Finca]]="El Espejo I","El Espejo I y II",IF(TablaGeneral[[#This Row],[Finca]]="El Espejo II","El Espejo I y II",TablaGeneral[[#This Row],[Finca]]))</f>
        <v>Camino Truncado</v>
      </c>
    </row>
    <row r="11" spans="1:97">
      <c r="A11" t="s">
        <v>8</v>
      </c>
      <c r="B11">
        <v>4</v>
      </c>
      <c r="C11" s="1">
        <v>3.03</v>
      </c>
      <c r="D11" t="s">
        <v>6</v>
      </c>
      <c r="E11" s="2">
        <v>32000</v>
      </c>
      <c r="F11" s="2">
        <f>+TablaGeneral[[#This Row],[Has]]*TablaGeneral[[#This Row],[Kg x Has]]</f>
        <v>96960</v>
      </c>
      <c r="G11" s="2">
        <f>+TablaGeneral[[#This Row],[Kg 2026]]/4</f>
        <v>24240</v>
      </c>
      <c r="H11" s="2">
        <v>4853</v>
      </c>
      <c r="I11" s="2"/>
      <c r="J11" t="s">
        <v>20</v>
      </c>
      <c r="K11" s="5">
        <f>10000/IF(LEN(TablaGeneral[[#This Row],[Marco de plantación]])&gt;3,(MID(TablaGeneral[[#This Row],[Marco de plantación]],1,3)*MID(TablaGeneral[[#This Row],[Marco de plantación]],5,3)),(3*2))</f>
        <v>1600</v>
      </c>
      <c r="L11" s="7">
        <v>9</v>
      </c>
      <c r="M11" s="5">
        <f>+TablaGeneral[[#This Row],[Plantas x Has]]*TablaGeneral[[#This Row],[N° de Guías x planta]]</f>
        <v>14400</v>
      </c>
      <c r="N11" s="7">
        <v>7</v>
      </c>
      <c r="O11" s="7">
        <f>+TablaGeneral[[#This Row],[N° de Guías x planta]]*TablaGeneral[[#This Row],[N° de Yemas x Guias]]</f>
        <v>63</v>
      </c>
      <c r="P11" s="7">
        <v>0.7</v>
      </c>
      <c r="Q11" s="5">
        <f>+TablaGeneral[[#This Row],[N° de Yemas x Planta]]*TablaGeneral[[#This Row],[% de Brotación]]</f>
        <v>44.099999999999994</v>
      </c>
      <c r="R11" s="7">
        <v>0.88</v>
      </c>
      <c r="S11" s="7">
        <v>1.5</v>
      </c>
      <c r="T11" s="5">
        <f>+TablaGeneral[[#This Row],[N° de Brotes x Planta]]*TablaGeneral[[#This Row],[% de Fertilidad]]*TablaGeneral[[#This Row],[Cantidad de Racimos x Brote]]</f>
        <v>58.211999999999989</v>
      </c>
      <c r="U11" s="7">
        <v>0.34499999999999997</v>
      </c>
      <c r="V11" s="5">
        <f>+TablaGeneral[[#This Row],[Cantidad de Racimos x Planta]]*TablaGeneral[[#This Row],[Peso del Racimo]]</f>
        <v>20.083139999999993</v>
      </c>
      <c r="W11" s="5">
        <f>+TablaGeneral[[#This Row],[Plantas]]*TablaGeneral[[#This Row],[Kg x Planta]]</f>
        <v>97463.47841999997</v>
      </c>
      <c r="X11" s="5">
        <f>+TablaGeneral[[#This Row],[Kg x Cuartel]]/TablaGeneral[[#This Row],[Has]]</f>
        <v>32166.164495049496</v>
      </c>
      <c r="Y11" t="s">
        <v>41</v>
      </c>
      <c r="Z11" s="15">
        <v>110</v>
      </c>
      <c r="AA11" s="6">
        <f>+TablaGeneral[[#This Row],[Rendimiento Poda]]*1.5</f>
        <v>165</v>
      </c>
      <c r="AB11" s="6">
        <v>500</v>
      </c>
      <c r="AC11" s="6"/>
      <c r="AD11" s="6"/>
      <c r="AE11" s="6">
        <v>700</v>
      </c>
      <c r="AF11" s="6">
        <v>500</v>
      </c>
      <c r="AG11" s="9">
        <f>+IFERROR(TablaGeneral[[#This Row],[Plantas]]/TablaGeneral[[#This Row],[Rendimiento Poda]],0)</f>
        <v>44.118181818181817</v>
      </c>
      <c r="AH11" s="9">
        <f>+TablaGeneral[[#This Row],[Plantas]]/TablaGeneral[[#This Row],[Rendimiento Atada]]</f>
        <v>29.412121212121214</v>
      </c>
      <c r="AI11" s="9">
        <f>+IFERROR(TablaGeneral[[#This Row],[Plantas]]/TablaGeneral[[#This Row],[Rendimiento Desbrote de troncos]],0)</f>
        <v>9.7059999999999995</v>
      </c>
      <c r="AJ11" s="9">
        <f>+IFERROR(TablaGeneral[[#This Row],[Plantas]]/TablaGeneral[[#This Row],[Rendimiento Acomodo de brotes ]],0)</f>
        <v>0</v>
      </c>
      <c r="AK11" s="9">
        <f>+IFERROR(TablaGeneral[[#This Row],[Plantas]]/TablaGeneral[[#This Row],[Rendimiento Desniete, deshoje ]],0)</f>
        <v>0</v>
      </c>
      <c r="AL11" s="9">
        <f>+IFERROR(TablaGeneral[[#This Row],[Plantas]]/TablaGeneral[[#This Row],[Rendimiento Desbrote con criterio de Poda]],0)</f>
        <v>6.9328571428571433</v>
      </c>
      <c r="AM11" s="9">
        <f>+IFERROR(TablaGeneral[[#This Row],[Plantas]]/TablaGeneral[[#This Row],[Rendimiento Raleo de Racimos]],0)</f>
        <v>9.7059999999999995</v>
      </c>
      <c r="AN11" s="10">
        <f>+TablaGeneral[[#This Row],[Plantas]]/3366.9</f>
        <v>1.4413852505271911</v>
      </c>
      <c r="AO11" s="10">
        <f>+TablaGeneral[[#This Row],[Plantas]]/5179.85</f>
        <v>0.93689971717327714</v>
      </c>
      <c r="AP11" s="10">
        <f>+TablaGeneral[[#This Row],[Plantas]]/6899.38</f>
        <v>0.70339653708014338</v>
      </c>
      <c r="AQ11" s="13">
        <f>+TablaGeneral[[#This Row],[Plantas]]/2591.91</f>
        <v>1.8723643953686664</v>
      </c>
      <c r="AR11" s="13">
        <f>+TablaGeneral[[#This Row],[Plantas]]/1683.45</f>
        <v>2.8827705010543823</v>
      </c>
      <c r="AS11" s="10">
        <f>+TablaGeneral[[#This Row],[Plantas]]/1232.39</f>
        <v>3.9378768084778355</v>
      </c>
      <c r="AT11" s="13">
        <f>+TablaGeneral[[#This Row],[Plantas]]/216.3</f>
        <v>22.436430883032823</v>
      </c>
      <c r="AU11" s="13">
        <f>+TablaGeneral[[#This Row],[Plantas]]/2941.65</f>
        <v>1.6497543895432836</v>
      </c>
      <c r="AV11" s="13">
        <f>+TablaGeneral[[#This Row],[Plantas]]/980.55</f>
        <v>4.9492631686298507</v>
      </c>
      <c r="AW11" s="13">
        <f>+TablaGeneral[[#This Row],[Plantas]]/9805</f>
        <v>0.49495155532891383</v>
      </c>
      <c r="AX11" s="13">
        <f>+TablaGeneral[[#This Row],[Plantas]]/460</f>
        <v>10.55</v>
      </c>
      <c r="AY11" s="13">
        <f>+TablaGeneral[[#This Row],[Plantas]]/1176.66</f>
        <v>4.1243859738582085</v>
      </c>
      <c r="AZ11" s="13"/>
      <c r="BA11" s="13"/>
      <c r="BB11" s="13">
        <f>+TablaGeneral[[#This Row],[Plantas]]/11766.6</f>
        <v>0.41243859738582089</v>
      </c>
      <c r="BC11" s="13">
        <f>+TablaGeneral[[#This Row],[Plantas]]/1897.32</f>
        <v>2.5578183964750281</v>
      </c>
      <c r="BD11" s="13">
        <f>+TablaGeneral[[#This Row],[Plantas]]/3565.64</f>
        <v>1.361045983329781</v>
      </c>
      <c r="BE11" s="13">
        <f>+TablaGeneral[[#This Row],[Plantas]]/1176.7</f>
        <v>4.1242457720744454</v>
      </c>
      <c r="BF11" s="13">
        <f>+TablaGeneral[[#This Row],[Plantas]]/1568.88</f>
        <v>3.0932894803936564</v>
      </c>
      <c r="BG11" s="13">
        <f>+TablaGeneral[[#This Row],[Plantas]]/2941.65</f>
        <v>1.6497543895432836</v>
      </c>
      <c r="BH11" s="13">
        <f>+TablaGeneral[[#This Row],[Plantas]]/1961.1</f>
        <v>2.4746315843149254</v>
      </c>
      <c r="BI11" s="13">
        <f>+TablaGeneral[[#This Row],[Plantas]]/2353.32</f>
        <v>2.0621929869291042</v>
      </c>
      <c r="BJ11" s="13">
        <f>+TablaGeneral[[#This Row],[Plantas]]/1961.1</f>
        <v>2.4746315843149254</v>
      </c>
      <c r="BK11" s="13">
        <f>+TablaGeneral[[#This Row],[Plantas]]/3268</f>
        <v>1.4850061199510405</v>
      </c>
      <c r="BL11" s="13">
        <f>+TablaGeneral[[#This Row],[Plantas]]/525.295</f>
        <v>9.2386183001932256</v>
      </c>
      <c r="BM11" s="13">
        <f>+TablaGeneral[[#This Row],[Plantas]]/653.7</f>
        <v>7.4238947529447756</v>
      </c>
      <c r="BN11" s="17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390.83918551570099</v>
      </c>
      <c r="BO11" s="17">
        <f>+TablaGeneral[[#This Row],[Combustible]]/100</f>
        <v>3.90839185515701</v>
      </c>
      <c r="BP11" s="17">
        <f>+TablaGeneral[[#This Row],[Combustible]]/150</f>
        <v>2.6055945701046732</v>
      </c>
      <c r="BQ11" s="17">
        <f>+TablaGeneral[[#This Row],[Combustible]]/200</f>
        <v>1.954195927578505</v>
      </c>
      <c r="BR11" s="1">
        <f>+H11/2094.5</f>
        <v>2.3170207686798761</v>
      </c>
      <c r="BS11" s="1">
        <f>+H11/2094.5</f>
        <v>2.3170207686798761</v>
      </c>
      <c r="BT11" s="1">
        <f>+H11/523.625</f>
        <v>9.2680830747195042</v>
      </c>
      <c r="BU11" s="1">
        <f>+H11/5236.25</f>
        <v>0.92680830747195031</v>
      </c>
      <c r="BV11" s="1">
        <f>+H11/1047.25</f>
        <v>4.6340415373597521</v>
      </c>
      <c r="BW11">
        <f t="shared" si="37"/>
        <v>3.5773520370930054</v>
      </c>
      <c r="BX11">
        <f t="shared" si="38"/>
        <v>2.9215052404086372</v>
      </c>
      <c r="BY11">
        <f t="shared" si="39"/>
        <v>5.813187418695632</v>
      </c>
      <c r="BZ11">
        <f t="shared" si="40"/>
        <v>4.471698287062206</v>
      </c>
      <c r="CA11">
        <f t="shared" si="41"/>
        <v>6.8276431617348088</v>
      </c>
      <c r="CB11">
        <f t="shared" si="42"/>
        <v>3.5773520370930054</v>
      </c>
      <c r="CC11">
        <f t="shared" si="43"/>
        <v>0.44716982870622052</v>
      </c>
      <c r="CD11">
        <f t="shared" si="44"/>
        <v>0.29811230350572204</v>
      </c>
      <c r="CF11">
        <f t="shared" si="45"/>
        <v>13.415045417102041</v>
      </c>
      <c r="CG11">
        <f t="shared" si="46"/>
        <v>2.7724457850597561</v>
      </c>
      <c r="CH11">
        <f t="shared" si="47"/>
        <v>2.6233850478404235</v>
      </c>
      <c r="CI11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14.249324793996422</v>
      </c>
      <c r="CJ11" s="59">
        <f>+TablaGeneral[[#This Row],[Tracto elevador]]+TablaGeneral[[#This Row],[Tractor con uñas]]+TablaGeneral[[#This Row],[Tractor con acoplado]]</f>
        <v>16.219145380759134</v>
      </c>
      <c r="CK11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8.6154483768145393</v>
      </c>
      <c r="CL11" s="60">
        <f>+SUM(BR11:BV11)+TablaGeneral[[#This Row],[Cosecha DOV]]+TablaGeneral[[#This Row],[Corte DOV]]</f>
        <v>19.462974456910956</v>
      </c>
      <c r="CM11" s="60">
        <f>+SUM(TablaGeneral[[#This Row],[Colocación de malla]:[Descarga y carga de bines con Autoelevador]])</f>
        <v>46.744896564301456</v>
      </c>
      <c r="CN11" s="59"/>
      <c r="CO11" s="59"/>
      <c r="CP11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11" t="str">
        <f>+TablaGeneral[[#This Row],[Variedad]]&amp;" "&amp;TablaGeneral[[#This Row],[Año de plantación]]</f>
        <v xml:space="preserve">Flame </v>
      </c>
      <c r="CR11" t="str">
        <f>+IF(TablaGeneral[[#This Row],[Finca]]="El Espejo I","El Espejo I y II",IF(TablaGeneral[[#This Row],[Finca]]="El Espejo II","El Espejo I y II",TablaGeneral[[#This Row],[Finca]]))</f>
        <v>Camino Truncado</v>
      </c>
    </row>
    <row r="12" spans="1:97">
      <c r="A12" t="s">
        <v>8</v>
      </c>
      <c r="B12">
        <v>5</v>
      </c>
      <c r="C12" s="1">
        <v>4.21</v>
      </c>
      <c r="D12" t="s">
        <v>6</v>
      </c>
      <c r="E12" s="2">
        <v>30000</v>
      </c>
      <c r="F12" s="2">
        <f>+TablaGeneral[[#This Row],[Has]]*TablaGeneral[[#This Row],[Kg x Has]]</f>
        <v>126300</v>
      </c>
      <c r="G12" s="2">
        <f>+TablaGeneral[[#This Row],[Kg 2026]]/4</f>
        <v>31575</v>
      </c>
      <c r="H12" s="2">
        <v>6731</v>
      </c>
      <c r="I12" s="2"/>
      <c r="J12" t="s">
        <v>20</v>
      </c>
      <c r="K12" s="5">
        <f>10000/IF(LEN(TablaGeneral[[#This Row],[Marco de plantación]])&gt;3,(MID(TablaGeneral[[#This Row],[Marco de plantación]],1,3)*MID(TablaGeneral[[#This Row],[Marco de plantación]],5,3)),(3*2))</f>
        <v>1600</v>
      </c>
      <c r="L12" s="7">
        <v>8</v>
      </c>
      <c r="M12" s="5">
        <f>+TablaGeneral[[#This Row],[Plantas x Has]]*TablaGeneral[[#This Row],[N° de Guías x planta]]</f>
        <v>12800</v>
      </c>
      <c r="N12" s="7">
        <v>7</v>
      </c>
      <c r="O12" s="7">
        <f>+TablaGeneral[[#This Row],[N° de Guías x planta]]*TablaGeneral[[#This Row],[N° de Yemas x Guias]]</f>
        <v>56</v>
      </c>
      <c r="P12" s="7">
        <v>0.7</v>
      </c>
      <c r="Q12" s="5">
        <f>+TablaGeneral[[#This Row],[N° de Yemas x Planta]]*TablaGeneral[[#This Row],[% de Brotación]]</f>
        <v>39.199999999999996</v>
      </c>
      <c r="R12" s="7">
        <v>0.89</v>
      </c>
      <c r="S12" s="7">
        <v>1.5</v>
      </c>
      <c r="T12" s="5">
        <f>+TablaGeneral[[#This Row],[N° de Brotes x Planta]]*TablaGeneral[[#This Row],[% de Fertilidad]]*TablaGeneral[[#This Row],[Cantidad de Racimos x Brote]]</f>
        <v>52.331999999999994</v>
      </c>
      <c r="U12" s="7">
        <v>0.35899999999999999</v>
      </c>
      <c r="V12" s="5">
        <f>+TablaGeneral[[#This Row],[Cantidad de Racimos x Planta]]*TablaGeneral[[#This Row],[Peso del Racimo]]</f>
        <v>18.787187999999997</v>
      </c>
      <c r="W12" s="5">
        <f>+TablaGeneral[[#This Row],[Plantas]]*TablaGeneral[[#This Row],[Kg x Planta]]</f>
        <v>126456.56242799998</v>
      </c>
      <c r="X12" s="5">
        <f>+TablaGeneral[[#This Row],[Kg x Cuartel]]/TablaGeneral[[#This Row],[Has]]</f>
        <v>30037.188225178143</v>
      </c>
      <c r="Y12" t="s">
        <v>41</v>
      </c>
      <c r="Z12" s="15">
        <v>110</v>
      </c>
      <c r="AA12" s="6">
        <f>+TablaGeneral[[#This Row],[Rendimiento Poda]]*1.5</f>
        <v>165</v>
      </c>
      <c r="AB12" s="6">
        <v>500</v>
      </c>
      <c r="AC12" s="6"/>
      <c r="AD12" s="6"/>
      <c r="AE12" s="6">
        <v>700</v>
      </c>
      <c r="AF12" s="6">
        <v>500</v>
      </c>
      <c r="AG12" s="9">
        <f>+IFERROR(TablaGeneral[[#This Row],[Plantas]]/TablaGeneral[[#This Row],[Rendimiento Poda]],0)</f>
        <v>61.190909090909088</v>
      </c>
      <c r="AH12" s="9">
        <f>+TablaGeneral[[#This Row],[Plantas]]/TablaGeneral[[#This Row],[Rendimiento Atada]]</f>
        <v>40.793939393939397</v>
      </c>
      <c r="AI12" s="9">
        <f>+IFERROR(TablaGeneral[[#This Row],[Plantas]]/TablaGeneral[[#This Row],[Rendimiento Desbrote de troncos]],0)</f>
        <v>13.462</v>
      </c>
      <c r="AJ12" s="9">
        <f>+IFERROR(TablaGeneral[[#This Row],[Plantas]]/TablaGeneral[[#This Row],[Rendimiento Acomodo de brotes ]],0)</f>
        <v>0</v>
      </c>
      <c r="AK12" s="9">
        <f>+IFERROR(TablaGeneral[[#This Row],[Plantas]]/TablaGeneral[[#This Row],[Rendimiento Desniete, deshoje ]],0)</f>
        <v>0</v>
      </c>
      <c r="AL12" s="9">
        <f>+IFERROR(TablaGeneral[[#This Row],[Plantas]]/TablaGeneral[[#This Row],[Rendimiento Desbrote con criterio de Poda]],0)</f>
        <v>9.6157142857142865</v>
      </c>
      <c r="AM12" s="9">
        <f>+IFERROR(TablaGeneral[[#This Row],[Plantas]]/TablaGeneral[[#This Row],[Rendimiento Raleo de Racimos]],0)</f>
        <v>13.462</v>
      </c>
      <c r="AN12" s="10">
        <f>+TablaGeneral[[#This Row],[Plantas]]/3366.9</f>
        <v>1.9991683744690962</v>
      </c>
      <c r="AO12" s="10">
        <f>+TablaGeneral[[#This Row],[Plantas]]/5179.85</f>
        <v>1.2994584785273704</v>
      </c>
      <c r="AP12" s="10">
        <f>+TablaGeneral[[#This Row],[Plantas]]/6899.38</f>
        <v>0.97559490852801267</v>
      </c>
      <c r="AQ12" s="13">
        <f>+TablaGeneral[[#This Row],[Plantas]]/2591.91</f>
        <v>2.5969265908152677</v>
      </c>
      <c r="AR12" s="13">
        <f>+TablaGeneral[[#This Row],[Plantas]]/1683.45</f>
        <v>3.9983367489381925</v>
      </c>
      <c r="AS12" s="10">
        <f>+TablaGeneral[[#This Row],[Plantas]]/1232.39</f>
        <v>5.4617450644682277</v>
      </c>
      <c r="AT12" s="13">
        <f>+TablaGeneral[[#This Row],[Plantas]]/216.3</f>
        <v>31.118816458622284</v>
      </c>
      <c r="AU12" s="13">
        <f>+TablaGeneral[[#This Row],[Plantas]]/2941.65</f>
        <v>2.288171604371696</v>
      </c>
      <c r="AV12" s="13">
        <f>+TablaGeneral[[#This Row],[Plantas]]/980.55</f>
        <v>6.8645148131150888</v>
      </c>
      <c r="AW12" s="13">
        <f>+TablaGeneral[[#This Row],[Plantas]]/9805</f>
        <v>0.68648648648648647</v>
      </c>
      <c r="AX12" s="13">
        <f>+TablaGeneral[[#This Row],[Plantas]]/460</f>
        <v>14.632608695652173</v>
      </c>
      <c r="AY12" s="13">
        <f>+TablaGeneral[[#This Row],[Plantas]]/1176.66</f>
        <v>5.7204290109292399</v>
      </c>
      <c r="AZ12" s="13"/>
      <c r="BA12" s="13"/>
      <c r="BB12" s="13">
        <f>+TablaGeneral[[#This Row],[Plantas]]/11766.6</f>
        <v>0.57204290109292399</v>
      </c>
      <c r="BC12" s="13">
        <f>+TablaGeneral[[#This Row],[Plantas]]/1897.32</f>
        <v>3.5476356123374022</v>
      </c>
      <c r="BD12" s="13">
        <f>+TablaGeneral[[#This Row],[Plantas]]/3565.64</f>
        <v>1.8877396484221627</v>
      </c>
      <c r="BE12" s="13">
        <f>+TablaGeneral[[#This Row],[Plantas]]/1176.7</f>
        <v>5.7202345542619186</v>
      </c>
      <c r="BF12" s="13">
        <f>+TablaGeneral[[#This Row],[Plantas]]/1568.88</f>
        <v>4.2903217581969297</v>
      </c>
      <c r="BG12" s="13">
        <f>+TablaGeneral[[#This Row],[Plantas]]/2941.65</f>
        <v>2.288171604371696</v>
      </c>
      <c r="BH12" s="13">
        <f>+TablaGeneral[[#This Row],[Plantas]]/1961.1</f>
        <v>3.4322574065575444</v>
      </c>
      <c r="BI12" s="13">
        <f>+TablaGeneral[[#This Row],[Plantas]]/2353.32</f>
        <v>2.86021450546462</v>
      </c>
      <c r="BJ12" s="13">
        <f>+TablaGeneral[[#This Row],[Plantas]]/1961.1</f>
        <v>3.4322574065575444</v>
      </c>
      <c r="BK12" s="13">
        <f>+TablaGeneral[[#This Row],[Plantas]]/3268</f>
        <v>2.0596695226438189</v>
      </c>
      <c r="BL12" s="13">
        <f>+TablaGeneral[[#This Row],[Plantas]]/525.295</f>
        <v>12.813752272532579</v>
      </c>
      <c r="BM12" s="13">
        <f>+TablaGeneral[[#This Row],[Plantas]]/653.7</f>
        <v>10.296772219672633</v>
      </c>
      <c r="BN12" s="17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542.08501086053639</v>
      </c>
      <c r="BO12" s="17">
        <f>+TablaGeneral[[#This Row],[Combustible]]/100</f>
        <v>5.4208501086053635</v>
      </c>
      <c r="BP12" s="17">
        <f>+TablaGeneral[[#This Row],[Combustible]]/150</f>
        <v>3.6139000724035757</v>
      </c>
      <c r="BQ12" s="17">
        <f>+TablaGeneral[[#This Row],[Combustible]]/200</f>
        <v>2.7104250543026818</v>
      </c>
      <c r="BR12" s="1">
        <f>+H12/2094.5</f>
        <v>3.2136548102172355</v>
      </c>
      <c r="BS12" s="1">
        <f>+H12/2094.5</f>
        <v>3.2136548102172355</v>
      </c>
      <c r="BT12" s="1">
        <f>+H12/523.625</f>
        <v>12.854619240868942</v>
      </c>
      <c r="BU12" s="1">
        <f>+H12/5236.25</f>
        <v>1.2854619240868943</v>
      </c>
      <c r="BV12" s="1">
        <f>+H12/1047.25</f>
        <v>6.4273096204344711</v>
      </c>
      <c r="BW12">
        <f t="shared" si="37"/>
        <v>4.9617054526422875</v>
      </c>
      <c r="BX12">
        <f t="shared" si="38"/>
        <v>4.0520609464641533</v>
      </c>
      <c r="BY12">
        <f t="shared" si="39"/>
        <v>8.0627579878920876</v>
      </c>
      <c r="BZ12">
        <f t="shared" si="40"/>
        <v>6.2021432454596557</v>
      </c>
      <c r="CA12">
        <f t="shared" si="41"/>
        <v>9.4697849003991355</v>
      </c>
      <c r="CB12">
        <f t="shared" si="42"/>
        <v>4.9617054526422875</v>
      </c>
      <c r="CC12">
        <f t="shared" si="43"/>
        <v>0.62021432454596548</v>
      </c>
      <c r="CD12">
        <f t="shared" si="44"/>
        <v>0.41347494640367094</v>
      </c>
      <c r="CF12">
        <f t="shared" si="45"/>
        <v>18.606361158564567</v>
      </c>
      <c r="CG12">
        <f t="shared" si="46"/>
        <v>3.8453188912501997</v>
      </c>
      <c r="CH12">
        <f t="shared" si="47"/>
        <v>3.638575058111249</v>
      </c>
      <c r="CI12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19.76348757230371</v>
      </c>
      <c r="CJ12" s="59">
        <f>+TablaGeneral[[#This Row],[Tracto elevador]]+TablaGeneral[[#This Row],[Tractor con uñas]]+TablaGeneral[[#This Row],[Tractor con acoplado]]</f>
        <v>22.495583671520649</v>
      </c>
      <c r="CK12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11.949429842229273</v>
      </c>
      <c r="CL12" s="60">
        <f>+SUM(BR12:BV12)+TablaGeneral[[#This Row],[Cosecha DOV]]+TablaGeneral[[#This Row],[Corte DOV]]</f>
        <v>26.99470040582478</v>
      </c>
      <c r="CM12" s="60">
        <f>+SUM(TablaGeneral[[#This Row],[Colocación de malla]:[Descarga y carga de bines con Autoelevador]])</f>
        <v>64.834102364375255</v>
      </c>
      <c r="CN12" s="59"/>
      <c r="CO12" s="59"/>
      <c r="CP12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12" t="str">
        <f>+TablaGeneral[[#This Row],[Variedad]]&amp;" "&amp;TablaGeneral[[#This Row],[Año de plantación]]</f>
        <v xml:space="preserve">Flame </v>
      </c>
      <c r="CR12" t="str">
        <f>+IF(TablaGeneral[[#This Row],[Finca]]="El Espejo I","El Espejo I y II",IF(TablaGeneral[[#This Row],[Finca]]="El Espejo II","El Espejo I y II",TablaGeneral[[#This Row],[Finca]]))</f>
        <v>Camino Truncado</v>
      </c>
    </row>
    <row r="13" spans="1:97">
      <c r="A13" t="s">
        <v>8</v>
      </c>
      <c r="B13">
        <v>8</v>
      </c>
      <c r="C13" s="1">
        <v>2.37</v>
      </c>
      <c r="D13" t="s">
        <v>7</v>
      </c>
      <c r="E13" s="2">
        <v>23000</v>
      </c>
      <c r="F13" s="2">
        <f>+TablaGeneral[[#This Row],[Has]]*TablaGeneral[[#This Row],[Kg x Has]]</f>
        <v>54510</v>
      </c>
      <c r="G13" s="2">
        <f>+TablaGeneral[[#This Row],[Kg 2026]]/4</f>
        <v>13627.5</v>
      </c>
      <c r="H13">
        <v>9796</v>
      </c>
      <c r="J13" t="s">
        <v>21</v>
      </c>
      <c r="K13" s="5">
        <f>10000/IF(LEN(TablaGeneral[[#This Row],[Marco de plantación]])&gt;3,(MID(TablaGeneral[[#This Row],[Marco de plantación]],1,3)*MID(TablaGeneral[[#This Row],[Marco de plantación]],5,3)),(3*2))</f>
        <v>4132.2314049586766</v>
      </c>
      <c r="L13" s="7">
        <v>5.5</v>
      </c>
      <c r="M13" s="5">
        <f>+TablaGeneral[[#This Row],[Plantas x Has]]*TablaGeneral[[#This Row],[N° de Guías x planta]]</f>
        <v>22727.272727272721</v>
      </c>
      <c r="N13" s="7">
        <v>6</v>
      </c>
      <c r="O13" s="7">
        <f>+TablaGeneral[[#This Row],[N° de Guías x planta]]*TablaGeneral[[#This Row],[N° de Yemas x Guias]]</f>
        <v>33</v>
      </c>
      <c r="P13" s="7">
        <v>0.6</v>
      </c>
      <c r="Q13" s="5">
        <f>+TablaGeneral[[#This Row],[N° de Yemas x Planta]]*TablaGeneral[[#This Row],[% de Brotación]]</f>
        <v>19.8</v>
      </c>
      <c r="R13" s="7">
        <v>0.625</v>
      </c>
      <c r="S13" s="7">
        <v>1.5</v>
      </c>
      <c r="T13" s="5">
        <f>+TablaGeneral[[#This Row],[N° de Brotes x Planta]]*TablaGeneral[[#This Row],[% de Fertilidad]]*TablaGeneral[[#This Row],[Cantidad de Racimos x Brote]]</f>
        <v>18.5625</v>
      </c>
      <c r="U13" s="7">
        <v>0.3</v>
      </c>
      <c r="V13" s="5">
        <f>+TablaGeneral[[#This Row],[Cantidad de Racimos x Planta]]*TablaGeneral[[#This Row],[Peso del Racimo]]</f>
        <v>5.5687499999999996</v>
      </c>
      <c r="W13" s="5">
        <f>+TablaGeneral[[#This Row],[Plantas]]*TablaGeneral[[#This Row],[Kg x Planta]]</f>
        <v>54551.474999999999</v>
      </c>
      <c r="X13" s="5">
        <f>+TablaGeneral[[#This Row],[Kg x Cuartel]]/TablaGeneral[[#This Row],[Has]]</f>
        <v>23017.5</v>
      </c>
      <c r="Y13" t="s">
        <v>41</v>
      </c>
      <c r="Z13" s="15">
        <v>200</v>
      </c>
      <c r="AA13" s="6">
        <f>+TablaGeneral[[#This Row],[Rendimiento Poda]]*1.5</f>
        <v>300</v>
      </c>
      <c r="AB13" s="6">
        <v>500</v>
      </c>
      <c r="AC13" s="6">
        <v>600</v>
      </c>
      <c r="AD13" s="6"/>
      <c r="AE13" s="6">
        <v>700</v>
      </c>
      <c r="AF13" s="6"/>
      <c r="AG13" s="9">
        <f>+IFERROR(TablaGeneral[[#This Row],[Plantas]]/TablaGeneral[[#This Row],[Rendimiento Poda]],0)</f>
        <v>48.98</v>
      </c>
      <c r="AH13" s="9">
        <f>+TablaGeneral[[#This Row],[Plantas]]/TablaGeneral[[#This Row],[Rendimiento Atada]]</f>
        <v>32.653333333333336</v>
      </c>
      <c r="AI13" s="9">
        <f>+IFERROR(TablaGeneral[[#This Row],[Plantas]]/TablaGeneral[[#This Row],[Rendimiento Desbrote de troncos]],0)</f>
        <v>19.591999999999999</v>
      </c>
      <c r="AJ13" s="9">
        <f>+IFERROR(TablaGeneral[[#This Row],[Plantas]]/TablaGeneral[[#This Row],[Rendimiento Acomodo de brotes ]],0)</f>
        <v>16.326666666666668</v>
      </c>
      <c r="AK13" s="9">
        <f>+IFERROR(TablaGeneral[[#This Row],[Plantas]]/TablaGeneral[[#This Row],[Rendimiento Desniete, deshoje ]],0)</f>
        <v>0</v>
      </c>
      <c r="AL13" s="9">
        <f>+IFERROR(TablaGeneral[[#This Row],[Plantas]]/TablaGeneral[[#This Row],[Rendimiento Desbrote con criterio de Poda]],0)</f>
        <v>13.994285714285715</v>
      </c>
      <c r="AM13" s="9">
        <f>+IFERROR(TablaGeneral[[#This Row],[Plantas]]/TablaGeneral[[#This Row],[Rendimiento Raleo de Racimos]],0)</f>
        <v>0</v>
      </c>
      <c r="AN13" s="10">
        <f>+TablaGeneral[[#This Row],[Plantas]]/4150</f>
        <v>2.3604819277108433</v>
      </c>
      <c r="AO13" s="10">
        <f>+TablaGeneral[[#This Row],[Plantas]]/6196.57</f>
        <v>1.5808745806147595</v>
      </c>
      <c r="AP13" s="10">
        <f>+TablaGeneral[[#This Row],[Plantas]]/8269.65</f>
        <v>1.1845725030684491</v>
      </c>
      <c r="AQ13" s="14">
        <f>+TablaGeneral[[#This Row],[Plantas]]/2069.3</f>
        <v>4.7339680085052915</v>
      </c>
      <c r="AR13" s="14">
        <f>+TablaGeneral[[#This Row],[Plantas]]/2056.14</f>
        <v>4.7642670246189462</v>
      </c>
      <c r="AS13" s="10">
        <f>+TablaGeneral[[#This Row],[Plantas]]/1721.27</f>
        <v>5.6911466533431714</v>
      </c>
      <c r="AT13" s="13">
        <f>+TablaGeneral[[#This Row],[Plantas]]/216.3</f>
        <v>45.288950531668974</v>
      </c>
      <c r="AU13" s="13">
        <f>+TablaGeneral[[#This Row],[Plantas]]/2941.65</f>
        <v>3.3301038532796219</v>
      </c>
      <c r="AV13" s="13">
        <f>+TablaGeneral[[#This Row],[Plantas]]/980.55</f>
        <v>9.990311559838867</v>
      </c>
      <c r="AW13" s="13">
        <f>+TablaGeneral[[#This Row],[Plantas]]/9805</f>
        <v>0.99908210096889338</v>
      </c>
      <c r="AX13" s="13">
        <f>+TablaGeneral[[#This Row],[Plantas]]/460</f>
        <v>21.295652173913044</v>
      </c>
      <c r="AY13" s="13">
        <f>+TablaGeneral[[#This Row],[Plantas]]/1176.66</f>
        <v>8.3252596331990549</v>
      </c>
      <c r="AZ13" s="13"/>
      <c r="BA13" s="13"/>
      <c r="BB13" s="13">
        <f>+TablaGeneral[[#This Row],[Plantas]]/11766.6</f>
        <v>0.83252596331990547</v>
      </c>
      <c r="BC13" s="13">
        <f>+TablaGeneral[[#This Row],[Plantas]]/1897.32</f>
        <v>5.1630721227837162</v>
      </c>
      <c r="BD13" s="13">
        <f>+TablaGeneral[[#This Row],[Plantas]]/3565.64</f>
        <v>2.7473328771272478</v>
      </c>
      <c r="BE13" s="13">
        <f>+TablaGeneral[[#This Row],[Plantas]]/1176.7</f>
        <v>8.3249766295572361</v>
      </c>
      <c r="BF13" s="13">
        <f>+TablaGeneral[[#This Row],[Plantas]]/1568.88</f>
        <v>6.2439447248992908</v>
      </c>
      <c r="BG13" s="13">
        <f>+TablaGeneral[[#This Row],[Plantas]]/2941.65</f>
        <v>3.3301038532796219</v>
      </c>
      <c r="BH13" s="13">
        <f>+TablaGeneral[[#This Row],[Plantas]]/1961.1</f>
        <v>4.9951557799194335</v>
      </c>
      <c r="BI13" s="13">
        <f>+TablaGeneral[[#This Row],[Plantas]]/2353.32</f>
        <v>4.1626298165995275</v>
      </c>
      <c r="BJ13" s="13">
        <f>+TablaGeneral[[#This Row],[Plantas]]/1961.1</f>
        <v>4.9951557799194335</v>
      </c>
      <c r="BK13" s="13">
        <f>+TablaGeneral[[#This Row],[Plantas]]/3268</f>
        <v>2.9975520195838432</v>
      </c>
      <c r="BL13" s="13">
        <f>+TablaGeneral[[#This Row],[Plantas]]/525.295</f>
        <v>18.648568899380351</v>
      </c>
      <c r="BM13" s="13">
        <f>+TablaGeneral[[#This Row],[Plantas]]/653.7</f>
        <v>14.985467339758298</v>
      </c>
      <c r="BN13" s="17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730.19201585025348</v>
      </c>
      <c r="BO13" s="17">
        <f>+TablaGeneral[[#This Row],[Combustible]]/100</f>
        <v>7.3019201585025346</v>
      </c>
      <c r="BP13" s="17">
        <f>+TablaGeneral[[#This Row],[Combustible]]/150</f>
        <v>4.8679467723350234</v>
      </c>
      <c r="BQ13" s="17">
        <f>+TablaGeneral[[#This Row],[Combustible]]/200</f>
        <v>3.6509600792512673</v>
      </c>
      <c r="BR13" s="1">
        <f>+H13/2261.75</f>
        <v>4.3311595003868684</v>
      </c>
      <c r="BS13" s="1">
        <f>+H13/2261.75</f>
        <v>4.3311595003868684</v>
      </c>
      <c r="BT13" s="1">
        <f>+H13/565.438</f>
        <v>17.324622681885547</v>
      </c>
      <c r="BU13" s="1">
        <f>+H13/5654.38</f>
        <v>1.7324622681885546</v>
      </c>
      <c r="BV13" s="1">
        <f>+H13/1130.88</f>
        <v>8.6622807017543852</v>
      </c>
      <c r="BW13">
        <f t="shared" si="37"/>
        <v>7.2210468896276696</v>
      </c>
      <c r="BX13">
        <f t="shared" si="38"/>
        <v>5.8971904667304784</v>
      </c>
      <c r="BY13">
        <f t="shared" si="39"/>
        <v>11.734181733678634</v>
      </c>
      <c r="BZ13">
        <f t="shared" si="40"/>
        <v>9.0263252462520853</v>
      </c>
      <c r="CA13">
        <f t="shared" si="41"/>
        <v>13.781906534587717</v>
      </c>
      <c r="CB13">
        <f t="shared" si="42"/>
        <v>7.2210468896276696</v>
      </c>
      <c r="CC13">
        <f t="shared" si="43"/>
        <v>0.90263252462520838</v>
      </c>
      <c r="CD13">
        <f t="shared" si="44"/>
        <v>0.60175316817268765</v>
      </c>
      <c r="CF13">
        <f t="shared" si="45"/>
        <v>27.078875933635192</v>
      </c>
      <c r="CG13">
        <f t="shared" si="46"/>
        <v>5.5963072141861474</v>
      </c>
      <c r="CH13">
        <f t="shared" si="47"/>
        <v>5.2954213741283311</v>
      </c>
      <c r="CI13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25.310466477780892</v>
      </c>
      <c r="CJ13" s="59">
        <f>+TablaGeneral[[#This Row],[Tracto elevador]]+TablaGeneral[[#This Row],[Tractor con uñas]]+TablaGeneral[[#This Row],[Tractor con acoplado]]</f>
        <v>30.318062884026801</v>
      </c>
      <c r="CK13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17.390672223217646</v>
      </c>
      <c r="CL13" s="60">
        <f>+SUM(BR13:BV13)+TablaGeneral[[#This Row],[Cosecha DOV]]+TablaGeneral[[#This Row],[Corte DOV]]</f>
        <v>36.381684652602225</v>
      </c>
      <c r="CM13" s="60">
        <f>+SUM(TablaGeneral[[#This Row],[Colocación de malla]:[Descarga y carga de bines con Autoelevador]])</f>
        <v>94.356687975251816</v>
      </c>
      <c r="CN13" s="59"/>
      <c r="CO13" s="59"/>
      <c r="CP13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13" t="str">
        <f>+TablaGeneral[[#This Row],[Variedad]]&amp;" "&amp;TablaGeneral[[#This Row],[Año de plantación]]</f>
        <v xml:space="preserve">Arizul </v>
      </c>
      <c r="CR13" t="str">
        <f>+IF(TablaGeneral[[#This Row],[Finca]]="El Espejo I","El Espejo I y II",IF(TablaGeneral[[#This Row],[Finca]]="El Espejo II","El Espejo I y II",TablaGeneral[[#This Row],[Finca]]))</f>
        <v>Camino Truncado</v>
      </c>
    </row>
    <row r="14" spans="1:97">
      <c r="A14" t="s">
        <v>8</v>
      </c>
      <c r="B14">
        <v>9</v>
      </c>
      <c r="C14" s="1">
        <v>2.73</v>
      </c>
      <c r="D14" t="s">
        <v>9</v>
      </c>
      <c r="E14" s="2">
        <v>15000</v>
      </c>
      <c r="F14" s="2">
        <f>+TablaGeneral[[#This Row],[Has]]*TablaGeneral[[#This Row],[Kg x Has]]</f>
        <v>40950</v>
      </c>
      <c r="G14" s="2">
        <f>+TablaGeneral[[#This Row],[Kg 2026]]/4</f>
        <v>10237.5</v>
      </c>
      <c r="H14">
        <v>4039</v>
      </c>
      <c r="J14" t="s">
        <v>22</v>
      </c>
      <c r="K14" s="5">
        <f>10000/IF(LEN(TablaGeneral[[#This Row],[Marco de plantación]])&gt;3,(MID(TablaGeneral[[#This Row],[Marco de plantación]],1,3)*MID(TablaGeneral[[#This Row],[Marco de plantación]],5,3)),(3*2))</f>
        <v>1479.2899408284022</v>
      </c>
      <c r="L14" s="7">
        <v>15</v>
      </c>
      <c r="M14" s="5">
        <f>+TablaGeneral[[#This Row],[Plantas x Has]]*TablaGeneral[[#This Row],[N° de Guías x planta]]</f>
        <v>22189.349112426033</v>
      </c>
      <c r="N14" s="7">
        <v>8</v>
      </c>
      <c r="O14" s="7">
        <f>+TablaGeneral[[#This Row],[N° de Guías x planta]]*TablaGeneral[[#This Row],[N° de Yemas x Guias]]</f>
        <v>120</v>
      </c>
      <c r="P14" s="7">
        <v>0.6</v>
      </c>
      <c r="Q14" s="5">
        <f>+TablaGeneral[[#This Row],[N° de Yemas x Planta]]*TablaGeneral[[#This Row],[% de Brotación]]</f>
        <v>72</v>
      </c>
      <c r="R14" s="7">
        <v>0.47</v>
      </c>
      <c r="S14" s="7">
        <v>1</v>
      </c>
      <c r="T14" s="5">
        <f>+TablaGeneral[[#This Row],[N° de Brotes x Planta]]*TablaGeneral[[#This Row],[% de Fertilidad]]*TablaGeneral[[#This Row],[Cantidad de Racimos x Brote]]</f>
        <v>33.839999999999996</v>
      </c>
      <c r="U14" s="7">
        <v>0.3</v>
      </c>
      <c r="V14" s="5">
        <f>+TablaGeneral[[#This Row],[Cantidad de Racimos x Planta]]*TablaGeneral[[#This Row],[Peso del Racimo]]</f>
        <v>10.151999999999999</v>
      </c>
      <c r="W14" s="5">
        <f>+TablaGeneral[[#This Row],[Plantas]]*TablaGeneral[[#This Row],[Kg x Planta]]</f>
        <v>41003.928</v>
      </c>
      <c r="X14" s="5">
        <f>+TablaGeneral[[#This Row],[Kg x Cuartel]]/TablaGeneral[[#This Row],[Has]]</f>
        <v>15019.753846153846</v>
      </c>
      <c r="Y14" t="s">
        <v>42</v>
      </c>
      <c r="Z14" s="15">
        <v>110</v>
      </c>
      <c r="AA14" s="6">
        <f>+TablaGeneral[[#This Row],[Rendimiento Poda]]*1.5</f>
        <v>165</v>
      </c>
      <c r="AB14" s="6">
        <v>500</v>
      </c>
      <c r="AC14" s="6"/>
      <c r="AD14" s="6"/>
      <c r="AE14" s="6">
        <v>700</v>
      </c>
      <c r="AF14" s="6"/>
      <c r="AG14" s="9">
        <f>+IFERROR(TablaGeneral[[#This Row],[Plantas]]/TablaGeneral[[#This Row],[Rendimiento Poda]],0)</f>
        <v>36.718181818181819</v>
      </c>
      <c r="AH14" s="9">
        <f>+TablaGeneral[[#This Row],[Plantas]]/TablaGeneral[[#This Row],[Rendimiento Atada]]</f>
        <v>24.47878787878788</v>
      </c>
      <c r="AI14" s="9">
        <f>+IFERROR(TablaGeneral[[#This Row],[Plantas]]/TablaGeneral[[#This Row],[Rendimiento Desbrote de troncos]],0)</f>
        <v>8.0779999999999994</v>
      </c>
      <c r="AJ14" s="9">
        <f>+IFERROR(TablaGeneral[[#This Row],[Plantas]]/TablaGeneral[[#This Row],[Rendimiento Acomodo de brotes ]],0)</f>
        <v>0</v>
      </c>
      <c r="AK14" s="9">
        <f>+IFERROR(TablaGeneral[[#This Row],[Plantas]]/TablaGeneral[[#This Row],[Rendimiento Desniete, deshoje ]],0)</f>
        <v>0</v>
      </c>
      <c r="AL14" s="9">
        <f>+IFERROR(TablaGeneral[[#This Row],[Plantas]]/TablaGeneral[[#This Row],[Rendimiento Desbrote con criterio de Poda]],0)</f>
        <v>5.77</v>
      </c>
      <c r="AM14" s="9">
        <f>+IFERROR(TablaGeneral[[#This Row],[Plantas]]/TablaGeneral[[#This Row],[Rendimiento Raleo de Racimos]],0)</f>
        <v>0</v>
      </c>
      <c r="AN14" s="10">
        <f>+TablaGeneral[[#This Row],[Plantas]]/2834.828</f>
        <v>1.4247777995702031</v>
      </c>
      <c r="AO14" s="10">
        <f>+TablaGeneral[[#This Row],[Plantas]]/4326.84</f>
        <v>0.93347570051122752</v>
      </c>
      <c r="AP14" s="10">
        <f>+TablaGeneral[[#This Row],[Plantas]]/5709.02</f>
        <v>0.70747694000021011</v>
      </c>
      <c r="AQ14" s="13">
        <f>+TablaGeneral[[#This Row],[Plantas]]/2135.32</f>
        <v>1.8915197722121273</v>
      </c>
      <c r="AR14" s="13">
        <f>+TablaGeneral[[#This Row],[Plantas]]/1370.17</f>
        <v>2.9478093959143754</v>
      </c>
      <c r="AS14" s="10">
        <f>+TablaGeneral[[#This Row],[Plantas]]/1191.44</f>
        <v>3.3900154434969445</v>
      </c>
      <c r="AT14" s="13">
        <f>+TablaGeneral[[#This Row],[Plantas]]/216.3</f>
        <v>18.673139158576049</v>
      </c>
      <c r="AU14" s="13">
        <f>+TablaGeneral[[#This Row],[Plantas]]/2941.65</f>
        <v>1.3730389407305423</v>
      </c>
      <c r="AV14" s="13">
        <f>+TablaGeneral[[#This Row],[Plantas]]/980.55</f>
        <v>4.1191168221916277</v>
      </c>
      <c r="AW14" s="13">
        <f>+TablaGeneral[[#This Row],[Plantas]]/9805</f>
        <v>0.41193268740438554</v>
      </c>
      <c r="AX14" s="13">
        <f>+TablaGeneral[[#This Row],[Plantas]]/460</f>
        <v>8.7804347826086957</v>
      </c>
      <c r="AY14" s="13">
        <f>+TablaGeneral[[#This Row],[Plantas]]/1176.66</f>
        <v>3.4325973518263555</v>
      </c>
      <c r="AZ14" s="13"/>
      <c r="BA14" s="13"/>
      <c r="BB14" s="13">
        <f>+TablaGeneral[[#This Row],[Plantas]]/11766.6</f>
        <v>0.34325973518263558</v>
      </c>
      <c r="BC14" s="13">
        <f>+TablaGeneral[[#This Row],[Plantas]]/1897.32</f>
        <v>2.1287921910905911</v>
      </c>
      <c r="BD14" s="13">
        <f>+TablaGeneral[[#This Row],[Plantas]]/3565.64</f>
        <v>1.1327559708775985</v>
      </c>
      <c r="BE14" s="13">
        <f>+TablaGeneral[[#This Row],[Plantas]]/1176.7</f>
        <v>3.4324806662700773</v>
      </c>
      <c r="BF14" s="13">
        <f>+TablaGeneral[[#This Row],[Plantas]]/1568.88</f>
        <v>2.574448013869767</v>
      </c>
      <c r="BG14" s="13">
        <f>+TablaGeneral[[#This Row],[Plantas]]/2941.65</f>
        <v>1.3730389407305423</v>
      </c>
      <c r="BH14" s="13">
        <f>+TablaGeneral[[#This Row],[Plantas]]/1961.1</f>
        <v>2.0595584110958138</v>
      </c>
      <c r="BI14" s="13">
        <f>+TablaGeneral[[#This Row],[Plantas]]/2353.32</f>
        <v>1.7162986759131778</v>
      </c>
      <c r="BJ14" s="13">
        <f>+TablaGeneral[[#This Row],[Plantas]]/1961.1</f>
        <v>2.0595584110958138</v>
      </c>
      <c r="BK14" s="13">
        <f>+TablaGeneral[[#This Row],[Plantas]]/3268</f>
        <v>1.2359241126070992</v>
      </c>
      <c r="BL14" s="13">
        <f>+TablaGeneral[[#This Row],[Plantas]]/525.295</f>
        <v>7.6890128404039642</v>
      </c>
      <c r="BM14" s="13">
        <f>+TablaGeneral[[#This Row],[Plantas]]/653.7</f>
        <v>6.1786752332874402</v>
      </c>
      <c r="BN14" s="17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340.23688518815743</v>
      </c>
      <c r="BO14" s="17">
        <f>+TablaGeneral[[#This Row],[Combustible]]/100</f>
        <v>3.4023688518815742</v>
      </c>
      <c r="BP14" s="17">
        <f>+TablaGeneral[[#This Row],[Combustible]]/150</f>
        <v>2.268245901254383</v>
      </c>
      <c r="BQ14" s="17">
        <f>+TablaGeneral[[#This Row],[Combustible]]/200</f>
        <v>1.7011844259407871</v>
      </c>
      <c r="BR14" s="1">
        <f>+H14/2094.5</f>
        <v>1.928383862497016</v>
      </c>
      <c r="BS14" s="1">
        <f>+H14/2094.5</f>
        <v>1.928383862497016</v>
      </c>
      <c r="BT14" s="1">
        <f>+H14/523.625</f>
        <v>7.713535449988064</v>
      </c>
      <c r="BU14" s="1">
        <f>+H14/5236.25</f>
        <v>0.77135354499880637</v>
      </c>
      <c r="BV14" s="1">
        <f>+H14/1047.25</f>
        <v>3.856767724994032</v>
      </c>
      <c r="BW14">
        <f t="shared" si="37"/>
        <v>2.9773181285428909</v>
      </c>
      <c r="BX14">
        <f t="shared" si="38"/>
        <v>2.4314773678158841</v>
      </c>
      <c r="BY14">
        <f t="shared" si="39"/>
        <v>4.83813393449653</v>
      </c>
      <c r="BZ14">
        <f t="shared" si="40"/>
        <v>3.7216545191519161</v>
      </c>
      <c r="CA14">
        <f t="shared" si="41"/>
        <v>5.6824336967333391</v>
      </c>
      <c r="CB14">
        <f t="shared" si="42"/>
        <v>2.9773181285428909</v>
      </c>
      <c r="CC14">
        <f t="shared" si="43"/>
        <v>0.37216545191519157</v>
      </c>
      <c r="CD14">
        <f t="shared" si="44"/>
        <v>0.24810953922514142</v>
      </c>
      <c r="CF14">
        <f t="shared" si="45"/>
        <v>11.164922406691767</v>
      </c>
      <c r="CG14">
        <f t="shared" si="46"/>
        <v>2.3074198487237494</v>
      </c>
      <c r="CH14">
        <f t="shared" si="47"/>
        <v>2.1833612627709607</v>
      </c>
      <c r="CI14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13.354633462800903</v>
      </c>
      <c r="CJ14" s="59">
        <f>+TablaGeneral[[#This Row],[Tracto elevador]]+TablaGeneral[[#This Row],[Tractor con uñas]]+TablaGeneral[[#This Row],[Tractor con acoplado]]</f>
        <v>13.498687037479112</v>
      </c>
      <c r="CK14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7.1703680185357346</v>
      </c>
      <c r="CL14" s="60">
        <f>+SUM(BR14:BV14)+TablaGeneral[[#This Row],[Cosecha DOV]]+TablaGeneral[[#This Row],[Corte DOV]]</f>
        <v>16.198424444974933</v>
      </c>
      <c r="CM14" s="60">
        <f>+SUM(TablaGeneral[[#This Row],[Colocación de malla]:[Descarga y carga de bines con Autoelevador]])</f>
        <v>38.904314284610258</v>
      </c>
      <c r="CN14" s="59"/>
      <c r="CO14" s="59"/>
      <c r="CP14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14" t="str">
        <f>+TablaGeneral[[#This Row],[Variedad]]&amp;" "&amp;TablaGeneral[[#This Row],[Año de plantación]]</f>
        <v xml:space="preserve">Sultanina </v>
      </c>
      <c r="CR14" t="str">
        <f>+IF(TablaGeneral[[#This Row],[Finca]]="El Espejo I","El Espejo I y II",IF(TablaGeneral[[#This Row],[Finca]]="El Espejo II","El Espejo I y II",TablaGeneral[[#This Row],[Finca]]))</f>
        <v>Camino Truncado</v>
      </c>
    </row>
    <row r="15" spans="1:97">
      <c r="A15" t="s">
        <v>8</v>
      </c>
      <c r="B15">
        <v>10</v>
      </c>
      <c r="C15" s="1">
        <v>1.9</v>
      </c>
      <c r="D15" t="s">
        <v>10</v>
      </c>
      <c r="E15" s="2">
        <v>45000</v>
      </c>
      <c r="F15" s="2">
        <f>+TablaGeneral[[#This Row],[Has]]*TablaGeneral[[#This Row],[Kg x Has]]</f>
        <v>85500</v>
      </c>
      <c r="G15" s="2">
        <f>+TablaGeneral[[#This Row],[Kg 2026]]/4</f>
        <v>21375</v>
      </c>
      <c r="H15">
        <v>3171</v>
      </c>
      <c r="J15" t="s">
        <v>23</v>
      </c>
      <c r="K15" s="5">
        <f>10000/IF(LEN(TablaGeneral[[#This Row],[Marco de plantación]])&gt;3,(MID(TablaGeneral[[#This Row],[Marco de plantación]],1,3)*MID(TablaGeneral[[#This Row],[Marco de plantación]],5,3)),(3*2))</f>
        <v>1666.6666666666667</v>
      </c>
      <c r="L15" s="7">
        <v>16</v>
      </c>
      <c r="M15" s="5">
        <f>+TablaGeneral[[#This Row],[Plantas x Has]]*TablaGeneral[[#This Row],[N° de Guías x planta]]</f>
        <v>26666.666666666668</v>
      </c>
      <c r="N15" s="7">
        <v>9</v>
      </c>
      <c r="O15" s="7">
        <f>+TablaGeneral[[#This Row],[N° de Guías x planta]]*TablaGeneral[[#This Row],[N° de Yemas x Guias]]</f>
        <v>144</v>
      </c>
      <c r="P15" s="7">
        <v>0.6</v>
      </c>
      <c r="Q15" s="5">
        <f>+TablaGeneral[[#This Row],[N° de Yemas x Planta]]*TablaGeneral[[#This Row],[% de Brotación]]</f>
        <v>86.399999999999991</v>
      </c>
      <c r="R15" s="7">
        <v>0.9</v>
      </c>
      <c r="S15" s="7">
        <v>1</v>
      </c>
      <c r="T15" s="5">
        <f>+TablaGeneral[[#This Row],[N° de Brotes x Planta]]*TablaGeneral[[#This Row],[% de Fertilidad]]*TablaGeneral[[#This Row],[Cantidad de Racimos x Brote]]</f>
        <v>77.759999999999991</v>
      </c>
      <c r="U15" s="7">
        <v>0.3468</v>
      </c>
      <c r="V15" s="5">
        <f>+TablaGeneral[[#This Row],[Cantidad de Racimos x Planta]]*TablaGeneral[[#This Row],[Peso del Racimo]]</f>
        <v>26.967167999999997</v>
      </c>
      <c r="W15" s="5">
        <f>+TablaGeneral[[#This Row],[Plantas]]*TablaGeneral[[#This Row],[Kg x Planta]]</f>
        <v>85512.889727999995</v>
      </c>
      <c r="X15" s="5">
        <f>+TablaGeneral[[#This Row],[Kg x Cuartel]]/TablaGeneral[[#This Row],[Has]]</f>
        <v>45006.784067368419</v>
      </c>
      <c r="Y15" t="s">
        <v>42</v>
      </c>
      <c r="Z15" s="6">
        <v>100</v>
      </c>
      <c r="AA15" s="6">
        <f>+TablaGeneral[[#This Row],[Rendimiento Poda]]*1.5</f>
        <v>150</v>
      </c>
      <c r="AB15" s="6">
        <v>500</v>
      </c>
      <c r="AC15" s="6">
        <v>600</v>
      </c>
      <c r="AD15" s="6">
        <v>200</v>
      </c>
      <c r="AE15" s="6">
        <v>700</v>
      </c>
      <c r="AF15" s="6">
        <v>500</v>
      </c>
      <c r="AG15" s="9">
        <f>+IFERROR(TablaGeneral[[#This Row],[Plantas]]/TablaGeneral[[#This Row],[Rendimiento Poda]],0)</f>
        <v>31.71</v>
      </c>
      <c r="AH15" s="9">
        <f>+TablaGeneral[[#This Row],[Plantas]]/TablaGeneral[[#This Row],[Rendimiento Atada]]</f>
        <v>21.14</v>
      </c>
      <c r="AI15" s="9">
        <f>+IFERROR(TablaGeneral[[#This Row],[Plantas]]/TablaGeneral[[#This Row],[Rendimiento Desbrote de troncos]],0)</f>
        <v>6.3419999999999996</v>
      </c>
      <c r="AJ15" s="9">
        <f>+IFERROR(TablaGeneral[[#This Row],[Plantas]]/TablaGeneral[[#This Row],[Rendimiento Acomodo de brotes ]],0)</f>
        <v>5.2850000000000001</v>
      </c>
      <c r="AK15" s="9">
        <f>+IFERROR(TablaGeneral[[#This Row],[Plantas]]/TablaGeneral[[#This Row],[Rendimiento Desniete, deshoje ]],0)</f>
        <v>15.855</v>
      </c>
      <c r="AL15" s="9">
        <f>+IFERROR(TablaGeneral[[#This Row],[Plantas]]/TablaGeneral[[#This Row],[Rendimiento Desbrote con criterio de Poda]],0)</f>
        <v>4.53</v>
      </c>
      <c r="AM15" s="9">
        <f>+IFERROR(TablaGeneral[[#This Row],[Plantas]]/TablaGeneral[[#This Row],[Rendimiento Raleo de Racimos]],0)</f>
        <v>6.3419999999999996</v>
      </c>
      <c r="AN15" s="10">
        <f>+TablaGeneral[[#This Row],[Plantas]]/3347.215</f>
        <v>0.94735474118035434</v>
      </c>
      <c r="AO15" s="10">
        <f>+TablaGeneral[[#This Row],[Plantas]]/4989.25</f>
        <v>0.63556646790599791</v>
      </c>
      <c r="AP15" s="10">
        <f>+TablaGeneral[[#This Row],[Plantas]]/6677.52</f>
        <v>0.47487690040613878</v>
      </c>
      <c r="AQ15" s="13">
        <f>+TablaGeneral[[#This Row],[Plantas]]/5008.14</f>
        <v>0.63316920054151837</v>
      </c>
      <c r="AR15" s="13">
        <f>+TablaGeneral[[#This Row],[Plantas]]/1652.69</f>
        <v>1.9186901354761026</v>
      </c>
      <c r="AS15" s="10">
        <f>+TablaGeneral[[#This Row],[Plantas]]/1391.73</f>
        <v>2.2784591838934274</v>
      </c>
      <c r="AT15" s="13">
        <f>+TablaGeneral[[#This Row],[Plantas]]/216.3</f>
        <v>14.660194174757281</v>
      </c>
      <c r="AU15" s="13">
        <f>+TablaGeneral[[#This Row],[Plantas]]/2941.65</f>
        <v>1.0779664474019683</v>
      </c>
      <c r="AV15" s="13">
        <f>+TablaGeneral[[#This Row],[Plantas]]/980.55</f>
        <v>3.233899342205905</v>
      </c>
      <c r="AW15" s="13">
        <f>+TablaGeneral[[#This Row],[Plantas]]/9805</f>
        <v>0.32340642529321773</v>
      </c>
      <c r="AX15" s="13">
        <f>+TablaGeneral[[#This Row],[Plantas]]/460</f>
        <v>6.8934782608695651</v>
      </c>
      <c r="AY15" s="13">
        <f>+TablaGeneral[[#This Row],[Plantas]]/1176.66</f>
        <v>2.6949161185049206</v>
      </c>
      <c r="AZ15" s="13"/>
      <c r="BA15" s="13"/>
      <c r="BB15" s="13">
        <f>+TablaGeneral[[#This Row],[Plantas]]/11766.6</f>
        <v>0.26949161185049209</v>
      </c>
      <c r="BC15" s="13">
        <f>+TablaGeneral[[#This Row],[Plantas]]/1897.32</f>
        <v>1.6713047878059579</v>
      </c>
      <c r="BD15" s="13">
        <f>+TablaGeneral[[#This Row],[Plantas]]/3565.64</f>
        <v>0.88932141214480431</v>
      </c>
      <c r="BE15" s="13">
        <f>+TablaGeneral[[#This Row],[Plantas]]/1176.7</f>
        <v>2.6948245092207017</v>
      </c>
      <c r="BF15" s="13">
        <f>+TablaGeneral[[#This Row],[Plantas]]/1568.88</f>
        <v>2.0211870888786905</v>
      </c>
      <c r="BG15" s="13">
        <f>+TablaGeneral[[#This Row],[Plantas]]/2941.65</f>
        <v>1.0779664474019683</v>
      </c>
      <c r="BH15" s="13">
        <f>+TablaGeneral[[#This Row],[Plantas]]/1961.1</f>
        <v>1.6169496711029525</v>
      </c>
      <c r="BI15" s="13">
        <f>+TablaGeneral[[#This Row],[Plantas]]/2353.32</f>
        <v>1.3474580592524603</v>
      </c>
      <c r="BJ15" s="13">
        <f>+TablaGeneral[[#This Row],[Plantas]]/1961.1</f>
        <v>1.6169496711029525</v>
      </c>
      <c r="BK15" s="13">
        <f>+TablaGeneral[[#This Row],[Plantas]]/3268</f>
        <v>0.9703182374541004</v>
      </c>
      <c r="BL15" s="13">
        <f>+TablaGeneral[[#This Row],[Plantas]]/525.295</f>
        <v>6.0366080012183634</v>
      </c>
      <c r="BM15" s="13">
        <f>+TablaGeneral[[#This Row],[Plantas]]/653.7</f>
        <v>4.8508490133088573</v>
      </c>
      <c r="BN15" s="17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214.0242358618425</v>
      </c>
      <c r="BO15" s="17">
        <f>+TablaGeneral[[#This Row],[Combustible]]/100</f>
        <v>2.1402423586184249</v>
      </c>
      <c r="BP15" s="17">
        <f>+TablaGeneral[[#This Row],[Combustible]]/150</f>
        <v>1.42682823907895</v>
      </c>
      <c r="BQ15" s="17">
        <f>+TablaGeneral[[#This Row],[Combustible]]/200</f>
        <v>1.0701211793092125</v>
      </c>
      <c r="BR15" s="1">
        <f>+H15/3054.1</f>
        <v>1.0382764153105661</v>
      </c>
      <c r="BS15" s="1">
        <f>+H15/3054.1</f>
        <v>1.0382764153105661</v>
      </c>
      <c r="BT15" s="1">
        <f>+H15/763.525</f>
        <v>4.1531056612422645</v>
      </c>
      <c r="BU15" s="1">
        <f>+H15/15270.5</f>
        <v>0.20765528306211323</v>
      </c>
      <c r="BV15" s="1">
        <f>+H15/1527.05</f>
        <v>2.0765528306211323</v>
      </c>
      <c r="BW15">
        <f t="shared" si="37"/>
        <v>2.3374785307277808</v>
      </c>
      <c r="BX15">
        <f t="shared" si="38"/>
        <v>1.9089415036752089</v>
      </c>
      <c r="BY15">
        <f t="shared" si="39"/>
        <v>3.7983963125250053</v>
      </c>
      <c r="BZ15">
        <f t="shared" si="40"/>
        <v>2.9218535479650227</v>
      </c>
      <c r="CA15">
        <f t="shared" si="41"/>
        <v>4.4612521050610097</v>
      </c>
      <c r="CB15">
        <f t="shared" si="42"/>
        <v>2.3374785307277808</v>
      </c>
      <c r="CC15">
        <f t="shared" si="43"/>
        <v>0.29218535479650221</v>
      </c>
      <c r="CD15">
        <f t="shared" si="44"/>
        <v>0.19478963824781467</v>
      </c>
      <c r="CF15">
        <f t="shared" si="45"/>
        <v>8.7655283366228254</v>
      </c>
      <c r="CG15">
        <f t="shared" si="46"/>
        <v>1.8115445259477616</v>
      </c>
      <c r="CH15">
        <f t="shared" si="47"/>
        <v>1.7141467106330071</v>
      </c>
      <c r="CI15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8.5050663005064919</v>
      </c>
      <c r="CJ15" s="59">
        <f>+TablaGeneral[[#This Row],[Tracto elevador]]+TablaGeneral[[#This Row],[Tractor con uñas]]+TablaGeneral[[#This Row],[Tractor con acoplado]]</f>
        <v>7.267934907173963</v>
      </c>
      <c r="CK15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5.6294223785037918</v>
      </c>
      <c r="CL15" s="60">
        <f>+SUM(BR15:BV15)+TablaGeneral[[#This Row],[Cosecha DOV]]+TablaGeneral[[#This Row],[Corte DOV]]</f>
        <v>8.5138666055466423</v>
      </c>
      <c r="CM15" s="60">
        <f>+SUM(TablaGeneral[[#This Row],[Colocación de malla]:[Descarga y carga de bines con Autoelevador]])</f>
        <v>30.543595096929721</v>
      </c>
      <c r="CN15" s="59"/>
      <c r="CO15" s="59"/>
      <c r="CP15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15" t="str">
        <f>+TablaGeneral[[#This Row],[Variedad]]&amp;" "&amp;TablaGeneral[[#This Row],[Año de plantación]]</f>
        <v xml:space="preserve">Fiesta </v>
      </c>
      <c r="CR15" t="str">
        <f>+IF(TablaGeneral[[#This Row],[Finca]]="El Espejo I","El Espejo I y II",IF(TablaGeneral[[#This Row],[Finca]]="El Espejo II","El Espejo I y II",TablaGeneral[[#This Row],[Finca]]))</f>
        <v>Camino Truncado</v>
      </c>
    </row>
    <row r="16" spans="1:97">
      <c r="A16" t="s">
        <v>8</v>
      </c>
      <c r="B16">
        <v>11</v>
      </c>
      <c r="C16" s="1">
        <v>2.58</v>
      </c>
      <c r="D16" t="s">
        <v>10</v>
      </c>
      <c r="E16" s="2">
        <v>38000</v>
      </c>
      <c r="F16" s="2">
        <f>+TablaGeneral[[#This Row],[Has]]*TablaGeneral[[#This Row],[Kg x Has]]</f>
        <v>98040</v>
      </c>
      <c r="G16" s="2">
        <f>+TablaGeneral[[#This Row],[Kg 2026]]/4</f>
        <v>24510</v>
      </c>
      <c r="H16">
        <v>5332</v>
      </c>
      <c r="J16" t="s">
        <v>19</v>
      </c>
      <c r="K16" s="5">
        <f>10000/IF(LEN(TablaGeneral[[#This Row],[Marco de plantación]])&gt;3,(MID(TablaGeneral[[#This Row],[Marco de plantación]],1,3)*MID(TablaGeneral[[#This Row],[Marco de plantación]],5,3)),(3*2))</f>
        <v>2066.1157024793383</v>
      </c>
      <c r="L16" s="7">
        <v>9</v>
      </c>
      <c r="M16" s="5">
        <f>+TablaGeneral[[#This Row],[Plantas x Has]]*TablaGeneral[[#This Row],[N° de Guías x planta]]</f>
        <v>18595.041322314046</v>
      </c>
      <c r="N16" s="7">
        <v>7</v>
      </c>
      <c r="O16" s="7">
        <f>+TablaGeneral[[#This Row],[N° de Guías x planta]]*TablaGeneral[[#This Row],[N° de Yemas x Guias]]</f>
        <v>63</v>
      </c>
      <c r="P16" s="7">
        <v>0.8</v>
      </c>
      <c r="Q16" s="5">
        <f>+TablaGeneral[[#This Row],[N° de Yemas x Planta]]*TablaGeneral[[#This Row],[% de Brotación]]</f>
        <v>50.400000000000006</v>
      </c>
      <c r="R16" s="7">
        <v>0.75</v>
      </c>
      <c r="S16" s="7">
        <v>1.5</v>
      </c>
      <c r="T16" s="5">
        <f>+TablaGeneral[[#This Row],[N° de Brotes x Planta]]*TablaGeneral[[#This Row],[% de Fertilidad]]*TablaGeneral[[#This Row],[Cantidad de Racimos x Brote]]</f>
        <v>56.7</v>
      </c>
      <c r="U16" s="7">
        <v>0.32500000000000001</v>
      </c>
      <c r="V16" s="5">
        <f>+TablaGeneral[[#This Row],[Cantidad de Racimos x Planta]]*TablaGeneral[[#This Row],[Peso del Racimo]]</f>
        <v>18.427500000000002</v>
      </c>
      <c r="W16" s="5">
        <f>+TablaGeneral[[#This Row],[Plantas]]*TablaGeneral[[#This Row],[Kg x Planta]]</f>
        <v>98255.430000000008</v>
      </c>
      <c r="X16" s="5">
        <f>+TablaGeneral[[#This Row],[Kg x Cuartel]]/TablaGeneral[[#This Row],[Has]]</f>
        <v>38083.5</v>
      </c>
      <c r="Y16" t="s">
        <v>41</v>
      </c>
      <c r="Z16" s="6">
        <v>150</v>
      </c>
      <c r="AA16" s="6">
        <f>+TablaGeneral[[#This Row],[Rendimiento Poda]]*1.5</f>
        <v>225</v>
      </c>
      <c r="AB16" s="6">
        <v>500</v>
      </c>
      <c r="AC16" s="6">
        <v>600</v>
      </c>
      <c r="AD16" s="6"/>
      <c r="AE16" s="6">
        <v>700</v>
      </c>
      <c r="AF16" s="6"/>
      <c r="AG16" s="9">
        <f>+IFERROR(TablaGeneral[[#This Row],[Plantas]]/TablaGeneral[[#This Row],[Rendimiento Poda]],0)</f>
        <v>35.546666666666667</v>
      </c>
      <c r="AH16" s="9">
        <f>+TablaGeneral[[#This Row],[Plantas]]/TablaGeneral[[#This Row],[Rendimiento Atada]]</f>
        <v>23.697777777777777</v>
      </c>
      <c r="AI16" s="9">
        <f>+IFERROR(TablaGeneral[[#This Row],[Plantas]]/TablaGeneral[[#This Row],[Rendimiento Desbrote de troncos]],0)</f>
        <v>10.664</v>
      </c>
      <c r="AJ16" s="9">
        <f>+IFERROR(TablaGeneral[[#This Row],[Plantas]]/TablaGeneral[[#This Row],[Rendimiento Acomodo de brotes ]],0)</f>
        <v>8.8866666666666667</v>
      </c>
      <c r="AK16" s="9">
        <f>+IFERROR(TablaGeneral[[#This Row],[Plantas]]/TablaGeneral[[#This Row],[Rendimiento Desniete, deshoje ]],0)</f>
        <v>0</v>
      </c>
      <c r="AL16" s="9">
        <f>+IFERROR(TablaGeneral[[#This Row],[Plantas]]/TablaGeneral[[#This Row],[Rendimiento Desbrote con criterio de Poda]],0)</f>
        <v>7.6171428571428574</v>
      </c>
      <c r="AM16" s="9">
        <f>+IFERROR(TablaGeneral[[#This Row],[Plantas]]/TablaGeneral[[#This Row],[Rendimiento Raleo de Racimos]],0)</f>
        <v>0</v>
      </c>
      <c r="AN16" s="10">
        <f>+TablaGeneral[[#This Row],[Plantas]]/3347.215</f>
        <v>1.592966092706922</v>
      </c>
      <c r="AO16" s="10">
        <f>+TablaGeneral[[#This Row],[Plantas]]/4989.25</f>
        <v>1.0686977000551185</v>
      </c>
      <c r="AP16" s="10">
        <f>+TablaGeneral[[#This Row],[Plantas]]/6677.52</f>
        <v>0.79850004193173507</v>
      </c>
      <c r="AQ16" s="13">
        <f>+TablaGeneral[[#This Row],[Plantas]]/5008.14</f>
        <v>1.0646667225756468</v>
      </c>
      <c r="AR16" s="13">
        <f>+TablaGeneral[[#This Row],[Plantas]]/1652.69</f>
        <v>3.2262553775965244</v>
      </c>
      <c r="AS16" s="10">
        <f>+TablaGeneral[[#This Row],[Plantas]]/1391.73</f>
        <v>3.831202891365423</v>
      </c>
      <c r="AT16" s="13">
        <f>+TablaGeneral[[#This Row],[Plantas]]/216.3</f>
        <v>24.650947757743872</v>
      </c>
      <c r="AU16" s="13">
        <f>+TablaGeneral[[#This Row],[Plantas]]/2941.65</f>
        <v>1.812588173304098</v>
      </c>
      <c r="AV16" s="13">
        <f>+TablaGeneral[[#This Row],[Plantas]]/980.55</f>
        <v>5.4377645199122941</v>
      </c>
      <c r="AW16" s="13">
        <f>+TablaGeneral[[#This Row],[Plantas]]/9805</f>
        <v>0.54380418154003063</v>
      </c>
      <c r="AX16" s="13">
        <f>+TablaGeneral[[#This Row],[Plantas]]/460</f>
        <v>11.591304347826087</v>
      </c>
      <c r="AY16" s="13">
        <f>+TablaGeneral[[#This Row],[Plantas]]/1176.66</f>
        <v>4.5314704332602451</v>
      </c>
      <c r="AZ16" s="13"/>
      <c r="BA16" s="13"/>
      <c r="BB16" s="13">
        <f>+TablaGeneral[[#This Row],[Plantas]]/11766.6</f>
        <v>0.45314704332602451</v>
      </c>
      <c r="BC16" s="13">
        <f>+TablaGeneral[[#This Row],[Plantas]]/1897.32</f>
        <v>2.8102797630341745</v>
      </c>
      <c r="BD16" s="13">
        <f>+TablaGeneral[[#This Row],[Plantas]]/3565.64</f>
        <v>1.4953837179300211</v>
      </c>
      <c r="BE16" s="13">
        <f>+TablaGeneral[[#This Row],[Plantas]]/1176.7</f>
        <v>4.5313163933033058</v>
      </c>
      <c r="BF16" s="13">
        <f>+TablaGeneral[[#This Row],[Plantas]]/1568.88</f>
        <v>3.3986028249451836</v>
      </c>
      <c r="BG16" s="13">
        <f>+TablaGeneral[[#This Row],[Plantas]]/2941.65</f>
        <v>1.812588173304098</v>
      </c>
      <c r="BH16" s="13">
        <f>+TablaGeneral[[#This Row],[Plantas]]/1961.1</f>
        <v>2.7188822599561471</v>
      </c>
      <c r="BI16" s="13">
        <f>+TablaGeneral[[#This Row],[Plantas]]/2353.32</f>
        <v>2.2657352166301226</v>
      </c>
      <c r="BJ16" s="13">
        <f>+TablaGeneral[[#This Row],[Plantas]]/1961.1</f>
        <v>2.7188822599561471</v>
      </c>
      <c r="BK16" s="13">
        <f>+TablaGeneral[[#This Row],[Plantas]]/3268</f>
        <v>1.631578947368421</v>
      </c>
      <c r="BL16" s="13">
        <f>+TablaGeneral[[#This Row],[Plantas]]/525.295</f>
        <v>10.150486869282975</v>
      </c>
      <c r="BM16" s="13">
        <f>+TablaGeneral[[#This Row],[Plantas]]/653.7</f>
        <v>8.1566467798684403</v>
      </c>
      <c r="BN16" s="17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359.8792890619186</v>
      </c>
      <c r="BO16" s="17">
        <f>+TablaGeneral[[#This Row],[Combustible]]/100</f>
        <v>3.5987928906191859</v>
      </c>
      <c r="BP16" s="17">
        <f>+TablaGeneral[[#This Row],[Combustible]]/150</f>
        <v>2.3991952604127906</v>
      </c>
      <c r="BQ16" s="17">
        <f>+TablaGeneral[[#This Row],[Combustible]]/200</f>
        <v>1.799396445309593</v>
      </c>
      <c r="BR16" s="1">
        <f>+H16/3054.1</f>
        <v>1.7458498411970793</v>
      </c>
      <c r="BS16" s="1">
        <f>+H16/3054.1</f>
        <v>1.7458498411970793</v>
      </c>
      <c r="BT16" s="1">
        <f>+H16/763.525</f>
        <v>6.9833993647883172</v>
      </c>
      <c r="BU16" s="1">
        <f>+H16/15270.5</f>
        <v>0.34916996823941587</v>
      </c>
      <c r="BV16" s="1">
        <f>+H16/1527.05</f>
        <v>3.4916996823941586</v>
      </c>
      <c r="BW16">
        <f t="shared" si="37"/>
        <v>3.9304432437213901</v>
      </c>
      <c r="BX16">
        <f t="shared" si="38"/>
        <v>3.2098631654355767</v>
      </c>
      <c r="BY16">
        <f t="shared" si="39"/>
        <v>6.3869596778250797</v>
      </c>
      <c r="BZ16">
        <f t="shared" si="40"/>
        <v>4.9130631087194896</v>
      </c>
      <c r="CA16">
        <f t="shared" si="41"/>
        <v>7.501544063130023</v>
      </c>
      <c r="CB16">
        <f t="shared" si="42"/>
        <v>3.9304432437213901</v>
      </c>
      <c r="CC16">
        <f t="shared" si="43"/>
        <v>0.49130631087194887</v>
      </c>
      <c r="CD16">
        <f t="shared" si="44"/>
        <v>0.3275365345750072</v>
      </c>
      <c r="CF16">
        <f t="shared" si="45"/>
        <v>14.739135001852068</v>
      </c>
      <c r="CG16">
        <f t="shared" si="46"/>
        <v>3.0460912684810677</v>
      </c>
      <c r="CH16">
        <f t="shared" si="47"/>
        <v>2.8823179631331421</v>
      </c>
      <c r="CI16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14.301171086187519</v>
      </c>
      <c r="CJ16" s="59">
        <f>+TablaGeneral[[#This Row],[Tracto elevador]]+TablaGeneral[[#This Row],[Tractor con uñas]]+TablaGeneral[[#This Row],[Tractor con acoplado]]</f>
        <v>12.220948888379557</v>
      </c>
      <c r="CK16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9.4658089316247942</v>
      </c>
      <c r="CL16" s="60">
        <f>+SUM(BR16:BV16)+TablaGeneral[[#This Row],[Cosecha DOV]]+TablaGeneral[[#This Row],[Corte DOV]]</f>
        <v>14.31596869781605</v>
      </c>
      <c r="CM16" s="60">
        <f>+SUM(TablaGeneral[[#This Row],[Colocación de malla]:[Descarga y carga de bines con Autoelevador]])</f>
        <v>51.35870358146618</v>
      </c>
      <c r="CN16" s="59"/>
      <c r="CO16" s="59"/>
      <c r="CP16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16" t="str">
        <f>+TablaGeneral[[#This Row],[Variedad]]&amp;" "&amp;TablaGeneral[[#This Row],[Año de plantación]]</f>
        <v xml:space="preserve">Fiesta </v>
      </c>
      <c r="CR16" t="str">
        <f>+IF(TablaGeneral[[#This Row],[Finca]]="El Espejo I","El Espejo I y II",IF(TablaGeneral[[#This Row],[Finca]]="El Espejo II","El Espejo I y II",TablaGeneral[[#This Row],[Finca]]))</f>
        <v>Camino Truncado</v>
      </c>
    </row>
    <row r="17" spans="1:96">
      <c r="A17" t="s">
        <v>8</v>
      </c>
      <c r="B17">
        <v>12</v>
      </c>
      <c r="C17" s="1">
        <v>2.54</v>
      </c>
      <c r="D17" t="s">
        <v>7</v>
      </c>
      <c r="E17" s="2">
        <v>40000</v>
      </c>
      <c r="F17" s="2">
        <f>+TablaGeneral[[#This Row],[Has]]*TablaGeneral[[#This Row],[Kg x Has]]</f>
        <v>101600</v>
      </c>
      <c r="G17" s="2">
        <f>+TablaGeneral[[#This Row],[Kg 2026]]/4</f>
        <v>25400</v>
      </c>
      <c r="H17">
        <v>5244</v>
      </c>
      <c r="J17" t="s">
        <v>19</v>
      </c>
      <c r="K17" s="5">
        <f>10000/IF(LEN(TablaGeneral[[#This Row],[Marco de plantación]])&gt;3,(MID(TablaGeneral[[#This Row],[Marco de plantación]],1,3)*MID(TablaGeneral[[#This Row],[Marco de plantación]],5,3)),(3*2))</f>
        <v>2066.1157024793383</v>
      </c>
      <c r="L17" s="7">
        <v>9</v>
      </c>
      <c r="M17" s="5">
        <f>+TablaGeneral[[#This Row],[Plantas x Has]]*TablaGeneral[[#This Row],[N° de Guías x planta]]</f>
        <v>18595.041322314046</v>
      </c>
      <c r="N17" s="7">
        <v>7</v>
      </c>
      <c r="O17" s="7">
        <f>+TablaGeneral[[#This Row],[N° de Guías x planta]]*TablaGeneral[[#This Row],[N° de Yemas x Guias]]</f>
        <v>63</v>
      </c>
      <c r="P17" s="7">
        <v>0.75</v>
      </c>
      <c r="Q17" s="5">
        <f>+TablaGeneral[[#This Row],[N° de Yemas x Planta]]*TablaGeneral[[#This Row],[% de Brotación]]</f>
        <v>47.25</v>
      </c>
      <c r="R17" s="7">
        <v>0.8</v>
      </c>
      <c r="S17" s="7">
        <v>1.5</v>
      </c>
      <c r="T17" s="5">
        <f>+TablaGeneral[[#This Row],[N° de Brotes x Planta]]*TablaGeneral[[#This Row],[% de Fertilidad]]*TablaGeneral[[#This Row],[Cantidad de Racimos x Brote]]</f>
        <v>56.7</v>
      </c>
      <c r="U17" s="7">
        <v>0.34250000000000003</v>
      </c>
      <c r="V17" s="5">
        <f>+TablaGeneral[[#This Row],[Cantidad de Racimos x Planta]]*TablaGeneral[[#This Row],[Peso del Racimo]]</f>
        <v>19.419750000000004</v>
      </c>
      <c r="W17" s="5">
        <f>+TablaGeneral[[#This Row],[Plantas]]*TablaGeneral[[#This Row],[Kg x Planta]]</f>
        <v>101837.16900000002</v>
      </c>
      <c r="X17" s="5">
        <f>+TablaGeneral[[#This Row],[Kg x Cuartel]]/TablaGeneral[[#This Row],[Has]]</f>
        <v>40093.373622047249</v>
      </c>
      <c r="Y17" t="s">
        <v>41</v>
      </c>
      <c r="Z17" s="15">
        <v>150</v>
      </c>
      <c r="AA17" s="6">
        <f>+TablaGeneral[[#This Row],[Rendimiento Poda]]*1.5</f>
        <v>225</v>
      </c>
      <c r="AB17" s="6">
        <v>500</v>
      </c>
      <c r="AC17" s="6">
        <v>600</v>
      </c>
      <c r="AD17" s="6"/>
      <c r="AE17" s="6">
        <v>700</v>
      </c>
      <c r="AF17" s="6"/>
      <c r="AG17" s="9">
        <f>+IFERROR(TablaGeneral[[#This Row],[Plantas]]/TablaGeneral[[#This Row],[Rendimiento Poda]],0)</f>
        <v>34.96</v>
      </c>
      <c r="AH17" s="9">
        <f>+TablaGeneral[[#This Row],[Plantas]]/TablaGeneral[[#This Row],[Rendimiento Atada]]</f>
        <v>23.306666666666668</v>
      </c>
      <c r="AI17" s="9">
        <f>+IFERROR(TablaGeneral[[#This Row],[Plantas]]/TablaGeneral[[#This Row],[Rendimiento Desbrote de troncos]],0)</f>
        <v>10.488</v>
      </c>
      <c r="AJ17" s="9">
        <f>+IFERROR(TablaGeneral[[#This Row],[Plantas]]/TablaGeneral[[#This Row],[Rendimiento Acomodo de brotes ]],0)</f>
        <v>8.74</v>
      </c>
      <c r="AK17" s="9">
        <f>+IFERROR(TablaGeneral[[#This Row],[Plantas]]/TablaGeneral[[#This Row],[Rendimiento Desniete, deshoje ]],0)</f>
        <v>0</v>
      </c>
      <c r="AL17" s="9">
        <f>+IFERROR(TablaGeneral[[#This Row],[Plantas]]/TablaGeneral[[#This Row],[Rendimiento Desbrote con criterio de Poda]],0)</f>
        <v>7.4914285714285711</v>
      </c>
      <c r="AM17" s="9">
        <f>+IFERROR(TablaGeneral[[#This Row],[Plantas]]/TablaGeneral[[#This Row],[Rendimiento Raleo de Racimos]],0)</f>
        <v>0</v>
      </c>
      <c r="AN17" s="10">
        <f>+TablaGeneral[[#This Row],[Plantas]]/4150</f>
        <v>1.2636144578313253</v>
      </c>
      <c r="AO17" s="10">
        <f>+TablaGeneral[[#This Row],[Plantas]]/6196.57</f>
        <v>0.84627463257899127</v>
      </c>
      <c r="AP17" s="10">
        <f>+TablaGeneral[[#This Row],[Plantas]]/8269.65</f>
        <v>0.63412599082186072</v>
      </c>
      <c r="AQ17" s="14">
        <f>+TablaGeneral[[#This Row],[Plantas]]/2069.3</f>
        <v>2.5341903059005459</v>
      </c>
      <c r="AR17" s="14">
        <f>+TablaGeneral[[#This Row],[Plantas]]/2056.14</f>
        <v>2.5504099915375416</v>
      </c>
      <c r="AS17" s="10">
        <f>+TablaGeneral[[#This Row],[Plantas]]/1721.27</f>
        <v>3.0465876939701499</v>
      </c>
      <c r="AT17" s="13">
        <f>+TablaGeneral[[#This Row],[Plantas]]/216.3</f>
        <v>24.244105409153953</v>
      </c>
      <c r="AU17" s="13">
        <f>+TablaGeneral[[#This Row],[Plantas]]/2941.65</f>
        <v>1.7826729896486666</v>
      </c>
      <c r="AV17" s="13">
        <f>+TablaGeneral[[#This Row],[Plantas]]/980.55</f>
        <v>5.3480189689459996</v>
      </c>
      <c r="AW17" s="13">
        <f>+TablaGeneral[[#This Row],[Plantas]]/9805</f>
        <v>0.53482916879143294</v>
      </c>
      <c r="AX17" s="13">
        <f>+TablaGeneral[[#This Row],[Plantas]]/460</f>
        <v>11.4</v>
      </c>
      <c r="AY17" s="13">
        <f>+TablaGeneral[[#This Row],[Plantas]]/1176.66</f>
        <v>4.4566824741216662</v>
      </c>
      <c r="AZ17" s="13"/>
      <c r="BA17" s="13"/>
      <c r="BB17" s="13">
        <f>+TablaGeneral[[#This Row],[Plantas]]/11766.6</f>
        <v>0.44566824741216665</v>
      </c>
      <c r="BC17" s="13">
        <f>+TablaGeneral[[#This Row],[Plantas]]/1897.32</f>
        <v>2.7638985516412626</v>
      </c>
      <c r="BD17" s="13">
        <f>+TablaGeneral[[#This Row],[Plantas]]/3565.64</f>
        <v>1.4707037165838392</v>
      </c>
      <c r="BE17" s="13">
        <f>+TablaGeneral[[#This Row],[Plantas]]/1176.7</f>
        <v>4.4565309764595904</v>
      </c>
      <c r="BF17" s="13">
        <f>+TablaGeneral[[#This Row],[Plantas]]/1568.88</f>
        <v>3.3425118555912494</v>
      </c>
      <c r="BG17" s="13">
        <f>+TablaGeneral[[#This Row],[Plantas]]/2941.65</f>
        <v>1.7826729896486666</v>
      </c>
      <c r="BH17" s="13">
        <f>+TablaGeneral[[#This Row],[Plantas]]/1961.1</f>
        <v>2.6740094844729998</v>
      </c>
      <c r="BI17" s="13">
        <f>+TablaGeneral[[#This Row],[Plantas]]/2353.32</f>
        <v>2.2283412370608331</v>
      </c>
      <c r="BJ17" s="13">
        <f>+TablaGeneral[[#This Row],[Plantas]]/1961.1</f>
        <v>2.6740094844729998</v>
      </c>
      <c r="BK17" s="13">
        <f>+TablaGeneral[[#This Row],[Plantas]]/3268</f>
        <v>1.6046511627906976</v>
      </c>
      <c r="BL17" s="13">
        <f>+TablaGeneral[[#This Row],[Plantas]]/525.295</f>
        <v>9.982961954711163</v>
      </c>
      <c r="BM17" s="13">
        <f>+TablaGeneral[[#This Row],[Plantas]]/653.7</f>
        <v>8.022028453418999</v>
      </c>
      <c r="BN17" s="17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390.88678349517437</v>
      </c>
      <c r="BO17" s="17">
        <f>+TablaGeneral[[#This Row],[Combustible]]/100</f>
        <v>3.9088678349517436</v>
      </c>
      <c r="BP17" s="17">
        <f>+TablaGeneral[[#This Row],[Combustible]]/150</f>
        <v>2.6059118899678291</v>
      </c>
      <c r="BQ17" s="17">
        <f>+TablaGeneral[[#This Row],[Combustible]]/200</f>
        <v>1.9544339174758718</v>
      </c>
      <c r="BR17" s="1">
        <f>+H17/2261.75</f>
        <v>2.3185586382226151</v>
      </c>
      <c r="BS17" s="1">
        <f>+H17/2261.75</f>
        <v>2.3185586382226151</v>
      </c>
      <c r="BT17" s="1">
        <f>+H17/565.438</f>
        <v>9.274226351960781</v>
      </c>
      <c r="BU17" s="1">
        <f>+H17/5654.38</f>
        <v>0.92742263519607804</v>
      </c>
      <c r="BV17" s="1">
        <f>+H17/1130.88</f>
        <v>4.637096774193548</v>
      </c>
      <c r="BW17">
        <f t="shared" si="37"/>
        <v>3.8655747130673235</v>
      </c>
      <c r="BX17">
        <f t="shared" si="38"/>
        <v>3.1568871792093334</v>
      </c>
      <c r="BY17">
        <f t="shared" si="39"/>
        <v>6.2815484903440959</v>
      </c>
      <c r="BZ17">
        <f t="shared" si="40"/>
        <v>4.8319772959724308</v>
      </c>
      <c r="CA17">
        <f t="shared" si="41"/>
        <v>7.3777376344812158</v>
      </c>
      <c r="CB17">
        <f t="shared" si="42"/>
        <v>3.8655747130673235</v>
      </c>
      <c r="CC17">
        <f t="shared" si="43"/>
        <v>0.48319772959724305</v>
      </c>
      <c r="CD17">
        <f t="shared" si="44"/>
        <v>0.32213083032845796</v>
      </c>
      <c r="CF17">
        <f t="shared" si="45"/>
        <v>14.495878460186091</v>
      </c>
      <c r="CG17">
        <f t="shared" si="46"/>
        <v>2.9958181942825801</v>
      </c>
      <c r="CH17">
        <f t="shared" si="47"/>
        <v>2.8347478242067137</v>
      </c>
      <c r="CI17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13.549212557113414</v>
      </c>
      <c r="CJ17" s="59">
        <f>+TablaGeneral[[#This Row],[Tracto elevador]]+TablaGeneral[[#This Row],[Tractor con uñas]]+TablaGeneral[[#This Row],[Tractor con acoplado]]</f>
        <v>16.229881764376945</v>
      </c>
      <c r="CK17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9.3095840280270856</v>
      </c>
      <c r="CL17" s="60">
        <f>+SUM(BR17:BV17)+TablaGeneral[[#This Row],[Cosecha DOV]]+TablaGeneral[[#This Row],[Corte DOV]]</f>
        <v>19.475863037795641</v>
      </c>
      <c r="CM17" s="60">
        <f>+SUM(TablaGeneral[[#This Row],[Colocación de malla]:[Descarga y carga de bines con Autoelevador]])</f>
        <v>50.511073064742803</v>
      </c>
      <c r="CN17" s="59"/>
      <c r="CO17" s="59"/>
      <c r="CP17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17" t="str">
        <f>+TablaGeneral[[#This Row],[Variedad]]&amp;" "&amp;TablaGeneral[[#This Row],[Año de plantación]]</f>
        <v xml:space="preserve">Arizul </v>
      </c>
      <c r="CR17" t="str">
        <f>+IF(TablaGeneral[[#This Row],[Finca]]="El Espejo I","El Espejo I y II",IF(TablaGeneral[[#This Row],[Finca]]="El Espejo II","El Espejo I y II",TablaGeneral[[#This Row],[Finca]]))</f>
        <v>Camino Truncado</v>
      </c>
    </row>
    <row r="18" spans="1:96">
      <c r="A18" t="s">
        <v>8</v>
      </c>
      <c r="B18">
        <v>13</v>
      </c>
      <c r="C18" s="1">
        <v>1.73</v>
      </c>
      <c r="D18" t="s">
        <v>7</v>
      </c>
      <c r="E18" s="2">
        <v>37000</v>
      </c>
      <c r="F18" s="2">
        <f>+TablaGeneral[[#This Row],[Has]]*TablaGeneral[[#This Row],[Kg x Has]]</f>
        <v>64010</v>
      </c>
      <c r="G18" s="2">
        <f>+TablaGeneral[[#This Row],[Kg 2026]]/4</f>
        <v>16002.5</v>
      </c>
      <c r="H18">
        <v>3267</v>
      </c>
      <c r="J18" t="s">
        <v>24</v>
      </c>
      <c r="K18" s="5">
        <f>10000/IF(LEN(TablaGeneral[[#This Row],[Marco de plantación]])&gt;3,(MID(TablaGeneral[[#This Row],[Marco de plantación]],1,3)*MID(TablaGeneral[[#This Row],[Marco de plantación]],5,3)),(3*2))</f>
        <v>1890.3591682419662</v>
      </c>
      <c r="L18" s="7">
        <v>9</v>
      </c>
      <c r="M18" s="5">
        <f>+TablaGeneral[[#This Row],[Plantas x Has]]*TablaGeneral[[#This Row],[N° de Guías x planta]]</f>
        <v>17013.232514177696</v>
      </c>
      <c r="N18" s="7">
        <v>7</v>
      </c>
      <c r="O18" s="7">
        <f>+TablaGeneral[[#This Row],[N° de Guías x planta]]*TablaGeneral[[#This Row],[N° de Yemas x Guias]]</f>
        <v>63</v>
      </c>
      <c r="P18" s="7">
        <v>0.8</v>
      </c>
      <c r="Q18" s="5">
        <f>+TablaGeneral[[#This Row],[N° de Yemas x Planta]]*TablaGeneral[[#This Row],[% de Brotación]]</f>
        <v>50.400000000000006</v>
      </c>
      <c r="R18" s="7">
        <v>0.85</v>
      </c>
      <c r="S18" s="7">
        <v>1.5</v>
      </c>
      <c r="T18" s="5">
        <f>+TablaGeneral[[#This Row],[N° de Brotes x Planta]]*TablaGeneral[[#This Row],[% de Fertilidad]]*TablaGeneral[[#This Row],[Cantidad de Racimos x Brote]]</f>
        <v>64.260000000000005</v>
      </c>
      <c r="U18" s="7">
        <v>0.30499999999999999</v>
      </c>
      <c r="V18" s="5">
        <f>+TablaGeneral[[#This Row],[Cantidad de Racimos x Planta]]*TablaGeneral[[#This Row],[Peso del Racimo]]</f>
        <v>19.599299999999999</v>
      </c>
      <c r="W18" s="5">
        <f>+TablaGeneral[[#This Row],[Plantas]]*TablaGeneral[[#This Row],[Kg x Planta]]</f>
        <v>64030.913099999998</v>
      </c>
      <c r="X18" s="5">
        <f>+TablaGeneral[[#This Row],[Kg x Cuartel]]/TablaGeneral[[#This Row],[Has]]</f>
        <v>37012.088497109828</v>
      </c>
      <c r="Y18" t="s">
        <v>41</v>
      </c>
      <c r="Z18" s="15">
        <v>150</v>
      </c>
      <c r="AA18" s="6">
        <f>+TablaGeneral[[#This Row],[Rendimiento Poda]]*1.5</f>
        <v>225</v>
      </c>
      <c r="AB18" s="6">
        <v>500</v>
      </c>
      <c r="AC18" s="6">
        <v>600</v>
      </c>
      <c r="AD18" s="6"/>
      <c r="AE18" s="6">
        <v>700</v>
      </c>
      <c r="AF18" s="6"/>
      <c r="AG18" s="9">
        <f>+IFERROR(TablaGeneral[[#This Row],[Plantas]]/TablaGeneral[[#This Row],[Rendimiento Poda]],0)</f>
        <v>21.78</v>
      </c>
      <c r="AH18" s="9">
        <f>+TablaGeneral[[#This Row],[Plantas]]/TablaGeneral[[#This Row],[Rendimiento Atada]]</f>
        <v>14.52</v>
      </c>
      <c r="AI18" s="9">
        <f>+IFERROR(TablaGeneral[[#This Row],[Plantas]]/TablaGeneral[[#This Row],[Rendimiento Desbrote de troncos]],0)</f>
        <v>6.5339999999999998</v>
      </c>
      <c r="AJ18" s="9">
        <f>+IFERROR(TablaGeneral[[#This Row],[Plantas]]/TablaGeneral[[#This Row],[Rendimiento Acomodo de brotes ]],0)</f>
        <v>5.4450000000000003</v>
      </c>
      <c r="AK18" s="9">
        <f>+IFERROR(TablaGeneral[[#This Row],[Plantas]]/TablaGeneral[[#This Row],[Rendimiento Desniete, deshoje ]],0)</f>
        <v>0</v>
      </c>
      <c r="AL18" s="9">
        <f>+IFERROR(TablaGeneral[[#This Row],[Plantas]]/TablaGeneral[[#This Row],[Rendimiento Desbrote con criterio de Poda]],0)</f>
        <v>4.6671428571428573</v>
      </c>
      <c r="AM18" s="9">
        <f>+IFERROR(TablaGeneral[[#This Row],[Plantas]]/TablaGeneral[[#This Row],[Rendimiento Raleo de Racimos]],0)</f>
        <v>0</v>
      </c>
      <c r="AN18" s="10">
        <f>+TablaGeneral[[#This Row],[Plantas]]/4150</f>
        <v>0.78722891566265063</v>
      </c>
      <c r="AO18" s="10">
        <f>+TablaGeneral[[#This Row],[Plantas]]/6196.57</f>
        <v>0.52722715954148835</v>
      </c>
      <c r="AP18" s="10">
        <f>+TablaGeneral[[#This Row],[Plantas]]/8269.65</f>
        <v>0.39505904119279533</v>
      </c>
      <c r="AQ18" s="14">
        <f>+TablaGeneral[[#This Row],[Plantas]]/2069.3</f>
        <v>1.5787947615135551</v>
      </c>
      <c r="AR18" s="14">
        <f>+TablaGeneral[[#This Row],[Plantas]]/2056.14</f>
        <v>1.5888995885494179</v>
      </c>
      <c r="AS18" s="10">
        <f>+TablaGeneral[[#This Row],[Plantas]]/1721.27</f>
        <v>1.8980171617468498</v>
      </c>
      <c r="AT18" s="13">
        <f>+TablaGeneral[[#This Row],[Plantas]]/216.3</f>
        <v>15.104022191400832</v>
      </c>
      <c r="AU18" s="13">
        <f>+TablaGeneral[[#This Row],[Plantas]]/2941.65</f>
        <v>1.1106011932078934</v>
      </c>
      <c r="AV18" s="13">
        <f>+TablaGeneral[[#This Row],[Plantas]]/980.55</f>
        <v>3.3318035796236809</v>
      </c>
      <c r="AW18" s="13">
        <f>+TablaGeneral[[#This Row],[Plantas]]/9805</f>
        <v>0.3331973482916879</v>
      </c>
      <c r="AX18" s="13">
        <f>+TablaGeneral[[#This Row],[Plantas]]/460</f>
        <v>7.1021739130434787</v>
      </c>
      <c r="AY18" s="13">
        <f>+TablaGeneral[[#This Row],[Plantas]]/1176.66</f>
        <v>2.7765029830197334</v>
      </c>
      <c r="AZ18" s="13"/>
      <c r="BA18" s="13"/>
      <c r="BB18" s="13">
        <f>+TablaGeneral[[#This Row],[Plantas]]/11766.6</f>
        <v>0.27765029830197335</v>
      </c>
      <c r="BC18" s="13">
        <f>+TablaGeneral[[#This Row],[Plantas]]/1897.32</f>
        <v>1.7219024729618622</v>
      </c>
      <c r="BD18" s="13">
        <f>+TablaGeneral[[#This Row],[Plantas]]/3565.64</f>
        <v>0.91624504997700273</v>
      </c>
      <c r="BE18" s="13">
        <f>+TablaGeneral[[#This Row],[Plantas]]/1176.7</f>
        <v>2.7764086003229371</v>
      </c>
      <c r="BF18" s="13">
        <f>+TablaGeneral[[#This Row],[Plantas]]/1568.88</f>
        <v>2.0823772372648004</v>
      </c>
      <c r="BG18" s="13">
        <f>+TablaGeneral[[#This Row],[Plantas]]/2941.65</f>
        <v>1.1106011932078934</v>
      </c>
      <c r="BH18" s="13">
        <f>+TablaGeneral[[#This Row],[Plantas]]/1961.1</f>
        <v>1.6659017898118404</v>
      </c>
      <c r="BI18" s="13">
        <f>+TablaGeneral[[#This Row],[Plantas]]/2353.32</f>
        <v>1.3882514915098667</v>
      </c>
      <c r="BJ18" s="13">
        <f>+TablaGeneral[[#This Row],[Plantas]]/1961.1</f>
        <v>1.6659017898118404</v>
      </c>
      <c r="BK18" s="13">
        <f>+TablaGeneral[[#This Row],[Plantas]]/3268</f>
        <v>0.99969400244798046</v>
      </c>
      <c r="BL18" s="13">
        <f>+TablaGeneral[[#This Row],[Plantas]]/525.295</f>
        <v>6.2193624534785217</v>
      </c>
      <c r="BM18" s="13">
        <f>+TablaGeneral[[#This Row],[Plantas]]/653.7</f>
        <v>4.9977053694355202</v>
      </c>
      <c r="BN18" s="17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243.52157163972819</v>
      </c>
      <c r="BO18" s="17">
        <f>+TablaGeneral[[#This Row],[Combustible]]/100</f>
        <v>2.4352157163972818</v>
      </c>
      <c r="BP18" s="17">
        <f>+TablaGeneral[[#This Row],[Combustible]]/150</f>
        <v>1.6234771442648546</v>
      </c>
      <c r="BQ18" s="17">
        <f>+TablaGeneral[[#This Row],[Combustible]]/200</f>
        <v>1.2176078581986409</v>
      </c>
      <c r="BR18" s="1">
        <f>+H18/2261.75</f>
        <v>1.4444567259865149</v>
      </c>
      <c r="BS18" s="1">
        <f>+H18/2261.75</f>
        <v>1.4444567259865149</v>
      </c>
      <c r="BT18" s="1">
        <f>+H18/565.438</f>
        <v>5.777821794785635</v>
      </c>
      <c r="BU18" s="1">
        <f>+H18/5654.38</f>
        <v>0.57778217947856347</v>
      </c>
      <c r="BV18" s="1">
        <f>+H18/1130.88</f>
        <v>2.8889006791171474</v>
      </c>
      <c r="BW18">
        <f t="shared" si="37"/>
        <v>2.4082442005322169</v>
      </c>
      <c r="BX18">
        <f t="shared" si="38"/>
        <v>1.9667334886492929</v>
      </c>
      <c r="BY18">
        <f t="shared" si="39"/>
        <v>3.9133903352315333</v>
      </c>
      <c r="BZ18">
        <f t="shared" si="40"/>
        <v>3.0103107982345407</v>
      </c>
      <c r="CA18">
        <f t="shared" si="41"/>
        <v>4.5963136635869812</v>
      </c>
      <c r="CB18">
        <f t="shared" si="42"/>
        <v>2.4082442005322169</v>
      </c>
      <c r="CC18">
        <f t="shared" si="43"/>
        <v>0.30103107982345406</v>
      </c>
      <c r="CD18">
        <f t="shared" si="44"/>
        <v>0.20068677015314115</v>
      </c>
      <c r="CF18">
        <f t="shared" si="45"/>
        <v>9.0308991093493454</v>
      </c>
      <c r="CG18">
        <f t="shared" si="46"/>
        <v>1.8663878796188387</v>
      </c>
      <c r="CH18">
        <f t="shared" si="47"/>
        <v>1.7660414076436564</v>
      </c>
      <c r="CI18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8.4411284180185984</v>
      </c>
      <c r="CJ18" s="59">
        <f>+TablaGeneral[[#This Row],[Tracto elevador]]+TablaGeneral[[#This Row],[Tractor con uñas]]+TablaGeneral[[#This Row],[Tractor con acoplado]]</f>
        <v>10.111179199889298</v>
      </c>
      <c r="CK18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5.7998495460649293</v>
      </c>
      <c r="CL18" s="60">
        <f>+SUM(BR18:BV18)+TablaGeneral[[#This Row],[Cosecha DOV]]+TablaGeneral[[#This Row],[Corte DOV]]</f>
        <v>12.133418105354375</v>
      </c>
      <c r="CM18" s="60">
        <f>+SUM(TablaGeneral[[#This Row],[Colocación de malla]:[Descarga y carga de bines con Autoelevador]])</f>
        <v>31.468282933355212</v>
      </c>
      <c r="CN18" s="59"/>
      <c r="CO18" s="59"/>
      <c r="CP18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18" t="str">
        <f>+TablaGeneral[[#This Row],[Variedad]]&amp;" "&amp;TablaGeneral[[#This Row],[Año de plantación]]</f>
        <v xml:space="preserve">Arizul </v>
      </c>
      <c r="CR18" t="str">
        <f>+IF(TablaGeneral[[#This Row],[Finca]]="El Espejo I","El Espejo I y II",IF(TablaGeneral[[#This Row],[Finca]]="El Espejo II","El Espejo I y II",TablaGeneral[[#This Row],[Finca]]))</f>
        <v>Camino Truncado</v>
      </c>
    </row>
    <row r="19" spans="1:96">
      <c r="A19" t="s">
        <v>8</v>
      </c>
      <c r="B19">
        <v>14</v>
      </c>
      <c r="C19" s="1">
        <v>2.99</v>
      </c>
      <c r="D19" t="s">
        <v>11</v>
      </c>
      <c r="E19" s="2">
        <v>15000</v>
      </c>
      <c r="F19" s="2">
        <f>+TablaGeneral[[#This Row],[Has]]*TablaGeneral[[#This Row],[Kg x Has]]</f>
        <v>44850</v>
      </c>
      <c r="G19" s="2">
        <f>+TablaGeneral[[#This Row],[Kg 2026]]/4</f>
        <v>11212.5</v>
      </c>
      <c r="H19">
        <v>4098</v>
      </c>
      <c r="J19" t="s">
        <v>25</v>
      </c>
      <c r="K19" s="5">
        <f>10000/IF(LEN(TablaGeneral[[#This Row],[Marco de plantación]])&gt;3,(MID(TablaGeneral[[#This Row],[Marco de plantación]],1,3)*MID(TablaGeneral[[#This Row],[Marco de plantación]],5,3)),(3*2))</f>
        <v>1371.7421124828531</v>
      </c>
      <c r="L19" s="7">
        <v>10</v>
      </c>
      <c r="M19" s="5">
        <f>+TablaGeneral[[#This Row],[Plantas x Has]]*TablaGeneral[[#This Row],[N° de Guías x planta]]</f>
        <v>13717.421124828532</v>
      </c>
      <c r="N19" s="7">
        <v>9.5</v>
      </c>
      <c r="O19" s="7">
        <f>+TablaGeneral[[#This Row],[N° de Guías x planta]]*TablaGeneral[[#This Row],[N° de Yemas x Guias]]</f>
        <v>95</v>
      </c>
      <c r="P19" s="7">
        <v>0.6</v>
      </c>
      <c r="Q19" s="5">
        <f>+TablaGeneral[[#This Row],[N° de Yemas x Planta]]*TablaGeneral[[#This Row],[% de Brotación]]</f>
        <v>57</v>
      </c>
      <c r="R19" s="7">
        <v>0.6</v>
      </c>
      <c r="S19" s="7">
        <v>1</v>
      </c>
      <c r="T19" s="5">
        <f>+TablaGeneral[[#This Row],[N° de Brotes x Planta]]*TablaGeneral[[#This Row],[% de Fertilidad]]*TablaGeneral[[#This Row],[Cantidad de Racimos x Brote]]</f>
        <v>34.199999999999996</v>
      </c>
      <c r="U19" s="7">
        <v>0.32</v>
      </c>
      <c r="V19" s="5">
        <f>+TablaGeneral[[#This Row],[Cantidad de Racimos x Planta]]*TablaGeneral[[#This Row],[Peso del Racimo]]</f>
        <v>10.943999999999999</v>
      </c>
      <c r="W19" s="5">
        <f>+TablaGeneral[[#This Row],[Plantas]]*TablaGeneral[[#This Row],[Kg x Planta]]</f>
        <v>44848.511999999995</v>
      </c>
      <c r="X19" s="5">
        <f>+TablaGeneral[[#This Row],[Kg x Cuartel]]/TablaGeneral[[#This Row],[Has]]</f>
        <v>14999.50234113712</v>
      </c>
      <c r="Y19" t="s">
        <v>41</v>
      </c>
      <c r="Z19" s="6">
        <v>100</v>
      </c>
      <c r="AA19" s="6">
        <f>+TablaGeneral[[#This Row],[Rendimiento Poda]]*1.5</f>
        <v>150</v>
      </c>
      <c r="AB19" s="6">
        <v>500</v>
      </c>
      <c r="AC19" s="6"/>
      <c r="AD19" s="6"/>
      <c r="AE19" s="6">
        <v>700</v>
      </c>
      <c r="AF19" s="6"/>
      <c r="AG19" s="9">
        <f>+IFERROR(TablaGeneral[[#This Row],[Plantas]]/TablaGeneral[[#This Row],[Rendimiento Poda]],0)</f>
        <v>40.98</v>
      </c>
      <c r="AH19" s="9">
        <f>+TablaGeneral[[#This Row],[Plantas]]/TablaGeneral[[#This Row],[Rendimiento Atada]]</f>
        <v>27.32</v>
      </c>
      <c r="AI19" s="9">
        <f>+IFERROR(TablaGeneral[[#This Row],[Plantas]]/TablaGeneral[[#This Row],[Rendimiento Desbrote de troncos]],0)</f>
        <v>8.1959999999999997</v>
      </c>
      <c r="AJ19" s="9">
        <f>+IFERROR(TablaGeneral[[#This Row],[Plantas]]/TablaGeneral[[#This Row],[Rendimiento Acomodo de brotes ]],0)</f>
        <v>0</v>
      </c>
      <c r="AK19" s="9">
        <f>+IFERROR(TablaGeneral[[#This Row],[Plantas]]/TablaGeneral[[#This Row],[Rendimiento Desniete, deshoje ]],0)</f>
        <v>0</v>
      </c>
      <c r="AL19" s="9">
        <f>+IFERROR(TablaGeneral[[#This Row],[Plantas]]/TablaGeneral[[#This Row],[Rendimiento Desbrote con criterio de Poda]],0)</f>
        <v>5.8542857142857141</v>
      </c>
      <c r="AM19" s="9">
        <f>+IFERROR(TablaGeneral[[#This Row],[Plantas]]/TablaGeneral[[#This Row],[Rendimiento Raleo de Racimos]],0)</f>
        <v>0</v>
      </c>
      <c r="AN19" s="10">
        <v>1</v>
      </c>
      <c r="AO19" s="10">
        <v>1</v>
      </c>
      <c r="AP19" s="10">
        <v>1.3</v>
      </c>
      <c r="AQ19" s="13">
        <v>1</v>
      </c>
      <c r="AR19" s="13">
        <v>3</v>
      </c>
      <c r="AS19" s="10">
        <v>3.58</v>
      </c>
      <c r="AT19" s="13">
        <f>+TablaGeneral[[#This Row],[Plantas]]/216.3</f>
        <v>18.945908460471568</v>
      </c>
      <c r="AU19" s="13">
        <f>+TablaGeneral[[#This Row],[Plantas]]/2941.65</f>
        <v>1.3930957115904339</v>
      </c>
      <c r="AV19" s="13">
        <f>+TablaGeneral[[#This Row],[Plantas]]/980.55</f>
        <v>4.1792871347713021</v>
      </c>
      <c r="AW19" s="13">
        <f>+TablaGeneral[[#This Row],[Plantas]]/9805</f>
        <v>0.41795002549719529</v>
      </c>
      <c r="AX19" s="13">
        <f>+TablaGeneral[[#This Row],[Plantas]]/460</f>
        <v>8.9086956521739129</v>
      </c>
      <c r="AY19" s="13">
        <f>+TablaGeneral[[#This Row],[Plantas]]/1176.66</f>
        <v>3.4827392789760845</v>
      </c>
      <c r="AZ19" s="13"/>
      <c r="BA19" s="13"/>
      <c r="BB19" s="13">
        <f>+TablaGeneral[[#This Row],[Plantas]]/11766.6</f>
        <v>0.34827392789760847</v>
      </c>
      <c r="BC19" s="13">
        <f>+TablaGeneral[[#This Row],[Plantas]]/1897.32</f>
        <v>2.1598886850926573</v>
      </c>
      <c r="BD19" s="13">
        <f>+TablaGeneral[[#This Row],[Plantas]]/3565.64</f>
        <v>1.1493027899619703</v>
      </c>
      <c r="BE19" s="13">
        <f>+TablaGeneral[[#This Row],[Plantas]]/1176.7</f>
        <v>3.4826208889266592</v>
      </c>
      <c r="BF19" s="13">
        <f>+TablaGeneral[[#This Row],[Plantas]]/1568.88</f>
        <v>2.6120544592320636</v>
      </c>
      <c r="BG19" s="13">
        <f>+TablaGeneral[[#This Row],[Plantas]]/2941.65</f>
        <v>1.3930957115904339</v>
      </c>
      <c r="BH19" s="13">
        <f>+TablaGeneral[[#This Row],[Plantas]]/1961.1</f>
        <v>2.089643567385651</v>
      </c>
      <c r="BI19" s="13">
        <f>+TablaGeneral[[#This Row],[Plantas]]/2353.32</f>
        <v>1.7413696394880422</v>
      </c>
      <c r="BJ19" s="13">
        <f>+TablaGeneral[[#This Row],[Plantas]]/1961.1</f>
        <v>2.089643567385651</v>
      </c>
      <c r="BK19" s="13">
        <f>+TablaGeneral[[#This Row],[Plantas]]/3268</f>
        <v>1.2539779681762546</v>
      </c>
      <c r="BL19" s="13">
        <f>+TablaGeneral[[#This Row],[Plantas]]/525.295</f>
        <v>7.8013306808555196</v>
      </c>
      <c r="BM19" s="13">
        <f>+TablaGeneral[[#This Row],[Plantas]]/653.7</f>
        <v>6.2689307021569523</v>
      </c>
      <c r="BN19" s="17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296.37373039699577</v>
      </c>
      <c r="BO19" s="17">
        <f>+TablaGeneral[[#This Row],[Combustible]]/100</f>
        <v>2.9637373039699577</v>
      </c>
      <c r="BP19" s="17">
        <f>+TablaGeneral[[#This Row],[Combustible]]/150</f>
        <v>1.9758248693133051</v>
      </c>
      <c r="BQ19" s="17">
        <f>+TablaGeneral[[#This Row],[Combustible]]/200</f>
        <v>1.4818686519849789</v>
      </c>
      <c r="BR19" s="1">
        <f>+H19/3054.1</f>
        <v>1.3418028224354148</v>
      </c>
      <c r="BS19" s="1">
        <f>+H19/3054.1</f>
        <v>1.3418028224354148</v>
      </c>
      <c r="BT19" s="1">
        <f>+H19/763.525</f>
        <v>5.3672112897416593</v>
      </c>
      <c r="BU19" s="1">
        <f>+H19/15270.5</f>
        <v>0.26836056448708295</v>
      </c>
      <c r="BV19" s="1">
        <f>+H19/1527.05</f>
        <v>2.6836056448708296</v>
      </c>
      <c r="BW19">
        <f t="shared" si="37"/>
        <v>3.0208095297768671</v>
      </c>
      <c r="BX19">
        <f t="shared" si="38"/>
        <v>2.4669953585812068</v>
      </c>
      <c r="BY19">
        <f t="shared" si="39"/>
        <v>4.9088073442849165</v>
      </c>
      <c r="BZ19">
        <f t="shared" si="40"/>
        <v>3.7760188708800575</v>
      </c>
      <c r="CA19">
        <f t="shared" si="41"/>
        <v>5.765440279577426</v>
      </c>
      <c r="CB19">
        <f t="shared" si="42"/>
        <v>3.0208095297768671</v>
      </c>
      <c r="CC19">
        <f t="shared" si="43"/>
        <v>0.37760188708800574</v>
      </c>
      <c r="CD19">
        <f t="shared" si="44"/>
        <v>0.25173381820862334</v>
      </c>
      <c r="CF19">
        <f t="shared" si="45"/>
        <v>11.328014860763274</v>
      </c>
      <c r="CG19">
        <f t="shared" si="46"/>
        <v>2.3411256598340988</v>
      </c>
      <c r="CH19">
        <f t="shared" si="47"/>
        <v>2.2152548786420887</v>
      </c>
      <c r="CI19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12.969643567385649</v>
      </c>
      <c r="CJ19" s="59">
        <f>+TablaGeneral[[#This Row],[Tracto elevador]]+TablaGeneral[[#This Row],[Tractor con uñas]]+TablaGeneral[[#This Row],[Tractor con acoplado]]</f>
        <v>9.3926197570479033</v>
      </c>
      <c r="CK19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7.2751097152660176</v>
      </c>
      <c r="CL19" s="60">
        <f>+SUM(BR19:BV19)+TablaGeneral[[#This Row],[Cosecha DOV]]+TablaGeneral[[#This Row],[Corte DOV]]</f>
        <v>11.002783143970401</v>
      </c>
      <c r="CM19" s="60">
        <f>+SUM(TablaGeneral[[#This Row],[Colocación de malla]:[Descarga y carga de bines con Autoelevador]])</f>
        <v>39.472612017413425</v>
      </c>
      <c r="CN19" s="59"/>
      <c r="CO19" s="59"/>
      <c r="CP19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19" t="str">
        <f>+TablaGeneral[[#This Row],[Variedad]]&amp;" "&amp;TablaGeneral[[#This Row],[Año de plantación]]</f>
        <v xml:space="preserve">Superior </v>
      </c>
      <c r="CR19" t="str">
        <f>+IF(TablaGeneral[[#This Row],[Finca]]="El Espejo I","El Espejo I y II",IF(TablaGeneral[[#This Row],[Finca]]="El Espejo II","El Espejo I y II",TablaGeneral[[#This Row],[Finca]]))</f>
        <v>Camino Truncado</v>
      </c>
    </row>
    <row r="20" spans="1:96">
      <c r="A20" t="s">
        <v>8</v>
      </c>
      <c r="B20">
        <v>15</v>
      </c>
      <c r="C20" s="1">
        <v>3.44</v>
      </c>
      <c r="D20" t="s">
        <v>7</v>
      </c>
      <c r="E20" s="2">
        <v>37000</v>
      </c>
      <c r="F20" s="2">
        <f>+TablaGeneral[[#This Row],[Has]]*TablaGeneral[[#This Row],[Kg x Has]]</f>
        <v>127280</v>
      </c>
      <c r="G20" s="2">
        <f>+TablaGeneral[[#This Row],[Kg 2026]]/4</f>
        <v>31820</v>
      </c>
      <c r="H20">
        <v>6503</v>
      </c>
      <c r="J20" t="s">
        <v>24</v>
      </c>
      <c r="K20" s="5">
        <f>10000/IF(LEN(TablaGeneral[[#This Row],[Marco de plantación]])&gt;3,(MID(TablaGeneral[[#This Row],[Marco de plantación]],1,3)*MID(TablaGeneral[[#This Row],[Marco de plantación]],5,3)),(3*2))</f>
        <v>1890.3591682419662</v>
      </c>
      <c r="L20" s="7">
        <v>9</v>
      </c>
      <c r="M20" s="5">
        <f>+TablaGeneral[[#This Row],[Plantas x Has]]*TablaGeneral[[#This Row],[N° de Guías x planta]]</f>
        <v>17013.232514177696</v>
      </c>
      <c r="N20" s="7">
        <v>8</v>
      </c>
      <c r="O20" s="7">
        <f>+TablaGeneral[[#This Row],[N° de Guías x planta]]*TablaGeneral[[#This Row],[N° de Yemas x Guias]]</f>
        <v>72</v>
      </c>
      <c r="P20" s="7">
        <v>0.65</v>
      </c>
      <c r="Q20" s="5">
        <f>+TablaGeneral[[#This Row],[N° de Yemas x Planta]]*TablaGeneral[[#This Row],[% de Brotación]]</f>
        <v>46.800000000000004</v>
      </c>
      <c r="R20" s="7">
        <v>0.77</v>
      </c>
      <c r="S20" s="7">
        <v>1.5</v>
      </c>
      <c r="T20" s="5">
        <f>+TablaGeneral[[#This Row],[N° de Brotes x Planta]]*TablaGeneral[[#This Row],[% de Fertilidad]]*TablaGeneral[[#This Row],[Cantidad de Racimos x Brote]]</f>
        <v>54.054000000000002</v>
      </c>
      <c r="U20" s="7">
        <v>0.36299999999999999</v>
      </c>
      <c r="V20" s="5">
        <f>+TablaGeneral[[#This Row],[Cantidad de Racimos x Planta]]*TablaGeneral[[#This Row],[Peso del Racimo]]</f>
        <v>19.621601999999999</v>
      </c>
      <c r="W20" s="5">
        <f>+TablaGeneral[[#This Row],[Plantas]]*TablaGeneral[[#This Row],[Kg x Planta]]</f>
        <v>127599.277806</v>
      </c>
      <c r="X20" s="5">
        <f>+TablaGeneral[[#This Row],[Kg x Cuartel]]/TablaGeneral[[#This Row],[Has]]</f>
        <v>37092.813315697676</v>
      </c>
      <c r="Y20" t="s">
        <v>41</v>
      </c>
      <c r="Z20" s="15">
        <v>150</v>
      </c>
      <c r="AA20" s="6">
        <f>+TablaGeneral[[#This Row],[Rendimiento Poda]]*1.5</f>
        <v>225</v>
      </c>
      <c r="AB20" s="6">
        <v>500</v>
      </c>
      <c r="AC20" s="6">
        <v>600</v>
      </c>
      <c r="AD20" s="6"/>
      <c r="AE20" s="6">
        <v>700</v>
      </c>
      <c r="AF20" s="6"/>
      <c r="AG20" s="9">
        <f>+IFERROR(TablaGeneral[[#This Row],[Plantas]]/TablaGeneral[[#This Row],[Rendimiento Poda]],0)</f>
        <v>43.353333333333332</v>
      </c>
      <c r="AH20" s="9">
        <f>+TablaGeneral[[#This Row],[Plantas]]/TablaGeneral[[#This Row],[Rendimiento Atada]]</f>
        <v>28.902222222222221</v>
      </c>
      <c r="AI20" s="9">
        <f>+IFERROR(TablaGeneral[[#This Row],[Plantas]]/TablaGeneral[[#This Row],[Rendimiento Desbrote de troncos]],0)</f>
        <v>13.006</v>
      </c>
      <c r="AJ20" s="9">
        <f>+IFERROR(TablaGeneral[[#This Row],[Plantas]]/TablaGeneral[[#This Row],[Rendimiento Acomodo de brotes ]],0)</f>
        <v>10.838333333333333</v>
      </c>
      <c r="AK20" s="9">
        <f>+IFERROR(TablaGeneral[[#This Row],[Plantas]]/TablaGeneral[[#This Row],[Rendimiento Desniete, deshoje ]],0)</f>
        <v>0</v>
      </c>
      <c r="AL20" s="9">
        <f>+IFERROR(TablaGeneral[[#This Row],[Plantas]]/TablaGeneral[[#This Row],[Rendimiento Desbrote con criterio de Poda]],0)</f>
        <v>9.2899999999999991</v>
      </c>
      <c r="AM20" s="9">
        <f>+IFERROR(TablaGeneral[[#This Row],[Plantas]]/TablaGeneral[[#This Row],[Rendimiento Raleo de Racimos]],0)</f>
        <v>0</v>
      </c>
      <c r="AN20" s="10">
        <f>+TablaGeneral[[#This Row],[Plantas]]/4150</f>
        <v>1.5669879518072289</v>
      </c>
      <c r="AO20" s="10">
        <f>+TablaGeneral[[#This Row],[Plantas]]/6196.57</f>
        <v>1.0494515514228033</v>
      </c>
      <c r="AP20" s="10">
        <f>+TablaGeneral[[#This Row],[Plantas]]/8269.65</f>
        <v>0.78636943522398173</v>
      </c>
      <c r="AQ20" s="14">
        <f>+TablaGeneral[[#This Row],[Plantas]]/2069.3</f>
        <v>3.1426086116077898</v>
      </c>
      <c r="AR20" s="14">
        <f>+TablaGeneral[[#This Row],[Plantas]]/2056.14</f>
        <v>3.1627223827171305</v>
      </c>
      <c r="AS20" s="10">
        <f>+TablaGeneral[[#This Row],[Plantas]]/1721.27</f>
        <v>3.778024365729955</v>
      </c>
      <c r="AT20" s="13">
        <f>+TablaGeneral[[#This Row],[Plantas]]/216.3</f>
        <v>30.064724919093848</v>
      </c>
      <c r="AU20" s="13">
        <f>+TablaGeneral[[#This Row],[Plantas]]/2941.65</f>
        <v>2.2106640830826234</v>
      </c>
      <c r="AV20" s="13">
        <f>+TablaGeneral[[#This Row],[Plantas]]/980.55</f>
        <v>6.6319922492478716</v>
      </c>
      <c r="AW20" s="13">
        <f>+TablaGeneral[[#This Row],[Plantas]]/9805</f>
        <v>0.66323304436511987</v>
      </c>
      <c r="AX20" s="13">
        <f>+TablaGeneral[[#This Row],[Plantas]]/460</f>
        <v>14.13695652173913</v>
      </c>
      <c r="AY20" s="13">
        <f>+TablaGeneral[[#This Row],[Plantas]]/1176.66</f>
        <v>5.5266602077065592</v>
      </c>
      <c r="AZ20" s="13"/>
      <c r="BA20" s="13"/>
      <c r="BB20" s="13">
        <f>+TablaGeneral[[#This Row],[Plantas]]/11766.6</f>
        <v>0.55266602077065585</v>
      </c>
      <c r="BC20" s="13">
        <f>+TablaGeneral[[#This Row],[Plantas]]/1897.32</f>
        <v>3.42746611009213</v>
      </c>
      <c r="BD20" s="13">
        <f>+TablaGeneral[[#This Row],[Plantas]]/3565.64</f>
        <v>1.8237960085706915</v>
      </c>
      <c r="BE20" s="13">
        <f>+TablaGeneral[[#This Row],[Plantas]]/1176.7</f>
        <v>5.5264723378941101</v>
      </c>
      <c r="BF20" s="13">
        <f>+TablaGeneral[[#This Row],[Plantas]]/1568.88</f>
        <v>4.1449951557799194</v>
      </c>
      <c r="BG20" s="13">
        <f>+TablaGeneral[[#This Row],[Plantas]]/2941.65</f>
        <v>2.2106640830826234</v>
      </c>
      <c r="BH20" s="13">
        <f>+TablaGeneral[[#This Row],[Plantas]]/1961.1</f>
        <v>3.3159961246239358</v>
      </c>
      <c r="BI20" s="13">
        <f>+TablaGeneral[[#This Row],[Plantas]]/2353.32</f>
        <v>2.7633301038532796</v>
      </c>
      <c r="BJ20" s="13">
        <f>+TablaGeneral[[#This Row],[Plantas]]/1961.1</f>
        <v>3.3159961246239358</v>
      </c>
      <c r="BK20" s="13">
        <f>+TablaGeneral[[#This Row],[Plantas]]/3268</f>
        <v>1.9899020807833538</v>
      </c>
      <c r="BL20" s="13">
        <f>+TablaGeneral[[#This Row],[Plantas]]/525.295</f>
        <v>12.379710448414702</v>
      </c>
      <c r="BM20" s="13">
        <f>+TablaGeneral[[#This Row],[Plantas]]/653.7</f>
        <v>9.9479883738718051</v>
      </c>
      <c r="BN20" s="17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484.73240905208223</v>
      </c>
      <c r="BO20" s="17">
        <f>+TablaGeneral[[#This Row],[Combustible]]/100</f>
        <v>4.8473240905208224</v>
      </c>
      <c r="BP20" s="17">
        <f>+TablaGeneral[[#This Row],[Combustible]]/150</f>
        <v>3.2315493936805484</v>
      </c>
      <c r="BQ20" s="17">
        <f>+TablaGeneral[[#This Row],[Combustible]]/200</f>
        <v>2.4236620452604112</v>
      </c>
      <c r="BR20" s="1">
        <f>+H20/2261.75</f>
        <v>2.8752072510224385</v>
      </c>
      <c r="BS20" s="1">
        <f>+H20/2261.75</f>
        <v>2.8752072510224385</v>
      </c>
      <c r="BT20" s="1">
        <f>+H20/565.438</f>
        <v>11.500818834248848</v>
      </c>
      <c r="BU20" s="1">
        <f>+H20/5654.38</f>
        <v>1.1500818834248847</v>
      </c>
      <c r="BV20" s="1">
        <f>+H20/1130.88</f>
        <v>5.7503890775325406</v>
      </c>
      <c r="BW20">
        <f t="shared" si="37"/>
        <v>4.7936369868567512</v>
      </c>
      <c r="BX20">
        <f t="shared" si="38"/>
        <v>3.9148049821507045</v>
      </c>
      <c r="BY20">
        <f t="shared" si="39"/>
        <v>7.7896471839640835</v>
      </c>
      <c r="BZ20">
        <f t="shared" si="40"/>
        <v>5.9920572760695494</v>
      </c>
      <c r="CA20">
        <f t="shared" si="41"/>
        <v>9.1490136988999513</v>
      </c>
      <c r="CB20">
        <f t="shared" si="42"/>
        <v>4.7936369868567512</v>
      </c>
      <c r="CC20">
        <f t="shared" si="43"/>
        <v>0.5992057276069549</v>
      </c>
      <c r="CD20">
        <f t="shared" si="44"/>
        <v>0.39946925812852063</v>
      </c>
      <c r="CF20">
        <f t="shared" si="45"/>
        <v>17.976105573339083</v>
      </c>
      <c r="CG20">
        <f t="shared" si="46"/>
        <v>3.7150659262813921</v>
      </c>
      <c r="CH20">
        <f t="shared" si="47"/>
        <v>3.515325152710957</v>
      </c>
      <c r="CI20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16.802160423132825</v>
      </c>
      <c r="CJ20" s="59">
        <f>+TablaGeneral[[#This Row],[Tracto elevador]]+TablaGeneral[[#This Row],[Tractor con uñas]]+TablaGeneral[[#This Row],[Tractor con acoplado]]</f>
        <v>20.126415162803827</v>
      </c>
      <c r="CK20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11.544665319271575</v>
      </c>
      <c r="CL20" s="60">
        <f>+SUM(BR20:BV20)+TablaGeneral[[#This Row],[Cosecha DOV]]+TablaGeneral[[#This Row],[Corte DOV]]</f>
        <v>24.15170429725115</v>
      </c>
      <c r="CM20" s="60">
        <f>+SUM(TablaGeneral[[#This Row],[Colocación de malla]:[Descarga y carga de bines con Autoelevador]])</f>
        <v>62.637968752864701</v>
      </c>
      <c r="CN20" s="59"/>
      <c r="CO20" s="59"/>
      <c r="CP20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20" t="str">
        <f>+TablaGeneral[[#This Row],[Variedad]]&amp;" "&amp;TablaGeneral[[#This Row],[Año de plantación]]</f>
        <v xml:space="preserve">Arizul </v>
      </c>
      <c r="CR20" t="str">
        <f>+IF(TablaGeneral[[#This Row],[Finca]]="El Espejo I","El Espejo I y II",IF(TablaGeneral[[#This Row],[Finca]]="El Espejo II","El Espejo I y II",TablaGeneral[[#This Row],[Finca]]))</f>
        <v>Camino Truncado</v>
      </c>
    </row>
    <row r="21" spans="1:96">
      <c r="A21" t="s">
        <v>8</v>
      </c>
      <c r="B21">
        <v>16</v>
      </c>
      <c r="C21" s="1">
        <v>3.33</v>
      </c>
      <c r="D21" t="s">
        <v>10</v>
      </c>
      <c r="E21" s="2">
        <v>40000</v>
      </c>
      <c r="F21" s="2">
        <f>+TablaGeneral[[#This Row],[Has]]*TablaGeneral[[#This Row],[Kg x Has]]</f>
        <v>133200</v>
      </c>
      <c r="G21" s="2">
        <f>+TablaGeneral[[#This Row],[Kg 2026]]/4</f>
        <v>33300</v>
      </c>
      <c r="H21">
        <v>4568</v>
      </c>
      <c r="J21" t="s">
        <v>25</v>
      </c>
      <c r="K21" s="5">
        <f>10000/IF(LEN(TablaGeneral[[#This Row],[Marco de plantación]])&gt;3,(MID(TablaGeneral[[#This Row],[Marco de plantación]],1,3)*MID(TablaGeneral[[#This Row],[Marco de plantación]],5,3)),(3*2))</f>
        <v>1371.7421124828531</v>
      </c>
      <c r="L21" s="7">
        <v>9</v>
      </c>
      <c r="M21" s="5">
        <f>+TablaGeneral[[#This Row],[Plantas x Has]]*TablaGeneral[[#This Row],[N° de Guías x planta]]</f>
        <v>12345.679012345678</v>
      </c>
      <c r="N21" s="7">
        <v>9</v>
      </c>
      <c r="O21" s="7">
        <f>+TablaGeneral[[#This Row],[N° de Guías x planta]]*TablaGeneral[[#This Row],[N° de Yemas x Guias]]</f>
        <v>81</v>
      </c>
      <c r="P21" s="7">
        <v>0.8</v>
      </c>
      <c r="Q21" s="5">
        <f>+TablaGeneral[[#This Row],[N° de Yemas x Planta]]*TablaGeneral[[#This Row],[% de Brotación]]</f>
        <v>64.8</v>
      </c>
      <c r="R21" s="7">
        <v>0.85</v>
      </c>
      <c r="S21" s="7">
        <v>1.5</v>
      </c>
      <c r="T21" s="5">
        <f>+TablaGeneral[[#This Row],[N° de Brotes x Planta]]*TablaGeneral[[#This Row],[% de Fertilidad]]*TablaGeneral[[#This Row],[Cantidad de Racimos x Brote]]</f>
        <v>82.62</v>
      </c>
      <c r="U21" s="7">
        <v>0.35299999999999998</v>
      </c>
      <c r="V21" s="5">
        <f>+TablaGeneral[[#This Row],[Cantidad de Racimos x Planta]]*TablaGeneral[[#This Row],[Peso del Racimo]]</f>
        <v>29.164860000000001</v>
      </c>
      <c r="W21" s="5">
        <f>+TablaGeneral[[#This Row],[Plantas]]*TablaGeneral[[#This Row],[Kg x Planta]]</f>
        <v>133225.08048</v>
      </c>
      <c r="X21" s="5">
        <f>+TablaGeneral[[#This Row],[Kg x Cuartel]]/TablaGeneral[[#This Row],[Has]]</f>
        <v>40007.531675675673</v>
      </c>
      <c r="Y21" t="s">
        <v>42</v>
      </c>
      <c r="Z21" s="15">
        <v>150</v>
      </c>
      <c r="AA21" s="6">
        <f>+TablaGeneral[[#This Row],[Rendimiento Poda]]*1.5</f>
        <v>225</v>
      </c>
      <c r="AB21" s="6">
        <v>500</v>
      </c>
      <c r="AC21" s="6">
        <v>600</v>
      </c>
      <c r="AD21" s="6"/>
      <c r="AE21" s="6">
        <v>700</v>
      </c>
      <c r="AF21" s="6"/>
      <c r="AG21" s="9">
        <f>+IFERROR(TablaGeneral[[#This Row],[Plantas]]/TablaGeneral[[#This Row],[Rendimiento Poda]],0)</f>
        <v>30.453333333333333</v>
      </c>
      <c r="AH21" s="9">
        <f>+TablaGeneral[[#This Row],[Plantas]]/TablaGeneral[[#This Row],[Rendimiento Atada]]</f>
        <v>20.302222222222223</v>
      </c>
      <c r="AI21" s="9">
        <f>+IFERROR(TablaGeneral[[#This Row],[Plantas]]/TablaGeneral[[#This Row],[Rendimiento Desbrote de troncos]],0)</f>
        <v>9.1359999999999992</v>
      </c>
      <c r="AJ21" s="9">
        <f>+IFERROR(TablaGeneral[[#This Row],[Plantas]]/TablaGeneral[[#This Row],[Rendimiento Acomodo de brotes ]],0)</f>
        <v>7.6133333333333333</v>
      </c>
      <c r="AK21" s="9">
        <f>+IFERROR(TablaGeneral[[#This Row],[Plantas]]/TablaGeneral[[#This Row],[Rendimiento Desniete, deshoje ]],0)</f>
        <v>0</v>
      </c>
      <c r="AL21" s="9">
        <f>+IFERROR(TablaGeneral[[#This Row],[Plantas]]/TablaGeneral[[#This Row],[Rendimiento Desbrote con criterio de Poda]],0)</f>
        <v>6.5257142857142858</v>
      </c>
      <c r="AM21" s="9">
        <f>+IFERROR(TablaGeneral[[#This Row],[Plantas]]/TablaGeneral[[#This Row],[Rendimiento Raleo de Racimos]],0)</f>
        <v>0</v>
      </c>
      <c r="AN21" s="10">
        <f>+TablaGeneral[[#This Row],[Plantas]]/3347.215</f>
        <v>1.3647166375628694</v>
      </c>
      <c r="AO21" s="10">
        <f>+TablaGeneral[[#This Row],[Plantas]]/4989.25</f>
        <v>0.91556847221526283</v>
      </c>
      <c r="AP21" s="10">
        <f>+TablaGeneral[[#This Row],[Plantas]]/6677.52</f>
        <v>0.68408630749140398</v>
      </c>
      <c r="AQ21" s="13">
        <f>+TablaGeneral[[#This Row],[Plantas]]/5008.14</f>
        <v>0.9121150766552053</v>
      </c>
      <c r="AR21" s="13">
        <f>+TablaGeneral[[#This Row],[Plantas]]/1652.69</f>
        <v>2.7639787255928212</v>
      </c>
      <c r="AS21" s="10">
        <f>+TablaGeneral[[#This Row],[Plantas]]/1391.73</f>
        <v>3.2822458379139632</v>
      </c>
      <c r="AT21" s="13">
        <f>+TablaGeneral[[#This Row],[Plantas]]/216.3</f>
        <v>21.118816458622284</v>
      </c>
      <c r="AU21" s="13">
        <f>+TablaGeneral[[#This Row],[Plantas]]/2941.65</f>
        <v>1.552869987931943</v>
      </c>
      <c r="AV21" s="13">
        <f>+TablaGeneral[[#This Row],[Plantas]]/980.55</f>
        <v>4.6586099637958291</v>
      </c>
      <c r="AW21" s="13">
        <f>+TablaGeneral[[#This Row],[Plantas]]/9805</f>
        <v>0.46588475267720553</v>
      </c>
      <c r="AX21" s="13">
        <f>+TablaGeneral[[#This Row],[Plantas]]/460</f>
        <v>9.9304347826086961</v>
      </c>
      <c r="AY21" s="13">
        <f>+TablaGeneral[[#This Row],[Plantas]]/1176.66</f>
        <v>3.8821749698298573</v>
      </c>
      <c r="AZ21" s="13"/>
      <c r="BA21" s="13"/>
      <c r="BB21" s="13">
        <f>+TablaGeneral[[#This Row],[Plantas]]/11766.6</f>
        <v>0.38821749698298574</v>
      </c>
      <c r="BC21" s="13">
        <f>+TablaGeneral[[#This Row],[Plantas]]/1897.32</f>
        <v>2.4076065186684374</v>
      </c>
      <c r="BD21" s="13">
        <f>+TablaGeneral[[#This Row],[Plantas]]/3565.64</f>
        <v>1.2811164335154419</v>
      </c>
      <c r="BE21" s="13">
        <f>+TablaGeneral[[#This Row],[Plantas]]/1176.7</f>
        <v>3.8820430016146852</v>
      </c>
      <c r="BF21" s="13">
        <f>+TablaGeneral[[#This Row],[Plantas]]/1568.88</f>
        <v>2.9116312273723928</v>
      </c>
      <c r="BG21" s="13">
        <f>+TablaGeneral[[#This Row],[Plantas]]/2941.65</f>
        <v>1.552869987931943</v>
      </c>
      <c r="BH21" s="13">
        <f>+TablaGeneral[[#This Row],[Plantas]]/1961.1</f>
        <v>2.3293049818979146</v>
      </c>
      <c r="BI21" s="13">
        <f>+TablaGeneral[[#This Row],[Plantas]]/2353.32</f>
        <v>1.9410874849149287</v>
      </c>
      <c r="BJ21" s="13">
        <f>+TablaGeneral[[#This Row],[Plantas]]/1961.1</f>
        <v>2.3293049818979146</v>
      </c>
      <c r="BK21" s="13">
        <f>+TablaGeneral[[#This Row],[Plantas]]/3268</f>
        <v>1.3977968176254589</v>
      </c>
      <c r="BL21" s="13">
        <f>+TablaGeneral[[#This Row],[Plantas]]/525.295</f>
        <v>8.6960660200458797</v>
      </c>
      <c r="BM21" s="13">
        <f>+TablaGeneral[[#This Row],[Plantas]]/653.7</f>
        <v>6.9879149456937428</v>
      </c>
      <c r="BN21" s="17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308.3136895039093</v>
      </c>
      <c r="BO21" s="17">
        <f>+TablaGeneral[[#This Row],[Combustible]]/100</f>
        <v>3.0831368950390932</v>
      </c>
      <c r="BP21" s="17">
        <f>+TablaGeneral[[#This Row],[Combustible]]/150</f>
        <v>2.0554245966927285</v>
      </c>
      <c r="BQ21" s="17">
        <f>+TablaGeneral[[#This Row],[Combustible]]/200</f>
        <v>1.5415684475195466</v>
      </c>
      <c r="BR21" s="1">
        <f>+H21/3054.1</f>
        <v>1.4956943125634394</v>
      </c>
      <c r="BS21" s="1">
        <f>+H21/3054.1</f>
        <v>1.4956943125634394</v>
      </c>
      <c r="BT21" s="1">
        <f>+H21/763.525</f>
        <v>5.9827772502537577</v>
      </c>
      <c r="BU21" s="1">
        <f>+H21/15270.5</f>
        <v>0.29913886251268784</v>
      </c>
      <c r="BV21" s="1">
        <f>+H21/1527.05</f>
        <v>2.9913886251268789</v>
      </c>
      <c r="BW21">
        <f t="shared" si="37"/>
        <v>3.3672664548610856</v>
      </c>
      <c r="BX21">
        <f t="shared" si="38"/>
        <v>2.7499352850168259</v>
      </c>
      <c r="BY21">
        <f t="shared" si="39"/>
        <v>5.4717989137856273</v>
      </c>
      <c r="BZ21">
        <f t="shared" si="40"/>
        <v>4.2090908253245738</v>
      </c>
      <c r="CA21">
        <f t="shared" si="41"/>
        <v>6.4266791598608304</v>
      </c>
      <c r="CB21">
        <f t="shared" si="42"/>
        <v>3.3672664548610856</v>
      </c>
      <c r="CC21">
        <f t="shared" si="43"/>
        <v>0.42090908253245735</v>
      </c>
      <c r="CD21">
        <f t="shared" si="44"/>
        <v>0.28060519316178412</v>
      </c>
      <c r="CF21">
        <f t="shared" si="45"/>
        <v>12.627225935570188</v>
      </c>
      <c r="CG21">
        <f t="shared" si="46"/>
        <v>2.6096295788487467</v>
      </c>
      <c r="CH21">
        <f t="shared" si="47"/>
        <v>2.4693226660900587</v>
      </c>
      <c r="CI21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12.25201603932944</v>
      </c>
      <c r="CJ21" s="59">
        <f>+TablaGeneral[[#This Row],[Tracto elevador]]+TablaGeneral[[#This Row],[Tractor con uñas]]+TablaGeneral[[#This Row],[Tractor con acoplado]]</f>
        <v>10.469860187944075</v>
      </c>
      <c r="CK21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8.1094927231174161</v>
      </c>
      <c r="CL21" s="60">
        <f>+SUM(BR21:BV21)+TablaGeneral[[#This Row],[Cosecha DOV]]+TablaGeneral[[#This Row],[Corte DOV]]</f>
        <v>12.264693363020204</v>
      </c>
      <c r="CM21" s="60">
        <f>+SUM(TablaGeneral[[#This Row],[Colocación de malla]:[Descarga y carga de bines con Autoelevador]])</f>
        <v>43.999729549913262</v>
      </c>
      <c r="CN21" s="59"/>
      <c r="CO21" s="59"/>
      <c r="CP21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21" t="str">
        <f>+TablaGeneral[[#This Row],[Variedad]]&amp;" "&amp;TablaGeneral[[#This Row],[Año de plantación]]</f>
        <v xml:space="preserve">Fiesta </v>
      </c>
      <c r="CR21" t="str">
        <f>+IF(TablaGeneral[[#This Row],[Finca]]="El Espejo I","El Espejo I y II",IF(TablaGeneral[[#This Row],[Finca]]="El Espejo II","El Espejo I y II",TablaGeneral[[#This Row],[Finca]]))</f>
        <v>Camino Truncado</v>
      </c>
    </row>
    <row r="22" spans="1:96">
      <c r="A22" t="s">
        <v>8</v>
      </c>
      <c r="B22">
        <v>17</v>
      </c>
      <c r="C22" s="1">
        <v>3.25</v>
      </c>
      <c r="D22" t="s">
        <v>7</v>
      </c>
      <c r="E22" s="2">
        <v>25000</v>
      </c>
      <c r="F22" s="2">
        <f>+TablaGeneral[[#This Row],[Has]]*TablaGeneral[[#This Row],[Kg x Has]]</f>
        <v>81250</v>
      </c>
      <c r="G22" s="2">
        <f>+TablaGeneral[[#This Row],[Kg 2026]]/4</f>
        <v>20312.5</v>
      </c>
      <c r="H22">
        <v>6136</v>
      </c>
      <c r="J22" t="s">
        <v>24</v>
      </c>
      <c r="K22" s="5">
        <f>10000/IF(LEN(TablaGeneral[[#This Row],[Marco de plantación]])&gt;3,(MID(TablaGeneral[[#This Row],[Marco de plantación]],1,3)*MID(TablaGeneral[[#This Row],[Marco de plantación]],5,3)),(3*2))</f>
        <v>1890.3591682419662</v>
      </c>
      <c r="L22" s="7">
        <v>6</v>
      </c>
      <c r="M22" s="5">
        <f>+TablaGeneral[[#This Row],[Plantas x Has]]*TablaGeneral[[#This Row],[N° de Guías x planta]]</f>
        <v>11342.155009451797</v>
      </c>
      <c r="N22" s="7">
        <v>6</v>
      </c>
      <c r="O22" s="7">
        <f>+TablaGeneral[[#This Row],[N° de Guías x planta]]*TablaGeneral[[#This Row],[N° de Yemas x Guias]]</f>
        <v>36</v>
      </c>
      <c r="P22" s="7">
        <v>0.8</v>
      </c>
      <c r="Q22" s="5">
        <f>+TablaGeneral[[#This Row],[N° de Yemas x Planta]]*TablaGeneral[[#This Row],[% de Brotación]]</f>
        <v>28.8</v>
      </c>
      <c r="R22" s="7">
        <v>0.9</v>
      </c>
      <c r="S22" s="7">
        <v>1.5</v>
      </c>
      <c r="T22" s="5">
        <f>+TablaGeneral[[#This Row],[N° de Brotes x Planta]]*TablaGeneral[[#This Row],[% de Fertilidad]]*TablaGeneral[[#This Row],[Cantidad de Racimos x Brote]]</f>
        <v>38.880000000000003</v>
      </c>
      <c r="U22" s="7">
        <v>0.34100000000000003</v>
      </c>
      <c r="V22" s="5">
        <f>+TablaGeneral[[#This Row],[Cantidad de Racimos x Planta]]*TablaGeneral[[#This Row],[Peso del Racimo]]</f>
        <v>13.258080000000001</v>
      </c>
      <c r="W22" s="5">
        <f>+TablaGeneral[[#This Row],[Plantas]]*TablaGeneral[[#This Row],[Kg x Planta]]</f>
        <v>81351.578880000015</v>
      </c>
      <c r="X22" s="5">
        <f>+TablaGeneral[[#This Row],[Kg x Cuartel]]/TablaGeneral[[#This Row],[Has]]</f>
        <v>25031.255040000004</v>
      </c>
      <c r="Y22" t="s">
        <v>42</v>
      </c>
      <c r="Z22" s="15">
        <v>150</v>
      </c>
      <c r="AA22" s="6">
        <f>+TablaGeneral[[#This Row],[Rendimiento Poda]]*1.5</f>
        <v>225</v>
      </c>
      <c r="AB22" s="6">
        <v>500</v>
      </c>
      <c r="AC22" s="6">
        <v>600</v>
      </c>
      <c r="AD22" s="6"/>
      <c r="AE22" s="6">
        <v>700</v>
      </c>
      <c r="AF22" s="6"/>
      <c r="AG22" s="9">
        <f>+IFERROR(TablaGeneral[[#This Row],[Plantas]]/TablaGeneral[[#This Row],[Rendimiento Poda]],0)</f>
        <v>40.906666666666666</v>
      </c>
      <c r="AH22" s="9">
        <f>+TablaGeneral[[#This Row],[Plantas]]/TablaGeneral[[#This Row],[Rendimiento Atada]]</f>
        <v>27.271111111111111</v>
      </c>
      <c r="AI22" s="9">
        <f>+IFERROR(TablaGeneral[[#This Row],[Plantas]]/TablaGeneral[[#This Row],[Rendimiento Desbrote de troncos]],0)</f>
        <v>12.272</v>
      </c>
      <c r="AJ22" s="9">
        <f>+IFERROR(TablaGeneral[[#This Row],[Plantas]]/TablaGeneral[[#This Row],[Rendimiento Acomodo de brotes ]],0)</f>
        <v>10.226666666666667</v>
      </c>
      <c r="AK22" s="9">
        <f>+IFERROR(TablaGeneral[[#This Row],[Plantas]]/TablaGeneral[[#This Row],[Rendimiento Desniete, deshoje ]],0)</f>
        <v>0</v>
      </c>
      <c r="AL22" s="9">
        <f>+IFERROR(TablaGeneral[[#This Row],[Plantas]]/TablaGeneral[[#This Row],[Rendimiento Desbrote con criterio de Poda]],0)</f>
        <v>8.7657142857142851</v>
      </c>
      <c r="AM22" s="9">
        <f>+IFERROR(TablaGeneral[[#This Row],[Plantas]]/TablaGeneral[[#This Row],[Rendimiento Raleo de Racimos]],0)</f>
        <v>0</v>
      </c>
      <c r="AN22" s="10">
        <f>+TablaGeneral[[#This Row],[Plantas]]/4150</f>
        <v>1.4785542168674699</v>
      </c>
      <c r="AO22" s="10">
        <f>+TablaGeneral[[#This Row],[Plantas]]/6196.57</f>
        <v>0.99022523751042923</v>
      </c>
      <c r="AP22" s="10">
        <f>+TablaGeneral[[#This Row],[Plantas]]/8269.65</f>
        <v>0.74199028979461046</v>
      </c>
      <c r="AQ22" s="14">
        <f>+TablaGeneral[[#This Row],[Plantas]]/2069.3</f>
        <v>2.9652539506113174</v>
      </c>
      <c r="AR22" s="14">
        <f>+TablaGeneral[[#This Row],[Plantas]]/2056.14</f>
        <v>2.9842325911659713</v>
      </c>
      <c r="AS22" s="10">
        <f>+TablaGeneral[[#This Row],[Plantas]]/1721.27</f>
        <v>3.564809704462403</v>
      </c>
      <c r="AT22" s="13">
        <f>+TablaGeneral[[#This Row],[Plantas]]/216.3</f>
        <v>28.36800739713361</v>
      </c>
      <c r="AU22" s="13">
        <f>+TablaGeneral[[#This Row],[Plantas]]/2941.65</f>
        <v>2.0859041694287219</v>
      </c>
      <c r="AV22" s="13">
        <f>+TablaGeneral[[#This Row],[Plantas]]/980.55</f>
        <v>6.2577125082861667</v>
      </c>
      <c r="AW22" s="13">
        <f>+TablaGeneral[[#This Row],[Plantas]]/9805</f>
        <v>0.62580316165221828</v>
      </c>
      <c r="AX22" s="13">
        <f>+TablaGeneral[[#This Row],[Plantas]]/460</f>
        <v>13.339130434782609</v>
      </c>
      <c r="AY22" s="13">
        <f>+TablaGeneral[[#This Row],[Plantas]]/1176.66</f>
        <v>5.2147604235718044</v>
      </c>
      <c r="AZ22" s="13"/>
      <c r="BA22" s="13"/>
      <c r="BB22" s="13">
        <f>+TablaGeneral[[#This Row],[Plantas]]/11766.6</f>
        <v>0.52147604235718048</v>
      </c>
      <c r="BC22" s="13">
        <f>+TablaGeneral[[#This Row],[Plantas]]/1897.32</f>
        <v>3.2340353762148717</v>
      </c>
      <c r="BD22" s="13">
        <f>+TablaGeneral[[#This Row],[Plantas]]/3565.64</f>
        <v>1.7208691847746829</v>
      </c>
      <c r="BE22" s="13">
        <f>+TablaGeneral[[#This Row],[Plantas]]/1176.7</f>
        <v>5.2145831562845242</v>
      </c>
      <c r="BF22" s="13">
        <f>+TablaGeneral[[#This Row],[Plantas]]/1568.88</f>
        <v>3.9110703176788535</v>
      </c>
      <c r="BG22" s="13">
        <f>+TablaGeneral[[#This Row],[Plantas]]/2941.65</f>
        <v>2.0859041694287219</v>
      </c>
      <c r="BH22" s="13">
        <f>+TablaGeneral[[#This Row],[Plantas]]/1961.1</f>
        <v>3.1288562541430833</v>
      </c>
      <c r="BI22" s="13">
        <f>+TablaGeneral[[#This Row],[Plantas]]/2353.32</f>
        <v>2.6073802117859022</v>
      </c>
      <c r="BJ22" s="13">
        <f>+TablaGeneral[[#This Row],[Plantas]]/1961.1</f>
        <v>3.1288562541430833</v>
      </c>
      <c r="BK22" s="13">
        <f>+TablaGeneral[[#This Row],[Plantas]]/3268</f>
        <v>1.8776009791921664</v>
      </c>
      <c r="BL22" s="13">
        <f>+TablaGeneral[[#This Row],[Plantas]]/525.295</f>
        <v>11.681055406961804</v>
      </c>
      <c r="BM22" s="13">
        <f>+TablaGeneral[[#This Row],[Plantas]]/653.7</f>
        <v>9.3865687624292491</v>
      </c>
      <c r="BN22" s="17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457.37629739252293</v>
      </c>
      <c r="BO22" s="17">
        <f>+TablaGeneral[[#This Row],[Combustible]]/100</f>
        <v>4.5737629739252297</v>
      </c>
      <c r="BP22" s="17">
        <f>+TablaGeneral[[#This Row],[Combustible]]/150</f>
        <v>3.0491753159501527</v>
      </c>
      <c r="BQ22" s="17">
        <f>+TablaGeneral[[#This Row],[Combustible]]/200</f>
        <v>2.2868814869626148</v>
      </c>
      <c r="BR22" s="1">
        <f>+H22/2261.75</f>
        <v>2.7129435171880183</v>
      </c>
      <c r="BS22" s="1">
        <f>+H22/2261.75</f>
        <v>2.7129435171880183</v>
      </c>
      <c r="BT22" s="1">
        <f>+H22/565.438</f>
        <v>10.851764472851135</v>
      </c>
      <c r="BU22" s="1">
        <f>+H22/5654.38</f>
        <v>1.0851764472851135</v>
      </c>
      <c r="BV22" s="1">
        <f>+H22/1130.88</f>
        <v>5.425863044708545</v>
      </c>
      <c r="BW22">
        <f t="shared" si="37"/>
        <v>4.5231057283335421</v>
      </c>
      <c r="BX22">
        <f t="shared" si="38"/>
        <v>3.6938710395935295</v>
      </c>
      <c r="BY22">
        <f t="shared" si="39"/>
        <v>7.350034617992252</v>
      </c>
      <c r="BZ22">
        <f t="shared" si="40"/>
        <v>5.6538925797267039</v>
      </c>
      <c r="CA22">
        <f t="shared" si="41"/>
        <v>8.6326846157850383</v>
      </c>
      <c r="CB22">
        <f t="shared" si="42"/>
        <v>4.5231057283335421</v>
      </c>
      <c r="CC22">
        <f t="shared" si="43"/>
        <v>0.56538925797267037</v>
      </c>
      <c r="CD22">
        <f t="shared" si="44"/>
        <v>0.37692501428211633</v>
      </c>
      <c r="CF22">
        <f t="shared" si="45"/>
        <v>16.961615223436663</v>
      </c>
      <c r="CG22">
        <f t="shared" si="46"/>
        <v>3.5054043554763372</v>
      </c>
      <c r="CH22">
        <f t="shared" si="47"/>
        <v>3.3169360505973295</v>
      </c>
      <c r="CI22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15.853922244555285</v>
      </c>
      <c r="CJ22" s="59">
        <f>+TablaGeneral[[#This Row],[Tracto elevador]]+TablaGeneral[[#This Row],[Tractor con uñas]]+TablaGeneral[[#This Row],[Tractor con acoplado]]</f>
        <v>18.990571034747699</v>
      </c>
      <c r="CK22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10.893136459949313</v>
      </c>
      <c r="CL22" s="60">
        <f>+SUM(BR22:BV22)+TablaGeneral[[#This Row],[Cosecha DOV]]+TablaGeneral[[#This Row],[Corte DOV]]</f>
        <v>22.788690999220833</v>
      </c>
      <c r="CM22" s="60">
        <f>+SUM(TablaGeneral[[#This Row],[Colocación de malla]:[Descarga y carga de bines con Autoelevador]])</f>
        <v>59.102964211529724</v>
      </c>
      <c r="CN22" s="59"/>
      <c r="CO22" s="59"/>
      <c r="CP22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22" t="str">
        <f>+TablaGeneral[[#This Row],[Variedad]]&amp;" "&amp;TablaGeneral[[#This Row],[Año de plantación]]</f>
        <v xml:space="preserve">Arizul </v>
      </c>
      <c r="CR22" t="str">
        <f>+IF(TablaGeneral[[#This Row],[Finca]]="El Espejo I","El Espejo I y II",IF(TablaGeneral[[#This Row],[Finca]]="El Espejo II","El Espejo I y II",TablaGeneral[[#This Row],[Finca]]))</f>
        <v>Camino Truncado</v>
      </c>
    </row>
    <row r="23" spans="1:96">
      <c r="A23" t="s">
        <v>8</v>
      </c>
      <c r="B23">
        <v>18</v>
      </c>
      <c r="C23" s="1">
        <v>2.0499999999999998</v>
      </c>
      <c r="D23" t="s">
        <v>7</v>
      </c>
      <c r="E23" s="2">
        <v>40000</v>
      </c>
      <c r="F23" s="2">
        <f>+TablaGeneral[[#This Row],[Has]]*TablaGeneral[[#This Row],[Kg x Has]]</f>
        <v>82000</v>
      </c>
      <c r="G23" s="2">
        <f>+TablaGeneral[[#This Row],[Kg 2026]]/4</f>
        <v>20500</v>
      </c>
      <c r="H23">
        <v>3420</v>
      </c>
      <c r="J23" t="s">
        <v>23</v>
      </c>
      <c r="K23" s="5">
        <f>10000/IF(LEN(TablaGeneral[[#This Row],[Marco de plantación]])&gt;3,(MID(TablaGeneral[[#This Row],[Marco de plantación]],1,3)*MID(TablaGeneral[[#This Row],[Marco de plantación]],5,3)),(3*2))</f>
        <v>1666.6666666666667</v>
      </c>
      <c r="L23" s="7">
        <v>12</v>
      </c>
      <c r="M23" s="5">
        <f>+TablaGeneral[[#This Row],[Plantas x Has]]*TablaGeneral[[#This Row],[N° de Guías x planta]]</f>
        <v>20000</v>
      </c>
      <c r="N23" s="7">
        <v>6</v>
      </c>
      <c r="O23" s="7">
        <f>+TablaGeneral[[#This Row],[N° de Guías x planta]]*TablaGeneral[[#This Row],[N° de Yemas x Guias]]</f>
        <v>72</v>
      </c>
      <c r="P23" s="7">
        <v>0.8</v>
      </c>
      <c r="Q23" s="5">
        <f>+TablaGeneral[[#This Row],[N° de Yemas x Planta]]*TablaGeneral[[#This Row],[% de Brotación]]</f>
        <v>57.6</v>
      </c>
      <c r="R23" s="7">
        <v>0.8</v>
      </c>
      <c r="S23" s="7">
        <v>1.5</v>
      </c>
      <c r="T23" s="5">
        <f>+TablaGeneral[[#This Row],[N° de Brotes x Planta]]*TablaGeneral[[#This Row],[% de Fertilidad]]*TablaGeneral[[#This Row],[Cantidad de Racimos x Brote]]</f>
        <v>69.12</v>
      </c>
      <c r="U23" s="7">
        <v>0.35</v>
      </c>
      <c r="V23" s="5">
        <f>+TablaGeneral[[#This Row],[Cantidad de Racimos x Planta]]*TablaGeneral[[#This Row],[Peso del Racimo]]</f>
        <v>24.192</v>
      </c>
      <c r="W23" s="5">
        <f>+TablaGeneral[[#This Row],[Plantas]]*TablaGeneral[[#This Row],[Kg x Planta]]</f>
        <v>82736.639999999999</v>
      </c>
      <c r="X23" s="5">
        <f>+TablaGeneral[[#This Row],[Kg x Cuartel]]/TablaGeneral[[#This Row],[Has]]</f>
        <v>40359.336585365854</v>
      </c>
      <c r="Y23" t="s">
        <v>42</v>
      </c>
      <c r="Z23" s="15">
        <v>110</v>
      </c>
      <c r="AA23" s="6">
        <f>+TablaGeneral[[#This Row],[Rendimiento Poda]]*1.5</f>
        <v>165</v>
      </c>
      <c r="AB23" s="6">
        <v>500</v>
      </c>
      <c r="AC23" s="6">
        <v>600</v>
      </c>
      <c r="AD23" s="6"/>
      <c r="AE23" s="6">
        <v>700</v>
      </c>
      <c r="AF23" s="6"/>
      <c r="AG23" s="9">
        <f>+IFERROR(TablaGeneral[[#This Row],[Plantas]]/TablaGeneral[[#This Row],[Rendimiento Poda]],0)</f>
        <v>31.09090909090909</v>
      </c>
      <c r="AH23" s="9">
        <f>+TablaGeneral[[#This Row],[Plantas]]/TablaGeneral[[#This Row],[Rendimiento Atada]]</f>
        <v>20.727272727272727</v>
      </c>
      <c r="AI23" s="9">
        <f>+IFERROR(TablaGeneral[[#This Row],[Plantas]]/TablaGeneral[[#This Row],[Rendimiento Desbrote de troncos]],0)</f>
        <v>6.84</v>
      </c>
      <c r="AJ23" s="9">
        <f>+IFERROR(TablaGeneral[[#This Row],[Plantas]]/TablaGeneral[[#This Row],[Rendimiento Acomodo de brotes ]],0)</f>
        <v>5.7</v>
      </c>
      <c r="AK23" s="9">
        <f>+IFERROR(TablaGeneral[[#This Row],[Plantas]]/TablaGeneral[[#This Row],[Rendimiento Desniete, deshoje ]],0)</f>
        <v>0</v>
      </c>
      <c r="AL23" s="9">
        <f>+IFERROR(TablaGeneral[[#This Row],[Plantas]]/TablaGeneral[[#This Row],[Rendimiento Desbrote con criterio de Poda]],0)</f>
        <v>4.8857142857142861</v>
      </c>
      <c r="AM23" s="9">
        <f>+IFERROR(TablaGeneral[[#This Row],[Plantas]]/TablaGeneral[[#This Row],[Rendimiento Raleo de Racimos]],0)</f>
        <v>0</v>
      </c>
      <c r="AN23" s="10">
        <f>+TablaGeneral[[#This Row],[Plantas]]/4150</f>
        <v>0.82409638554216869</v>
      </c>
      <c r="AO23" s="10">
        <f>+TablaGeneral[[#This Row],[Plantas]]/6196.57</f>
        <v>0.55191823863847256</v>
      </c>
      <c r="AP23" s="10">
        <f>+TablaGeneral[[#This Row],[Plantas]]/8269.65</f>
        <v>0.41356042879686566</v>
      </c>
      <c r="AQ23" s="14">
        <f>+TablaGeneral[[#This Row],[Plantas]]/2069.3</f>
        <v>1.6527328081960082</v>
      </c>
      <c r="AR23" s="14">
        <f>+TablaGeneral[[#This Row],[Plantas]]/2056.14</f>
        <v>1.6633108640462226</v>
      </c>
      <c r="AS23" s="10">
        <f>+TablaGeneral[[#This Row],[Plantas]]/1721.27</f>
        <v>1.9869050178066197</v>
      </c>
      <c r="AT23" s="13">
        <f>+TablaGeneral[[#This Row],[Plantas]]/216.3</f>
        <v>15.811373092926489</v>
      </c>
      <c r="AU23" s="13">
        <f>+TablaGeneral[[#This Row],[Plantas]]/2941.65</f>
        <v>1.162612819336087</v>
      </c>
      <c r="AV23" s="13">
        <f>+TablaGeneral[[#This Row],[Plantas]]/980.55</f>
        <v>3.4878384580082606</v>
      </c>
      <c r="AW23" s="13">
        <f>+TablaGeneral[[#This Row],[Plantas]]/9805</f>
        <v>0.34880163182049972</v>
      </c>
      <c r="AX23" s="13">
        <f>+TablaGeneral[[#This Row],[Plantas]]/460</f>
        <v>7.4347826086956523</v>
      </c>
      <c r="AY23" s="13">
        <f>+TablaGeneral[[#This Row],[Plantas]]/1176.66</f>
        <v>2.9065320483402171</v>
      </c>
      <c r="AZ23" s="13"/>
      <c r="BA23" s="13"/>
      <c r="BB23" s="13">
        <f>+TablaGeneral[[#This Row],[Plantas]]/11766.6</f>
        <v>0.29065320483402174</v>
      </c>
      <c r="BC23" s="13">
        <f>+TablaGeneral[[#This Row],[Plantas]]/1897.32</f>
        <v>1.8025425336790843</v>
      </c>
      <c r="BD23" s="13">
        <f>+TablaGeneral[[#This Row],[Plantas]]/3565.64</f>
        <v>0.95915459777206902</v>
      </c>
      <c r="BE23" s="13">
        <f>+TablaGeneral[[#This Row],[Plantas]]/1176.7</f>
        <v>2.9064332455171242</v>
      </c>
      <c r="BF23" s="13">
        <f>+TablaGeneral[[#This Row],[Plantas]]/1568.88</f>
        <v>2.1798990362551627</v>
      </c>
      <c r="BG23" s="13">
        <f>+TablaGeneral[[#This Row],[Plantas]]/2941.65</f>
        <v>1.162612819336087</v>
      </c>
      <c r="BH23" s="13">
        <f>+TablaGeneral[[#This Row],[Plantas]]/1961.1</f>
        <v>1.7439192290041303</v>
      </c>
      <c r="BI23" s="13">
        <f>+TablaGeneral[[#This Row],[Plantas]]/2353.32</f>
        <v>1.4532660241701085</v>
      </c>
      <c r="BJ23" s="13">
        <f>+TablaGeneral[[#This Row],[Plantas]]/1961.1</f>
        <v>1.7439192290041303</v>
      </c>
      <c r="BK23" s="13">
        <f>+TablaGeneral[[#This Row],[Plantas]]/3268</f>
        <v>1.0465116279069768</v>
      </c>
      <c r="BL23" s="13">
        <f>+TablaGeneral[[#This Row],[Plantas]]/525.295</f>
        <v>6.51062736176815</v>
      </c>
      <c r="BM23" s="13">
        <f>+TablaGeneral[[#This Row],[Plantas]]/653.7</f>
        <v>5.231757687012391</v>
      </c>
      <c r="BN23" s="17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254.92616314902682</v>
      </c>
      <c r="BO23" s="17">
        <f>+TablaGeneral[[#This Row],[Combustible]]/100</f>
        <v>2.5492616314902681</v>
      </c>
      <c r="BP23" s="17">
        <f>+TablaGeneral[[#This Row],[Combustible]]/150</f>
        <v>1.6995077543268455</v>
      </c>
      <c r="BQ23" s="17">
        <f>+TablaGeneral[[#This Row],[Combustible]]/200</f>
        <v>1.274630815745134</v>
      </c>
      <c r="BR23" s="1">
        <f>+H23/2261.75</f>
        <v>1.5121034597104013</v>
      </c>
      <c r="BS23" s="1">
        <f>+H23/2261.75</f>
        <v>1.5121034597104013</v>
      </c>
      <c r="BT23" s="1">
        <f>+H23/565.438</f>
        <v>6.048408490409205</v>
      </c>
      <c r="BU23" s="1">
        <f>+H23/5654.38</f>
        <v>0.6048408490409205</v>
      </c>
      <c r="BV23" s="1">
        <f>+H23/1130.88</f>
        <v>3.0241935483870965</v>
      </c>
      <c r="BW23">
        <f t="shared" si="37"/>
        <v>2.521026986783037</v>
      </c>
      <c r="BX23">
        <f t="shared" si="38"/>
        <v>2.0588394647017392</v>
      </c>
      <c r="BY23">
        <f t="shared" si="39"/>
        <v>4.096662058920062</v>
      </c>
      <c r="BZ23">
        <f t="shared" si="40"/>
        <v>3.1512895408515855</v>
      </c>
      <c r="CA23">
        <f t="shared" si="41"/>
        <v>4.8115680224877488</v>
      </c>
      <c r="CB23">
        <f t="shared" si="42"/>
        <v>2.521026986783037</v>
      </c>
      <c r="CC23">
        <f t="shared" si="43"/>
        <v>0.31512895408515851</v>
      </c>
      <c r="CD23">
        <f t="shared" si="44"/>
        <v>0.2100853241272552</v>
      </c>
      <c r="CF23">
        <f t="shared" si="45"/>
        <v>9.4538337783822346</v>
      </c>
      <c r="CG23">
        <f t="shared" si="46"/>
        <v>1.9537944745321176</v>
      </c>
      <c r="CH23">
        <f t="shared" si="47"/>
        <v>1.8487485810043784</v>
      </c>
      <c r="CI23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8.836442972030488</v>
      </c>
      <c r="CJ23" s="59">
        <f>+TablaGeneral[[#This Row],[Tracto elevador]]+TablaGeneral[[#This Row],[Tractor con uñas]]+TablaGeneral[[#This Row],[Tractor con acoplado]]</f>
        <v>10.584705498506702</v>
      </c>
      <c r="CK23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6.0714678443654906</v>
      </c>
      <c r="CL23" s="60">
        <f>+SUM(BR23:BV23)+TablaGeneral[[#This Row],[Cosecha DOV]]+TablaGeneral[[#This Row],[Corte DOV]]</f>
        <v>12.701649807258024</v>
      </c>
      <c r="CM23" s="60">
        <f>+SUM(TablaGeneral[[#This Row],[Colocación de malla]:[Descarga y carga de bines con Autoelevador]])</f>
        <v>32.942004172658358</v>
      </c>
      <c r="CN23" s="59"/>
      <c r="CO23" s="59"/>
      <c r="CP23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23" t="str">
        <f>+TablaGeneral[[#This Row],[Variedad]]&amp;" "&amp;TablaGeneral[[#This Row],[Año de plantación]]</f>
        <v xml:space="preserve">Arizul </v>
      </c>
      <c r="CR23" t="str">
        <f>+IF(TablaGeneral[[#This Row],[Finca]]="El Espejo I","El Espejo I y II",IF(TablaGeneral[[#This Row],[Finca]]="El Espejo II","El Espejo I y II",TablaGeneral[[#This Row],[Finca]]))</f>
        <v>Camino Truncado</v>
      </c>
    </row>
    <row r="24" spans="1:96">
      <c r="A24" t="s">
        <v>8</v>
      </c>
      <c r="B24">
        <v>19</v>
      </c>
      <c r="C24" s="1">
        <v>1.298</v>
      </c>
      <c r="D24" t="s">
        <v>7</v>
      </c>
      <c r="E24" s="2">
        <v>35000</v>
      </c>
      <c r="F24" s="2">
        <f>+TablaGeneral[[#This Row],[Has]]*TablaGeneral[[#This Row],[Kg x Has]]</f>
        <v>45430</v>
      </c>
      <c r="G24" s="2">
        <f>+TablaGeneral[[#This Row],[Kg 2026]]/4</f>
        <v>11357.5</v>
      </c>
      <c r="H24">
        <v>2166</v>
      </c>
      <c r="J24" t="s">
        <v>23</v>
      </c>
      <c r="K24" s="5">
        <f>10000/IF(LEN(TablaGeneral[[#This Row],[Marco de plantación]])&gt;3,(MID(TablaGeneral[[#This Row],[Marco de plantación]],1,3)*MID(TablaGeneral[[#This Row],[Marco de plantación]],5,3)),(3*2))</f>
        <v>1666.6666666666667</v>
      </c>
      <c r="L24" s="7">
        <v>9</v>
      </c>
      <c r="M24" s="5">
        <f>+TablaGeneral[[#This Row],[Plantas x Has]]*TablaGeneral[[#This Row],[N° de Guías x planta]]</f>
        <v>15000</v>
      </c>
      <c r="N24" s="7">
        <v>7</v>
      </c>
      <c r="O24" s="7">
        <f>+TablaGeneral[[#This Row],[N° de Guías x planta]]*TablaGeneral[[#This Row],[N° de Yemas x Guias]]</f>
        <v>63</v>
      </c>
      <c r="P24" s="7">
        <v>0.7</v>
      </c>
      <c r="Q24" s="5">
        <f>+TablaGeneral[[#This Row],[N° de Yemas x Planta]]*TablaGeneral[[#This Row],[% de Brotación]]</f>
        <v>44.099999999999994</v>
      </c>
      <c r="R24" s="7">
        <v>0.9</v>
      </c>
      <c r="S24" s="7">
        <v>1.5</v>
      </c>
      <c r="T24" s="5">
        <f>+TablaGeneral[[#This Row],[N° de Brotes x Planta]]*TablaGeneral[[#This Row],[% de Fertilidad]]*TablaGeneral[[#This Row],[Cantidad de Racimos x Brote]]</f>
        <v>59.534999999999997</v>
      </c>
      <c r="U24" s="7">
        <v>0.36</v>
      </c>
      <c r="V24" s="5">
        <f>+TablaGeneral[[#This Row],[Cantidad de Racimos x Planta]]*TablaGeneral[[#This Row],[Peso del Racimo]]</f>
        <v>21.432599999999997</v>
      </c>
      <c r="W24" s="5">
        <f>+TablaGeneral[[#This Row],[Plantas]]*TablaGeneral[[#This Row],[Kg x Planta]]</f>
        <v>46423.011599999991</v>
      </c>
      <c r="X24" s="5">
        <f>+TablaGeneral[[#This Row],[Kg x Cuartel]]/TablaGeneral[[#This Row],[Has]]</f>
        <v>35765.032049306617</v>
      </c>
      <c r="Y24" t="s">
        <v>42</v>
      </c>
      <c r="Z24" s="15">
        <v>150</v>
      </c>
      <c r="AA24" s="6">
        <f>+TablaGeneral[[#This Row],[Rendimiento Poda]]*1.5</f>
        <v>225</v>
      </c>
      <c r="AB24" s="6">
        <v>500</v>
      </c>
      <c r="AC24" s="6">
        <v>600</v>
      </c>
      <c r="AD24" s="6"/>
      <c r="AE24" s="6">
        <v>700</v>
      </c>
      <c r="AF24" s="6"/>
      <c r="AG24" s="9">
        <f>+IFERROR(TablaGeneral[[#This Row],[Plantas]]/TablaGeneral[[#This Row],[Rendimiento Poda]],0)</f>
        <v>14.44</v>
      </c>
      <c r="AH24" s="9">
        <f>+TablaGeneral[[#This Row],[Plantas]]/TablaGeneral[[#This Row],[Rendimiento Atada]]</f>
        <v>9.6266666666666669</v>
      </c>
      <c r="AI24" s="9">
        <f>+IFERROR(TablaGeneral[[#This Row],[Plantas]]/TablaGeneral[[#This Row],[Rendimiento Desbrote de troncos]],0)</f>
        <v>4.3319999999999999</v>
      </c>
      <c r="AJ24" s="9">
        <f>+IFERROR(TablaGeneral[[#This Row],[Plantas]]/TablaGeneral[[#This Row],[Rendimiento Acomodo de brotes ]],0)</f>
        <v>3.61</v>
      </c>
      <c r="AK24" s="9">
        <f>+IFERROR(TablaGeneral[[#This Row],[Plantas]]/TablaGeneral[[#This Row],[Rendimiento Desniete, deshoje ]],0)</f>
        <v>0</v>
      </c>
      <c r="AL24" s="9">
        <f>+IFERROR(TablaGeneral[[#This Row],[Plantas]]/TablaGeneral[[#This Row],[Rendimiento Desbrote con criterio de Poda]],0)</f>
        <v>3.0942857142857143</v>
      </c>
      <c r="AM24" s="9">
        <f>+IFERROR(TablaGeneral[[#This Row],[Plantas]]/TablaGeneral[[#This Row],[Rendimiento Raleo de Racimos]],0)</f>
        <v>0</v>
      </c>
      <c r="AN24" s="10">
        <f>+TablaGeneral[[#This Row],[Plantas]]/4150</f>
        <v>0.52192771084337353</v>
      </c>
      <c r="AO24" s="10">
        <f>+TablaGeneral[[#This Row],[Plantas]]/6196.57</f>
        <v>0.34954821780436596</v>
      </c>
      <c r="AP24" s="10">
        <f>+TablaGeneral[[#This Row],[Plantas]]/8269.65</f>
        <v>0.26192160490468158</v>
      </c>
      <c r="AQ24" s="14">
        <f>+TablaGeneral[[#This Row],[Plantas]]/2069.3</f>
        <v>1.0467307785241384</v>
      </c>
      <c r="AR24" s="14">
        <f>+TablaGeneral[[#This Row],[Plantas]]/2056.14</f>
        <v>1.053430213895941</v>
      </c>
      <c r="AS24" s="10">
        <f>+TablaGeneral[[#This Row],[Plantas]]/1721.27</f>
        <v>1.2583731779441925</v>
      </c>
      <c r="AT24" s="13">
        <f>+TablaGeneral[[#This Row],[Plantas]]/216.3</f>
        <v>10.01386962552011</v>
      </c>
      <c r="AU24" s="13">
        <f>+TablaGeneral[[#This Row],[Plantas]]/2941.65</f>
        <v>0.73632145224618839</v>
      </c>
      <c r="AV24" s="13">
        <f>+TablaGeneral[[#This Row],[Plantas]]/980.55</f>
        <v>2.2089643567385653</v>
      </c>
      <c r="AW24" s="13">
        <f>+TablaGeneral[[#This Row],[Plantas]]/9805</f>
        <v>0.22090770015298317</v>
      </c>
      <c r="AX24" s="13">
        <f>+TablaGeneral[[#This Row],[Plantas]]/460</f>
        <v>4.7086956521739127</v>
      </c>
      <c r="AY24" s="13">
        <f>+TablaGeneral[[#This Row],[Plantas]]/1176.66</f>
        <v>1.8408036306154707</v>
      </c>
      <c r="AZ24" s="13"/>
      <c r="BA24" s="13"/>
      <c r="BB24" s="13">
        <f>+TablaGeneral[[#This Row],[Plantas]]/11766.6</f>
        <v>0.1840803630615471</v>
      </c>
      <c r="BC24" s="13">
        <f>+TablaGeneral[[#This Row],[Plantas]]/1897.32</f>
        <v>1.1416102713300866</v>
      </c>
      <c r="BD24" s="13">
        <f>+TablaGeneral[[#This Row],[Plantas]]/3565.64</f>
        <v>0.60746457858897707</v>
      </c>
      <c r="BE24" s="13">
        <f>+TablaGeneral[[#This Row],[Plantas]]/1176.7</f>
        <v>1.8407410554941785</v>
      </c>
      <c r="BF24" s="13">
        <f>+TablaGeneral[[#This Row],[Plantas]]/1568.88</f>
        <v>1.3806027229616031</v>
      </c>
      <c r="BG24" s="13">
        <f>+TablaGeneral[[#This Row],[Plantas]]/2941.65</f>
        <v>0.73632145224618839</v>
      </c>
      <c r="BH24" s="13">
        <f>+TablaGeneral[[#This Row],[Plantas]]/1961.1</f>
        <v>1.1044821783692826</v>
      </c>
      <c r="BI24" s="13">
        <f>+TablaGeneral[[#This Row],[Plantas]]/2353.32</f>
        <v>0.92040181530773535</v>
      </c>
      <c r="BJ24" s="13">
        <f>+TablaGeneral[[#This Row],[Plantas]]/1961.1</f>
        <v>1.1044821783692826</v>
      </c>
      <c r="BK24" s="13">
        <f>+TablaGeneral[[#This Row],[Plantas]]/3268</f>
        <v>0.66279069767441856</v>
      </c>
      <c r="BL24" s="13">
        <f>+TablaGeneral[[#This Row],[Plantas]]/525.295</f>
        <v>4.123397329119828</v>
      </c>
      <c r="BM24" s="13">
        <f>+TablaGeneral[[#This Row],[Plantas]]/653.7</f>
        <v>3.3134465351078473</v>
      </c>
      <c r="BN24" s="17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161.45323666105028</v>
      </c>
      <c r="BO24" s="17">
        <f>+TablaGeneral[[#This Row],[Combustible]]/100</f>
        <v>1.6145323666105029</v>
      </c>
      <c r="BP24" s="17">
        <f>+TablaGeneral[[#This Row],[Combustible]]/150</f>
        <v>1.0763549110736685</v>
      </c>
      <c r="BQ24" s="17">
        <f>+TablaGeneral[[#This Row],[Combustible]]/200</f>
        <v>0.80726618330525146</v>
      </c>
      <c r="BR24" s="1">
        <f>+H24/2261.75</f>
        <v>0.95766552448325415</v>
      </c>
      <c r="BS24" s="1">
        <f>+H24/2261.75</f>
        <v>0.95766552448325415</v>
      </c>
      <c r="BT24" s="1">
        <f>+H24/565.438</f>
        <v>3.8306587105924965</v>
      </c>
      <c r="BU24" s="1">
        <f>+H24/5654.38</f>
        <v>0.38306587105924966</v>
      </c>
      <c r="BV24" s="1">
        <f>+H24/1130.88</f>
        <v>1.915322580645161</v>
      </c>
      <c r="BW24">
        <f t="shared" si="37"/>
        <v>1.5966504249625901</v>
      </c>
      <c r="BX24">
        <f t="shared" si="38"/>
        <v>1.303931660977768</v>
      </c>
      <c r="BY24">
        <f t="shared" si="39"/>
        <v>2.5945526373160392</v>
      </c>
      <c r="BZ24">
        <f t="shared" si="40"/>
        <v>1.9958167092060042</v>
      </c>
      <c r="CA24">
        <f t="shared" si="41"/>
        <v>3.0473264142422414</v>
      </c>
      <c r="CB24">
        <f t="shared" si="42"/>
        <v>1.5966504249625901</v>
      </c>
      <c r="CC24">
        <f t="shared" si="43"/>
        <v>0.19958167092060039</v>
      </c>
      <c r="CD24">
        <f t="shared" si="44"/>
        <v>0.13305403861392828</v>
      </c>
      <c r="CF24">
        <f t="shared" si="45"/>
        <v>5.9874280596420819</v>
      </c>
      <c r="CG24">
        <f t="shared" si="46"/>
        <v>1.2374031672036745</v>
      </c>
      <c r="CH24">
        <f t="shared" si="47"/>
        <v>1.170874101302773</v>
      </c>
      <c r="CI24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5.5964138822859759</v>
      </c>
      <c r="CJ24" s="59">
        <f>+TablaGeneral[[#This Row],[Tracto elevador]]+TablaGeneral[[#This Row],[Tractor con uñas]]+TablaGeneral[[#This Row],[Tractor con acoplado]]</f>
        <v>6.7036468157209113</v>
      </c>
      <c r="CK24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3.8452629680981438</v>
      </c>
      <c r="CL24" s="60">
        <f>+SUM(BR24:BV24)+TablaGeneral[[#This Row],[Cosecha DOV]]+TablaGeneral[[#This Row],[Corte DOV]]</f>
        <v>8.0443782112634157</v>
      </c>
      <c r="CM24" s="60">
        <f>+SUM(TablaGeneral[[#This Row],[Colocación de malla]:[Descarga y carga de bines con Autoelevador]])</f>
        <v>20.863269309350287</v>
      </c>
      <c r="CN24" s="59"/>
      <c r="CO24" s="59"/>
      <c r="CP24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24" t="str">
        <f>+TablaGeneral[[#This Row],[Variedad]]&amp;" "&amp;TablaGeneral[[#This Row],[Año de plantación]]</f>
        <v xml:space="preserve">Arizul </v>
      </c>
      <c r="CR24" t="str">
        <f>+IF(TablaGeneral[[#This Row],[Finca]]="El Espejo I","El Espejo I y II",IF(TablaGeneral[[#This Row],[Finca]]="El Espejo II","El Espejo I y II",TablaGeneral[[#This Row],[Finca]]))</f>
        <v>Camino Truncado</v>
      </c>
    </row>
    <row r="25" spans="1:96">
      <c r="A25" t="s">
        <v>8</v>
      </c>
      <c r="B25">
        <v>20</v>
      </c>
      <c r="C25" s="1">
        <v>1.4730000000000001</v>
      </c>
      <c r="D25" t="s">
        <v>6</v>
      </c>
      <c r="E25" s="2">
        <v>35000</v>
      </c>
      <c r="F25" s="2">
        <f>+TablaGeneral[[#This Row],[Has]]*TablaGeneral[[#This Row],[Kg x Has]]</f>
        <v>51555</v>
      </c>
      <c r="G25" s="2">
        <f>+TablaGeneral[[#This Row],[Kg 2026]]/4</f>
        <v>12888.75</v>
      </c>
      <c r="H25" s="2">
        <v>2449</v>
      </c>
      <c r="I25" s="2"/>
      <c r="J25" t="s">
        <v>23</v>
      </c>
      <c r="K25" s="5">
        <f>10000/IF(LEN(TablaGeneral[[#This Row],[Marco de plantación]])&gt;3,(MID(TablaGeneral[[#This Row],[Marco de plantación]],1,3)*MID(TablaGeneral[[#This Row],[Marco de plantación]],5,3)),(3*2))</f>
        <v>1666.6666666666667</v>
      </c>
      <c r="L25" s="7">
        <v>8</v>
      </c>
      <c r="M25" s="5">
        <f>+TablaGeneral[[#This Row],[Plantas x Has]]*TablaGeneral[[#This Row],[N° de Guías x planta]]</f>
        <v>13333.333333333334</v>
      </c>
      <c r="N25" s="7">
        <v>6.3</v>
      </c>
      <c r="O25" s="7">
        <f>+TablaGeneral[[#This Row],[N° de Guías x planta]]*TablaGeneral[[#This Row],[N° de Yemas x Guias]]</f>
        <v>50.4</v>
      </c>
      <c r="P25" s="7">
        <v>0.8</v>
      </c>
      <c r="Q25" s="5">
        <f>+TablaGeneral[[#This Row],[N° de Yemas x Planta]]*TablaGeneral[[#This Row],[% de Brotación]]</f>
        <v>40.32</v>
      </c>
      <c r="R25" s="7">
        <v>0.9</v>
      </c>
      <c r="S25" s="7">
        <v>1.5</v>
      </c>
      <c r="T25" s="5">
        <f>+TablaGeneral[[#This Row],[N° de Brotes x Planta]]*TablaGeneral[[#This Row],[% de Fertilidad]]*TablaGeneral[[#This Row],[Cantidad de Racimos x Brote]]</f>
        <v>54.432000000000002</v>
      </c>
      <c r="U25" s="7">
        <v>0.38700000000000001</v>
      </c>
      <c r="V25" s="5">
        <f>+TablaGeneral[[#This Row],[Cantidad de Racimos x Planta]]*TablaGeneral[[#This Row],[Peso del Racimo]]</f>
        <v>21.065184000000002</v>
      </c>
      <c r="W25" s="5">
        <f>+TablaGeneral[[#This Row],[Plantas]]*TablaGeneral[[#This Row],[Kg x Planta]]</f>
        <v>51588.635616000007</v>
      </c>
      <c r="X25" s="5">
        <f>+TablaGeneral[[#This Row],[Kg x Cuartel]]/TablaGeneral[[#This Row],[Has]]</f>
        <v>35022.834769857436</v>
      </c>
      <c r="Y25" t="s">
        <v>42</v>
      </c>
      <c r="Z25" s="15">
        <v>120</v>
      </c>
      <c r="AA25" s="6">
        <f>+TablaGeneral[[#This Row],[Rendimiento Poda]]*1.5</f>
        <v>180</v>
      </c>
      <c r="AB25" s="6">
        <v>500</v>
      </c>
      <c r="AC25" s="6"/>
      <c r="AD25" s="6"/>
      <c r="AE25" s="6">
        <v>700</v>
      </c>
      <c r="AF25" s="6">
        <v>500</v>
      </c>
      <c r="AG25" s="9">
        <f>+IFERROR(TablaGeneral[[#This Row],[Plantas]]/TablaGeneral[[#This Row],[Rendimiento Poda]],0)</f>
        <v>20.408333333333335</v>
      </c>
      <c r="AH25" s="9">
        <f>+TablaGeneral[[#This Row],[Plantas]]/TablaGeneral[[#This Row],[Rendimiento Atada]]</f>
        <v>13.605555555555556</v>
      </c>
      <c r="AI25" s="9">
        <f>+IFERROR(TablaGeneral[[#This Row],[Plantas]]/TablaGeneral[[#This Row],[Rendimiento Desbrote de troncos]],0)</f>
        <v>4.8979999999999997</v>
      </c>
      <c r="AJ25" s="9">
        <f>+IFERROR(TablaGeneral[[#This Row],[Plantas]]/TablaGeneral[[#This Row],[Rendimiento Acomodo de brotes ]],0)</f>
        <v>0</v>
      </c>
      <c r="AK25" s="9">
        <f>+IFERROR(TablaGeneral[[#This Row],[Plantas]]/TablaGeneral[[#This Row],[Rendimiento Desniete, deshoje ]],0)</f>
        <v>0</v>
      </c>
      <c r="AL25" s="9">
        <f>+IFERROR(TablaGeneral[[#This Row],[Plantas]]/TablaGeneral[[#This Row],[Rendimiento Desbrote con criterio de Poda]],0)</f>
        <v>3.4985714285714287</v>
      </c>
      <c r="AM25" s="9">
        <f>+IFERROR(TablaGeneral[[#This Row],[Plantas]]/TablaGeneral[[#This Row],[Rendimiento Raleo de Racimos]],0)</f>
        <v>4.8979999999999997</v>
      </c>
      <c r="AN25" s="10">
        <f>+TablaGeneral[[#This Row],[Plantas]]/3366.9</f>
        <v>0.72737533042264391</v>
      </c>
      <c r="AO25" s="10">
        <f>+TablaGeneral[[#This Row],[Plantas]]/5179.85</f>
        <v>0.47279361371468281</v>
      </c>
      <c r="AP25" s="10">
        <f>+TablaGeneral[[#This Row],[Plantas]]/6899.38</f>
        <v>0.35495943113729062</v>
      </c>
      <c r="AQ25" s="13">
        <f>+TablaGeneral[[#This Row],[Plantas]]/2591.91</f>
        <v>0.94486305465853371</v>
      </c>
      <c r="AR25" s="13">
        <f>+TablaGeneral[[#This Row],[Plantas]]/1683.45</f>
        <v>1.4547506608452878</v>
      </c>
      <c r="AS25" s="10">
        <f>+TablaGeneral[[#This Row],[Plantas]]/1232.39</f>
        <v>1.9871956117787386</v>
      </c>
      <c r="AT25" s="13">
        <f>+TablaGeneral[[#This Row],[Plantas]]/216.3</f>
        <v>11.322237632917243</v>
      </c>
      <c r="AU25" s="13">
        <f>+TablaGeneral[[#This Row],[Plantas]]/2941.65</f>
        <v>0.83252596331990547</v>
      </c>
      <c r="AV25" s="13">
        <f>+TablaGeneral[[#This Row],[Plantas]]/980.55</f>
        <v>2.4975778899597167</v>
      </c>
      <c r="AW25" s="13">
        <f>+TablaGeneral[[#This Row],[Plantas]]/9805</f>
        <v>0.24977052524222335</v>
      </c>
      <c r="AX25" s="13">
        <f>+TablaGeneral[[#This Row],[Plantas]]/460</f>
        <v>5.3239130434782611</v>
      </c>
      <c r="AY25" s="13">
        <f>+TablaGeneral[[#This Row],[Plantas]]/1176.66</f>
        <v>2.0813149082997637</v>
      </c>
      <c r="AZ25" s="13"/>
      <c r="BA25" s="13"/>
      <c r="BB25" s="13">
        <f>+TablaGeneral[[#This Row],[Plantas]]/11766.6</f>
        <v>0.20813149082997637</v>
      </c>
      <c r="BC25" s="13">
        <f>+TablaGeneral[[#This Row],[Plantas]]/1897.32</f>
        <v>1.290768030695929</v>
      </c>
      <c r="BD25" s="13">
        <f>+TablaGeneral[[#This Row],[Plantas]]/3565.64</f>
        <v>0.68683321928181196</v>
      </c>
      <c r="BE25" s="13">
        <f>+TablaGeneral[[#This Row],[Plantas]]/1176.7</f>
        <v>2.081244157389309</v>
      </c>
      <c r="BF25" s="13">
        <f>+TablaGeneral[[#This Row],[Plantas]]/1568.88</f>
        <v>1.5609861812248227</v>
      </c>
      <c r="BG25" s="13">
        <f>+TablaGeneral[[#This Row],[Plantas]]/2941.65</f>
        <v>0.83252596331990547</v>
      </c>
      <c r="BH25" s="13">
        <f>+TablaGeneral[[#This Row],[Plantas]]/1961.1</f>
        <v>1.2487889449798584</v>
      </c>
      <c r="BI25" s="13">
        <f>+TablaGeneral[[#This Row],[Plantas]]/2353.32</f>
        <v>1.0406574541498819</v>
      </c>
      <c r="BJ25" s="13">
        <f>+TablaGeneral[[#This Row],[Plantas]]/1961.1</f>
        <v>1.2487889449798584</v>
      </c>
      <c r="BK25" s="13">
        <f>+TablaGeneral[[#This Row],[Plantas]]/3268</f>
        <v>0.7493880048959608</v>
      </c>
      <c r="BL25" s="13">
        <f>+TablaGeneral[[#This Row],[Plantas]]/525.295</f>
        <v>4.6621422248450877</v>
      </c>
      <c r="BM25" s="13">
        <f>+TablaGeneral[[#This Row],[Plantas]]/653.7</f>
        <v>3.7463668349395745</v>
      </c>
      <c r="BN25" s="17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197.23164338099144</v>
      </c>
      <c r="BO25" s="17">
        <f>+TablaGeneral[[#This Row],[Combustible]]/100</f>
        <v>1.9723164338099144</v>
      </c>
      <c r="BP25" s="17">
        <f>+TablaGeneral[[#This Row],[Combustible]]/150</f>
        <v>1.314877622539943</v>
      </c>
      <c r="BQ25" s="17">
        <f>+TablaGeneral[[#This Row],[Combustible]]/200</f>
        <v>0.9861582169049572</v>
      </c>
      <c r="BR25" s="1">
        <f>+H25/2094.5</f>
        <v>1.1692528049653856</v>
      </c>
      <c r="BS25" s="1">
        <f>+H25/2094.5</f>
        <v>1.1692528049653856</v>
      </c>
      <c r="BT25" s="1">
        <f>+H25/523.625</f>
        <v>4.6770112198615426</v>
      </c>
      <c r="BU25" s="1">
        <f>+H25/5236.25</f>
        <v>0.46770112198615421</v>
      </c>
      <c r="BV25" s="1">
        <f>+H25/1047.25</f>
        <v>2.3385056099307713</v>
      </c>
      <c r="BW25">
        <f t="shared" si="37"/>
        <v>1.8052617224069174</v>
      </c>
      <c r="BX25">
        <f t="shared" si="38"/>
        <v>1.4742976166826196</v>
      </c>
      <c r="BY25">
        <f t="shared" si="39"/>
        <v>2.9335454334196585</v>
      </c>
      <c r="BZ25">
        <f t="shared" si="40"/>
        <v>2.2565813115630213</v>
      </c>
      <c r="CA25">
        <f t="shared" si="41"/>
        <v>3.4454766336469294</v>
      </c>
      <c r="CB25">
        <f t="shared" si="42"/>
        <v>1.8052617224069174</v>
      </c>
      <c r="CC25">
        <f t="shared" si="43"/>
        <v>0.22565813115630209</v>
      </c>
      <c r="CD25">
        <f t="shared" si="44"/>
        <v>0.15043829204317191</v>
      </c>
      <c r="CF25">
        <f t="shared" si="45"/>
        <v>6.7697189834087981</v>
      </c>
      <c r="CG25">
        <f t="shared" si="46"/>
        <v>1.3990768035465369</v>
      </c>
      <c r="CH25">
        <f t="shared" si="47"/>
        <v>1.3238553435320828</v>
      </c>
      <c r="CI25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7.1907266475370353</v>
      </c>
      <c r="CJ25" s="59">
        <f>+TablaGeneral[[#This Row],[Tracto elevador]]+TablaGeneral[[#This Row],[Tractor con uñas]]+TablaGeneral[[#This Row],[Tractor con acoplado]]</f>
        <v>8.1847696347576999</v>
      </c>
      <c r="CK25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4.3476680558044114</v>
      </c>
      <c r="CL25" s="60">
        <f>+SUM(BR25:BV25)+TablaGeneral[[#This Row],[Cosecha DOV]]+TablaGeneral[[#This Row],[Corte DOV]]</f>
        <v>9.8217235617092395</v>
      </c>
      <c r="CM25" s="60">
        <f>+SUM(TablaGeneral[[#This Row],[Colocación de malla]:[Descarga y carga de bines con Autoelevador]])</f>
        <v>23.589171993812954</v>
      </c>
      <c r="CN25" s="59"/>
      <c r="CO25" s="59"/>
      <c r="CP25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25" t="str">
        <f>+TablaGeneral[[#This Row],[Variedad]]&amp;" "&amp;TablaGeneral[[#This Row],[Año de plantación]]</f>
        <v xml:space="preserve">Flame </v>
      </c>
      <c r="CR25" t="str">
        <f>+IF(TablaGeneral[[#This Row],[Finca]]="El Espejo I","El Espejo I y II",IF(TablaGeneral[[#This Row],[Finca]]="El Espejo II","El Espejo I y II",TablaGeneral[[#This Row],[Finca]]))</f>
        <v>Camino Truncado</v>
      </c>
    </row>
    <row r="26" spans="1:96">
      <c r="A26" t="s">
        <v>8</v>
      </c>
      <c r="B26">
        <v>21</v>
      </c>
      <c r="C26" s="1">
        <v>2.64</v>
      </c>
      <c r="D26" t="s">
        <v>6</v>
      </c>
      <c r="E26" s="2">
        <v>35000</v>
      </c>
      <c r="F26" s="2">
        <f>+TablaGeneral[[#This Row],[Has]]*TablaGeneral[[#This Row],[Kg x Has]]</f>
        <v>92400</v>
      </c>
      <c r="G26" s="2">
        <f>+TablaGeneral[[#This Row],[Kg 2026]]/4</f>
        <v>23100</v>
      </c>
      <c r="H26" s="2">
        <v>4396</v>
      </c>
      <c r="I26" s="2"/>
      <c r="J26" t="s">
        <v>23</v>
      </c>
      <c r="K26" s="5">
        <f>10000/IF(LEN(TablaGeneral[[#This Row],[Marco de plantación]])&gt;3,(MID(TablaGeneral[[#This Row],[Marco de plantación]],1,3)*MID(TablaGeneral[[#This Row],[Marco de plantación]],5,3)),(3*2))</f>
        <v>1666.6666666666667</v>
      </c>
      <c r="L26" s="7">
        <v>8</v>
      </c>
      <c r="M26" s="5">
        <f>+TablaGeneral[[#This Row],[Plantas x Has]]*TablaGeneral[[#This Row],[N° de Guías x planta]]</f>
        <v>13333.333333333334</v>
      </c>
      <c r="N26" s="7">
        <v>6.3</v>
      </c>
      <c r="O26" s="7">
        <f>+TablaGeneral[[#This Row],[N° de Guías x planta]]*TablaGeneral[[#This Row],[N° de Yemas x Guias]]</f>
        <v>50.4</v>
      </c>
      <c r="P26" s="7">
        <v>0.8</v>
      </c>
      <c r="Q26" s="5">
        <f>+TablaGeneral[[#This Row],[N° de Yemas x Planta]]*TablaGeneral[[#This Row],[% de Brotación]]</f>
        <v>40.32</v>
      </c>
      <c r="R26" s="7">
        <v>0.88</v>
      </c>
      <c r="S26" s="7">
        <v>1.5</v>
      </c>
      <c r="T26" s="5">
        <f>+TablaGeneral[[#This Row],[N° de Brotes x Planta]]*TablaGeneral[[#This Row],[% de Fertilidad]]*TablaGeneral[[#This Row],[Cantidad de Racimos x Brote]]</f>
        <v>53.2224</v>
      </c>
      <c r="U26" s="7">
        <v>0.39500000000000002</v>
      </c>
      <c r="V26" s="5">
        <f>+TablaGeneral[[#This Row],[Cantidad de Racimos x Planta]]*TablaGeneral[[#This Row],[Peso del Racimo]]</f>
        <v>21.022848</v>
      </c>
      <c r="W26" s="5">
        <f>+TablaGeneral[[#This Row],[Plantas]]*TablaGeneral[[#This Row],[Kg x Planta]]</f>
        <v>92416.439807999996</v>
      </c>
      <c r="X26" s="5">
        <f>+TablaGeneral[[#This Row],[Kg x Cuartel]]/TablaGeneral[[#This Row],[Has]]</f>
        <v>35006.227199999994</v>
      </c>
      <c r="Y26" t="s">
        <v>42</v>
      </c>
      <c r="Z26" s="15">
        <v>120</v>
      </c>
      <c r="AA26" s="6">
        <f>+TablaGeneral[[#This Row],[Rendimiento Poda]]*1.5</f>
        <v>180</v>
      </c>
      <c r="AB26" s="6">
        <v>500</v>
      </c>
      <c r="AC26" s="6"/>
      <c r="AD26" s="6"/>
      <c r="AE26" s="6">
        <v>700</v>
      </c>
      <c r="AF26" s="6">
        <v>500</v>
      </c>
      <c r="AG26" s="9">
        <f>+IFERROR(TablaGeneral[[#This Row],[Plantas]]/TablaGeneral[[#This Row],[Rendimiento Poda]],0)</f>
        <v>36.633333333333333</v>
      </c>
      <c r="AH26" s="9">
        <f>+TablaGeneral[[#This Row],[Plantas]]/TablaGeneral[[#This Row],[Rendimiento Atada]]</f>
        <v>24.422222222222221</v>
      </c>
      <c r="AI26" s="9">
        <f>+IFERROR(TablaGeneral[[#This Row],[Plantas]]/TablaGeneral[[#This Row],[Rendimiento Desbrote de troncos]],0)</f>
        <v>8.7919999999999998</v>
      </c>
      <c r="AJ26" s="9">
        <f>+IFERROR(TablaGeneral[[#This Row],[Plantas]]/TablaGeneral[[#This Row],[Rendimiento Acomodo de brotes ]],0)</f>
        <v>0</v>
      </c>
      <c r="AK26" s="9">
        <f>+IFERROR(TablaGeneral[[#This Row],[Plantas]]/TablaGeneral[[#This Row],[Rendimiento Desniete, deshoje ]],0)</f>
        <v>0</v>
      </c>
      <c r="AL26" s="9">
        <f>+IFERROR(TablaGeneral[[#This Row],[Plantas]]/TablaGeneral[[#This Row],[Rendimiento Desbrote con criterio de Poda]],0)</f>
        <v>6.28</v>
      </c>
      <c r="AM26" s="9">
        <f>+IFERROR(TablaGeneral[[#This Row],[Plantas]]/TablaGeneral[[#This Row],[Rendimiento Raleo de Racimos]],0)</f>
        <v>8.7919999999999998</v>
      </c>
      <c r="AN26" s="10">
        <f>+TablaGeneral[[#This Row],[Plantas]]/3366.9</f>
        <v>1.305652083518964</v>
      </c>
      <c r="AO26" s="10">
        <f>+TablaGeneral[[#This Row],[Plantas]]/5179.85</f>
        <v>0.84867322412811175</v>
      </c>
      <c r="AP26" s="10">
        <f>+TablaGeneral[[#This Row],[Plantas]]/6899.38</f>
        <v>0.6371587012166311</v>
      </c>
      <c r="AQ26" s="13">
        <f>+TablaGeneral[[#This Row],[Plantas]]/2591.91</f>
        <v>1.6960465448260165</v>
      </c>
      <c r="AR26" s="13">
        <f>+TablaGeneral[[#This Row],[Plantas]]/1683.45</f>
        <v>2.611304167037928</v>
      </c>
      <c r="AS26" s="10">
        <f>+TablaGeneral[[#This Row],[Plantas]]/1232.39</f>
        <v>3.5670526375579157</v>
      </c>
      <c r="AT26" s="13">
        <f>+TablaGeneral[[#This Row],[Plantas]]/216.3</f>
        <v>20.323624595469255</v>
      </c>
      <c r="AU26" s="13">
        <f>+TablaGeneral[[#This Row],[Plantas]]/2941.65</f>
        <v>1.4943994016963269</v>
      </c>
      <c r="AV26" s="13">
        <f>+TablaGeneral[[#This Row],[Plantas]]/980.55</f>
        <v>4.4831982050889811</v>
      </c>
      <c r="AW26" s="13">
        <f>+TablaGeneral[[#This Row],[Plantas]]/9805</f>
        <v>0.44834268230494645</v>
      </c>
      <c r="AX26" s="13">
        <f>+TablaGeneral[[#This Row],[Plantas]]/460</f>
        <v>9.5565217391304351</v>
      </c>
      <c r="AY26" s="13">
        <f>+TablaGeneral[[#This Row],[Plantas]]/1176.66</f>
        <v>3.735998504240817</v>
      </c>
      <c r="AZ26" s="13"/>
      <c r="BA26" s="13"/>
      <c r="BB26" s="13">
        <f>+TablaGeneral[[#This Row],[Plantas]]/11766.6</f>
        <v>0.37359985042408173</v>
      </c>
      <c r="BC26" s="13">
        <f>+TablaGeneral[[#This Row],[Plantas]]/1897.32</f>
        <v>2.3169523327641093</v>
      </c>
      <c r="BD26" s="13">
        <f>+TablaGeneral[[#This Row],[Plantas]]/3565.64</f>
        <v>1.2328782490660863</v>
      </c>
      <c r="BE26" s="13">
        <f>+TablaGeneral[[#This Row],[Plantas]]/1176.7</f>
        <v>3.7358715050565139</v>
      </c>
      <c r="BF26" s="13">
        <f>+TablaGeneral[[#This Row],[Plantas]]/1568.88</f>
        <v>2.8019988781806129</v>
      </c>
      <c r="BG26" s="13">
        <f>+TablaGeneral[[#This Row],[Plantas]]/2941.65</f>
        <v>1.4943994016963269</v>
      </c>
      <c r="BH26" s="13">
        <f>+TablaGeneral[[#This Row],[Plantas]]/1961.1</f>
        <v>2.2415991025444906</v>
      </c>
      <c r="BI26" s="13">
        <f>+TablaGeneral[[#This Row],[Plantas]]/2353.32</f>
        <v>1.8679992521204085</v>
      </c>
      <c r="BJ26" s="13">
        <f>+TablaGeneral[[#This Row],[Plantas]]/1961.1</f>
        <v>2.2415991025444906</v>
      </c>
      <c r="BK26" s="13">
        <f>+TablaGeneral[[#This Row],[Plantas]]/3268</f>
        <v>1.3451652386780906</v>
      </c>
      <c r="BL26" s="13">
        <f>+TablaGeneral[[#This Row],[Plantas]]/525.295</f>
        <v>8.3686309597464295</v>
      </c>
      <c r="BM26" s="13">
        <f>+TablaGeneral[[#This Row],[Plantas]]/653.7</f>
        <v>6.7247973076334704</v>
      </c>
      <c r="BN26" s="17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354.034423970126</v>
      </c>
      <c r="BO26" s="17">
        <f>+TablaGeneral[[#This Row],[Combustible]]/100</f>
        <v>3.5403442397012599</v>
      </c>
      <c r="BP26" s="17">
        <f>+TablaGeneral[[#This Row],[Combustible]]/150</f>
        <v>2.3602294931341734</v>
      </c>
      <c r="BQ26" s="17">
        <f>+TablaGeneral[[#This Row],[Combustible]]/200</f>
        <v>1.7701721198506299</v>
      </c>
      <c r="BR26" s="1">
        <f>+H26/2094.5</f>
        <v>2.0988302697541181</v>
      </c>
      <c r="BS26" s="1">
        <f>+H26/2094.5</f>
        <v>2.0988302697541181</v>
      </c>
      <c r="BT26" s="1">
        <f>+H26/523.625</f>
        <v>8.3953210790164725</v>
      </c>
      <c r="BU26" s="1">
        <f>+H26/5236.25</f>
        <v>0.83953210790164712</v>
      </c>
      <c r="BV26" s="1">
        <f>+H26/1047.25</f>
        <v>4.1976605395082363</v>
      </c>
      <c r="BW26">
        <f t="shared" si="37"/>
        <v>3.2404779631281375</v>
      </c>
      <c r="BX26">
        <f t="shared" si="38"/>
        <v>2.6463913119382587</v>
      </c>
      <c r="BY26">
        <f t="shared" si="39"/>
        <v>5.2657679564364308</v>
      </c>
      <c r="BZ26">
        <f t="shared" si="40"/>
        <v>4.050604918591687</v>
      </c>
      <c r="CA26">
        <f t="shared" si="41"/>
        <v>6.1846938675017968</v>
      </c>
      <c r="CB26">
        <f t="shared" si="42"/>
        <v>3.2404779631281375</v>
      </c>
      <c r="CC26">
        <f t="shared" si="43"/>
        <v>0.40506049185916865</v>
      </c>
      <c r="CD26">
        <f t="shared" si="44"/>
        <v>0.27003949849807424</v>
      </c>
      <c r="CF26">
        <f t="shared" si="45"/>
        <v>12.151769967768509</v>
      </c>
      <c r="CG26">
        <f t="shared" si="46"/>
        <v>2.511368570188067</v>
      </c>
      <c r="CH26">
        <f t="shared" si="47"/>
        <v>2.3763446672793123</v>
      </c>
      <c r="CI26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12.907486460830057</v>
      </c>
      <c r="CJ26" s="59">
        <f>+TablaGeneral[[#This Row],[Tracto elevador]]+TablaGeneral[[#This Row],[Tractor con uñas]]+TablaGeneral[[#This Row],[Tractor con acoplado]]</f>
        <v>14.691811888278826</v>
      </c>
      <c r="CK26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7.8041440479037121</v>
      </c>
      <c r="CL26" s="60">
        <f>+SUM(BR26:BV26)+TablaGeneral[[#This Row],[Cosecha DOV]]+TablaGeneral[[#This Row],[Corte DOV]]</f>
        <v>17.630174265934592</v>
      </c>
      <c r="CM26" s="60">
        <f>+SUM(TablaGeneral[[#This Row],[Colocación de malla]:[Descarga y carga de bines con Autoelevador]])</f>
        <v>42.342997176317581</v>
      </c>
      <c r="CN26" s="59"/>
      <c r="CO26" s="59"/>
      <c r="CP26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26" t="str">
        <f>+TablaGeneral[[#This Row],[Variedad]]&amp;" "&amp;TablaGeneral[[#This Row],[Año de plantación]]</f>
        <v xml:space="preserve">Flame </v>
      </c>
      <c r="CR26" t="str">
        <f>+IF(TablaGeneral[[#This Row],[Finca]]="El Espejo I","El Espejo I y II",IF(TablaGeneral[[#This Row],[Finca]]="El Espejo II","El Espejo I y II",TablaGeneral[[#This Row],[Finca]]))</f>
        <v>Camino Truncado</v>
      </c>
    </row>
    <row r="27" spans="1:96">
      <c r="A27" t="s">
        <v>8</v>
      </c>
      <c r="B27">
        <v>22</v>
      </c>
      <c r="C27" s="1">
        <v>2.82</v>
      </c>
      <c r="D27" t="s">
        <v>10</v>
      </c>
      <c r="E27" s="2">
        <v>45000</v>
      </c>
      <c r="F27" s="2">
        <f>+TablaGeneral[[#This Row],[Has]]*TablaGeneral[[#This Row],[Kg x Has]]</f>
        <v>126900</v>
      </c>
      <c r="G27" s="2">
        <f>+TablaGeneral[[#This Row],[Kg 2026]]/4</f>
        <v>31725</v>
      </c>
      <c r="H27">
        <v>4692</v>
      </c>
      <c r="J27" t="s">
        <v>23</v>
      </c>
      <c r="K27" s="5">
        <f>10000/IF(LEN(TablaGeneral[[#This Row],[Marco de plantación]])&gt;3,(MID(TablaGeneral[[#This Row],[Marco de plantación]],1,3)*MID(TablaGeneral[[#This Row],[Marco de plantación]],5,3)),(3*2))</f>
        <v>1666.6666666666667</v>
      </c>
      <c r="L27" s="7">
        <v>16</v>
      </c>
      <c r="M27" s="5">
        <f>+TablaGeneral[[#This Row],[Plantas x Has]]*TablaGeneral[[#This Row],[N° de Guías x planta]]</f>
        <v>26666.666666666668</v>
      </c>
      <c r="N27" s="7">
        <v>9</v>
      </c>
      <c r="O27" s="7">
        <f>+TablaGeneral[[#This Row],[N° de Guías x planta]]*TablaGeneral[[#This Row],[N° de Yemas x Guias]]</f>
        <v>144</v>
      </c>
      <c r="P27" s="7">
        <v>0.6</v>
      </c>
      <c r="Q27" s="5">
        <f>+TablaGeneral[[#This Row],[N° de Yemas x Planta]]*TablaGeneral[[#This Row],[% de Brotación]]</f>
        <v>86.399999999999991</v>
      </c>
      <c r="R27" s="7">
        <v>0.89</v>
      </c>
      <c r="S27" s="7">
        <v>1</v>
      </c>
      <c r="T27" s="5">
        <f>+TablaGeneral[[#This Row],[N° de Brotes x Planta]]*TablaGeneral[[#This Row],[% de Fertilidad]]*TablaGeneral[[#This Row],[Cantidad de Racimos x Brote]]</f>
        <v>76.895999999999987</v>
      </c>
      <c r="U27" s="7">
        <v>0.35199999999999998</v>
      </c>
      <c r="V27" s="5">
        <f>+TablaGeneral[[#This Row],[Cantidad de Racimos x Planta]]*TablaGeneral[[#This Row],[Peso del Racimo]]</f>
        <v>27.067391999999995</v>
      </c>
      <c r="W27" s="5">
        <f>+TablaGeneral[[#This Row],[Plantas]]*TablaGeneral[[#This Row],[Kg x Planta]]</f>
        <v>127000.20326399998</v>
      </c>
      <c r="X27" s="5">
        <f>+TablaGeneral[[#This Row],[Kg x Cuartel]]/TablaGeneral[[#This Row],[Has]]</f>
        <v>45035.533072340419</v>
      </c>
      <c r="Y27" t="s">
        <v>42</v>
      </c>
      <c r="Z27" s="6">
        <v>100</v>
      </c>
      <c r="AA27" s="6">
        <f>+TablaGeneral[[#This Row],[Rendimiento Poda]]*1.5</f>
        <v>150</v>
      </c>
      <c r="AB27" s="6">
        <v>500</v>
      </c>
      <c r="AC27" s="6">
        <v>600</v>
      </c>
      <c r="AD27" s="6">
        <v>200</v>
      </c>
      <c r="AE27" s="6">
        <v>700</v>
      </c>
      <c r="AF27" s="6">
        <v>500</v>
      </c>
      <c r="AG27" s="9">
        <f>+IFERROR(TablaGeneral[[#This Row],[Plantas]]/TablaGeneral[[#This Row],[Rendimiento Poda]],0)</f>
        <v>46.92</v>
      </c>
      <c r="AH27" s="9">
        <f>+TablaGeneral[[#This Row],[Plantas]]/TablaGeneral[[#This Row],[Rendimiento Atada]]</f>
        <v>31.28</v>
      </c>
      <c r="AI27" s="9">
        <f>+IFERROR(TablaGeneral[[#This Row],[Plantas]]/TablaGeneral[[#This Row],[Rendimiento Desbrote de troncos]],0)</f>
        <v>9.3840000000000003</v>
      </c>
      <c r="AJ27" s="9">
        <f>+IFERROR(TablaGeneral[[#This Row],[Plantas]]/TablaGeneral[[#This Row],[Rendimiento Acomodo de brotes ]],0)</f>
        <v>7.82</v>
      </c>
      <c r="AK27" s="9">
        <f>+IFERROR(TablaGeneral[[#This Row],[Plantas]]/TablaGeneral[[#This Row],[Rendimiento Desniete, deshoje ]],0)</f>
        <v>23.46</v>
      </c>
      <c r="AL27" s="9">
        <f>+IFERROR(TablaGeneral[[#This Row],[Plantas]]/TablaGeneral[[#This Row],[Rendimiento Desbrote con criterio de Poda]],0)</f>
        <v>6.7028571428571428</v>
      </c>
      <c r="AM27" s="9">
        <f>+IFERROR(TablaGeneral[[#This Row],[Plantas]]/TablaGeneral[[#This Row],[Rendimiento Raleo de Racimos]],0)</f>
        <v>9.3840000000000003</v>
      </c>
      <c r="AN27" s="10">
        <f>+TablaGeneral[[#This Row],[Plantas]]/3347.215</f>
        <v>1.4017623606490768</v>
      </c>
      <c r="AO27" s="10">
        <f>+TablaGeneral[[#This Row],[Plantas]]/4989.25</f>
        <v>0.94042190710026552</v>
      </c>
      <c r="AP27" s="10">
        <f>+TablaGeneral[[#This Row],[Plantas]]/6677.52</f>
        <v>0.70265607590842105</v>
      </c>
      <c r="AQ27" s="13">
        <f>+TablaGeneral[[#This Row],[Plantas]]/5008.14</f>
        <v>0.9368747678778947</v>
      </c>
      <c r="AR27" s="13">
        <f>+TablaGeneral[[#This Row],[Plantas]]/1652.69</f>
        <v>2.8390079204206473</v>
      </c>
      <c r="AS27" s="10">
        <f>+TablaGeneral[[#This Row],[Plantas]]/1391.73</f>
        <v>3.3713435795736242</v>
      </c>
      <c r="AT27" s="13">
        <f>+TablaGeneral[[#This Row],[Plantas]]/216.3</f>
        <v>21.692094313453534</v>
      </c>
      <c r="AU27" s="13">
        <f>+TablaGeneral[[#This Row],[Plantas]]/2941.65</f>
        <v>1.5950232012645964</v>
      </c>
      <c r="AV27" s="13">
        <f>+TablaGeneral[[#This Row],[Plantas]]/980.55</f>
        <v>4.7850696037937892</v>
      </c>
      <c r="AW27" s="13">
        <f>+TablaGeneral[[#This Row],[Plantas]]/9805</f>
        <v>0.47853136155022946</v>
      </c>
      <c r="AX27" s="13">
        <f>+TablaGeneral[[#This Row],[Plantas]]/460</f>
        <v>10.199999999999999</v>
      </c>
      <c r="AY27" s="13">
        <f>+TablaGeneral[[#This Row],[Plantas]]/1176.66</f>
        <v>3.9875580031614906</v>
      </c>
      <c r="AZ27" s="13"/>
      <c r="BA27" s="13"/>
      <c r="BB27" s="13">
        <f>+TablaGeneral[[#This Row],[Plantas]]/11766.6</f>
        <v>0.3987558003161491</v>
      </c>
      <c r="BC27" s="13">
        <f>+TablaGeneral[[#This Row],[Plantas]]/1897.32</f>
        <v>2.4729618619948139</v>
      </c>
      <c r="BD27" s="13">
        <f>+TablaGeneral[[#This Row],[Plantas]]/3565.64</f>
        <v>1.3158927990486982</v>
      </c>
      <c r="BE27" s="13">
        <f>+TablaGeneral[[#This Row],[Plantas]]/1176.7</f>
        <v>3.9874224526217388</v>
      </c>
      <c r="BF27" s="13">
        <f>+TablaGeneral[[#This Row],[Plantas]]/1568.88</f>
        <v>2.9906685023711179</v>
      </c>
      <c r="BG27" s="13">
        <f>+TablaGeneral[[#This Row],[Plantas]]/2941.65</f>
        <v>1.5950232012645964</v>
      </c>
      <c r="BH27" s="13">
        <f>+TablaGeneral[[#This Row],[Plantas]]/1961.1</f>
        <v>2.3925348018968946</v>
      </c>
      <c r="BI27" s="13">
        <f>+TablaGeneral[[#This Row],[Plantas]]/2353.32</f>
        <v>1.9937790015807453</v>
      </c>
      <c r="BJ27" s="13">
        <f>+TablaGeneral[[#This Row],[Plantas]]/1961.1</f>
        <v>2.3925348018968946</v>
      </c>
      <c r="BK27" s="13">
        <f>+TablaGeneral[[#This Row],[Plantas]]/3268</f>
        <v>1.4357405140758874</v>
      </c>
      <c r="BL27" s="13">
        <f>+TablaGeneral[[#This Row],[Plantas]]/525.295</f>
        <v>8.9321238542152503</v>
      </c>
      <c r="BM27" s="13">
        <f>+TablaGeneral[[#This Row],[Plantas]]/653.7</f>
        <v>7.1776044056906834</v>
      </c>
      <c r="BN27" s="17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316.68297529604695</v>
      </c>
      <c r="BO27" s="17">
        <f>+TablaGeneral[[#This Row],[Combustible]]/100</f>
        <v>3.1668297529604694</v>
      </c>
      <c r="BP27" s="17">
        <f>+TablaGeneral[[#This Row],[Combustible]]/150</f>
        <v>2.1112198353069798</v>
      </c>
      <c r="BQ27" s="17">
        <f>+TablaGeneral[[#This Row],[Combustible]]/200</f>
        <v>1.5834148764802347</v>
      </c>
      <c r="BR27" s="1">
        <f>+H27/3054.1</f>
        <v>1.536295471661046</v>
      </c>
      <c r="BS27" s="1">
        <f>+H27/3054.1</f>
        <v>1.536295471661046</v>
      </c>
      <c r="BT27" s="1">
        <f>+H27/763.525</f>
        <v>6.1451818866441839</v>
      </c>
      <c r="BU27" s="1">
        <f>+H27/15270.5</f>
        <v>0.30725909433220916</v>
      </c>
      <c r="BV27" s="1">
        <f>+H27/1527.05</f>
        <v>3.0725909433220919</v>
      </c>
      <c r="BW27">
        <f t="shared" si="37"/>
        <v>3.4586721116918158</v>
      </c>
      <c r="BX27">
        <f t="shared" si="38"/>
        <v>2.8245832656083509</v>
      </c>
      <c r="BY27">
        <f t="shared" si="39"/>
        <v>5.6203328597815592</v>
      </c>
      <c r="BZ27">
        <f t="shared" si="40"/>
        <v>4.3233481069227011</v>
      </c>
      <c r="CA27">
        <f t="shared" si="41"/>
        <v>6.6011336729568768</v>
      </c>
      <c r="CB27">
        <f t="shared" si="42"/>
        <v>3.4586721116918158</v>
      </c>
      <c r="CC27">
        <f t="shared" si="43"/>
        <v>0.43233481069227009</v>
      </c>
      <c r="CD27">
        <f t="shared" si="44"/>
        <v>0.28822232187283081</v>
      </c>
      <c r="CF27">
        <f t="shared" si="45"/>
        <v>12.969996517008608</v>
      </c>
      <c r="CG27">
        <f t="shared" si="46"/>
        <v>2.6804689106738877</v>
      </c>
      <c r="CH27">
        <f t="shared" si="47"/>
        <v>2.5363533163954806</v>
      </c>
      <c r="CI27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12.584601413426824</v>
      </c>
      <c r="CJ27" s="59">
        <f>+TablaGeneral[[#This Row],[Tracto elevador]]+TablaGeneral[[#This Row],[Tractor con uñas]]+TablaGeneral[[#This Row],[Tractor con acoplado]]</f>
        <v>10.754068301627322</v>
      </c>
      <c r="CK27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8.32962781455055</v>
      </c>
      <c r="CL27" s="60">
        <f>+SUM(BR27:BV27)+TablaGeneral[[#This Row],[Cosecha DOV]]+TablaGeneral[[#This Row],[Corte DOV]]</f>
        <v>12.597622867620577</v>
      </c>
      <c r="CM27" s="60">
        <f>+SUM(TablaGeneral[[#This Row],[Colocación de malla]:[Descarga y carga de bines con Autoelevador]])</f>
        <v>45.194118005296204</v>
      </c>
      <c r="CN27" s="59"/>
      <c r="CO27" s="59"/>
      <c r="CP27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27" t="str">
        <f>+TablaGeneral[[#This Row],[Variedad]]&amp;" "&amp;TablaGeneral[[#This Row],[Año de plantación]]</f>
        <v xml:space="preserve">Fiesta </v>
      </c>
      <c r="CR27" t="str">
        <f>+IF(TablaGeneral[[#This Row],[Finca]]="El Espejo I","El Espejo I y II",IF(TablaGeneral[[#This Row],[Finca]]="El Espejo II","El Espejo I y II",TablaGeneral[[#This Row],[Finca]]))</f>
        <v>Camino Truncado</v>
      </c>
    </row>
    <row r="28" spans="1:96">
      <c r="A28" t="s">
        <v>8</v>
      </c>
      <c r="B28">
        <v>23</v>
      </c>
      <c r="C28" s="1">
        <v>1.4528000000000001</v>
      </c>
      <c r="D28" t="s">
        <v>6</v>
      </c>
      <c r="E28" s="2">
        <v>35000</v>
      </c>
      <c r="F28" s="2">
        <f>+TablaGeneral[[#This Row],[Has]]*TablaGeneral[[#This Row],[Kg x Has]]</f>
        <v>50848</v>
      </c>
      <c r="G28" s="2">
        <f>+TablaGeneral[[#This Row],[Kg 2026]]/4</f>
        <v>12712</v>
      </c>
      <c r="H28" s="2">
        <v>2412</v>
      </c>
      <c r="I28" s="2"/>
      <c r="J28" t="s">
        <v>23</v>
      </c>
      <c r="K28" s="5">
        <f>10000/IF(LEN(TablaGeneral[[#This Row],[Marco de plantación]])&gt;3,(MID(TablaGeneral[[#This Row],[Marco de plantación]],1,3)*MID(TablaGeneral[[#This Row],[Marco de plantación]],5,3)),(3*2))</f>
        <v>1666.6666666666667</v>
      </c>
      <c r="L28" s="7">
        <v>9</v>
      </c>
      <c r="M28" s="5">
        <f>+TablaGeneral[[#This Row],[Plantas x Has]]*TablaGeneral[[#This Row],[N° de Guías x planta]]</f>
        <v>15000</v>
      </c>
      <c r="N28" s="7">
        <v>8</v>
      </c>
      <c r="O28" s="7">
        <f>+TablaGeneral[[#This Row],[N° de Guías x planta]]*TablaGeneral[[#This Row],[N° de Yemas x Guias]]</f>
        <v>72</v>
      </c>
      <c r="P28" s="7">
        <v>0.7</v>
      </c>
      <c r="Q28" s="5">
        <f>+TablaGeneral[[#This Row],[N° de Yemas x Planta]]*TablaGeneral[[#This Row],[% de Brotación]]</f>
        <v>50.4</v>
      </c>
      <c r="R28" s="7">
        <v>0.76</v>
      </c>
      <c r="S28" s="7">
        <v>1.5</v>
      </c>
      <c r="T28" s="5">
        <f>+TablaGeneral[[#This Row],[N° de Brotes x Planta]]*TablaGeneral[[#This Row],[% de Fertilidad]]*TablaGeneral[[#This Row],[Cantidad de Racimos x Brote]]</f>
        <v>57.456000000000003</v>
      </c>
      <c r="U28" s="7">
        <v>0.36699999999999999</v>
      </c>
      <c r="V28" s="5">
        <f>+TablaGeneral[[#This Row],[Cantidad de Racimos x Planta]]*TablaGeneral[[#This Row],[Peso del Racimo]]</f>
        <v>21.086352000000002</v>
      </c>
      <c r="W28" s="5">
        <f>+TablaGeneral[[#This Row],[Plantas]]*TablaGeneral[[#This Row],[Kg x Planta]]</f>
        <v>50860.281024000004</v>
      </c>
      <c r="X28" s="5">
        <f>+TablaGeneral[[#This Row],[Kg x Cuartel]]/TablaGeneral[[#This Row],[Has]]</f>
        <v>35008.453348017618</v>
      </c>
      <c r="Y28" t="s">
        <v>42</v>
      </c>
      <c r="Z28" s="15">
        <v>100</v>
      </c>
      <c r="AA28" s="6">
        <f>+TablaGeneral[[#This Row],[Rendimiento Poda]]*1.5</f>
        <v>150</v>
      </c>
      <c r="AB28" s="6">
        <v>500</v>
      </c>
      <c r="AC28" s="6"/>
      <c r="AD28" s="6"/>
      <c r="AE28" s="6">
        <v>700</v>
      </c>
      <c r="AF28" s="6">
        <v>500</v>
      </c>
      <c r="AG28" s="9">
        <f>+IFERROR(TablaGeneral[[#This Row],[Plantas]]/TablaGeneral[[#This Row],[Rendimiento Poda]],0)</f>
        <v>24.12</v>
      </c>
      <c r="AH28" s="9">
        <f>+TablaGeneral[[#This Row],[Plantas]]/TablaGeneral[[#This Row],[Rendimiento Atada]]</f>
        <v>16.079999999999998</v>
      </c>
      <c r="AI28" s="9">
        <f>+IFERROR(TablaGeneral[[#This Row],[Plantas]]/TablaGeneral[[#This Row],[Rendimiento Desbrote de troncos]],0)</f>
        <v>4.8239999999999998</v>
      </c>
      <c r="AJ28" s="9">
        <f>+IFERROR(TablaGeneral[[#This Row],[Plantas]]/TablaGeneral[[#This Row],[Rendimiento Acomodo de brotes ]],0)</f>
        <v>0</v>
      </c>
      <c r="AK28" s="9">
        <f>+IFERROR(TablaGeneral[[#This Row],[Plantas]]/TablaGeneral[[#This Row],[Rendimiento Desniete, deshoje ]],0)</f>
        <v>0</v>
      </c>
      <c r="AL28" s="9">
        <f>+IFERROR(TablaGeneral[[#This Row],[Plantas]]/TablaGeneral[[#This Row],[Rendimiento Desbrote con criterio de Poda]],0)</f>
        <v>3.4457142857142857</v>
      </c>
      <c r="AM28" s="9">
        <f>+IFERROR(TablaGeneral[[#This Row],[Plantas]]/TablaGeneral[[#This Row],[Rendimiento Raleo de Racimos]],0)</f>
        <v>4.8239999999999998</v>
      </c>
      <c r="AN28" s="10">
        <f>+TablaGeneral[[#This Row],[Plantas]]/3366.9</f>
        <v>0.71638599304998662</v>
      </c>
      <c r="AO28" s="10">
        <f>+TablaGeneral[[#This Row],[Plantas]]/5179.85</f>
        <v>0.4656505497263434</v>
      </c>
      <c r="AP28" s="10">
        <f>+TablaGeneral[[#This Row],[Plantas]]/6899.38</f>
        <v>0.34959663042186401</v>
      </c>
      <c r="AQ28" s="13">
        <f>+TablaGeneral[[#This Row],[Plantas]]/2591.91</f>
        <v>0.93058786763429291</v>
      </c>
      <c r="AR28" s="13">
        <f>+TablaGeneral[[#This Row],[Plantas]]/1683.45</f>
        <v>1.4327719860999732</v>
      </c>
      <c r="AS28" s="10">
        <f>+TablaGeneral[[#This Row],[Plantas]]/1232.39</f>
        <v>1.9571726482688108</v>
      </c>
      <c r="AT28" s="13">
        <f>+TablaGeneral[[#This Row],[Plantas]]/216.3</f>
        <v>11.151178918169208</v>
      </c>
      <c r="AU28" s="13">
        <f>+TablaGeneral[[#This Row],[Plantas]]/2941.65</f>
        <v>0.81994798837387173</v>
      </c>
      <c r="AV28" s="13">
        <f>+TablaGeneral[[#This Row],[Plantas]]/980.55</f>
        <v>2.4598439651216157</v>
      </c>
      <c r="AW28" s="13">
        <f>+TablaGeneral[[#This Row],[Plantas]]/9805</f>
        <v>0.24599694033656297</v>
      </c>
      <c r="AX28" s="13">
        <f>+TablaGeneral[[#This Row],[Plantas]]/460</f>
        <v>5.2434782608695656</v>
      </c>
      <c r="AY28" s="13">
        <f>+TablaGeneral[[#This Row],[Plantas]]/1176.66</f>
        <v>2.0498699709346795</v>
      </c>
      <c r="AZ28" s="13"/>
      <c r="BA28" s="13"/>
      <c r="BB28" s="13">
        <f>+TablaGeneral[[#This Row],[Plantas]]/11766.6</f>
        <v>0.20498699709346793</v>
      </c>
      <c r="BC28" s="13">
        <f>+TablaGeneral[[#This Row],[Plantas]]/1897.32</f>
        <v>1.271266839542091</v>
      </c>
      <c r="BD28" s="13">
        <f>+TablaGeneral[[#This Row],[Plantas]]/3565.64</f>
        <v>0.67645640053398548</v>
      </c>
      <c r="BE28" s="13">
        <f>+TablaGeneral[[#This Row],[Plantas]]/1176.7</f>
        <v>2.049800288943656</v>
      </c>
      <c r="BF28" s="13">
        <f>+TablaGeneral[[#This Row],[Plantas]]/1568.88</f>
        <v>1.5374024782010096</v>
      </c>
      <c r="BG28" s="13">
        <f>+TablaGeneral[[#This Row],[Plantas]]/2941.65</f>
        <v>0.81994798837387173</v>
      </c>
      <c r="BH28" s="13">
        <f>+TablaGeneral[[#This Row],[Plantas]]/1961.1</f>
        <v>1.2299219825608079</v>
      </c>
      <c r="BI28" s="13">
        <f>+TablaGeneral[[#This Row],[Plantas]]/2353.32</f>
        <v>1.0249349854673397</v>
      </c>
      <c r="BJ28" s="13">
        <f>+TablaGeneral[[#This Row],[Plantas]]/1961.1</f>
        <v>1.2299219825608079</v>
      </c>
      <c r="BK28" s="13">
        <f>+TablaGeneral[[#This Row],[Plantas]]/3268</f>
        <v>0.73806609547123625</v>
      </c>
      <c r="BL28" s="13">
        <f>+TablaGeneral[[#This Row],[Plantas]]/525.295</f>
        <v>4.5917056130364848</v>
      </c>
      <c r="BM28" s="13">
        <f>+TablaGeneral[[#This Row],[Plantas]]/653.7</f>
        <v>3.6897659476824227</v>
      </c>
      <c r="BN28" s="17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194.25182680071515</v>
      </c>
      <c r="BO28" s="17">
        <f>+TablaGeneral[[#This Row],[Combustible]]/100</f>
        <v>1.9425182680071515</v>
      </c>
      <c r="BP28" s="17">
        <f>+TablaGeneral[[#This Row],[Combustible]]/150</f>
        <v>1.2950121786714344</v>
      </c>
      <c r="BQ28" s="17">
        <f>+TablaGeneral[[#This Row],[Combustible]]/200</f>
        <v>0.97125913400357577</v>
      </c>
      <c r="BR28" s="1">
        <f>+H28/2094.5</f>
        <v>1.1515874910479829</v>
      </c>
      <c r="BS28" s="1">
        <f>+H28/2094.5</f>
        <v>1.1515874910479829</v>
      </c>
      <c r="BT28" s="1">
        <f>+H28/523.625</f>
        <v>4.6063499641919314</v>
      </c>
      <c r="BU28" s="1">
        <f>+H28/5236.25</f>
        <v>0.46063499641919314</v>
      </c>
      <c r="BV28" s="1">
        <f>+H28/1047.25</f>
        <v>2.3031749820959657</v>
      </c>
      <c r="BW28">
        <f t="shared" si="37"/>
        <v>1.7779874538364577</v>
      </c>
      <c r="BX28">
        <f t="shared" si="38"/>
        <v>1.4520236224738581</v>
      </c>
      <c r="BY28">
        <f t="shared" si="39"/>
        <v>2.8892248205015174</v>
      </c>
      <c r="BZ28">
        <f t="shared" si="40"/>
        <v>2.2224884130216442</v>
      </c>
      <c r="CA28">
        <f t="shared" si="41"/>
        <v>3.3934216579650442</v>
      </c>
      <c r="CB28">
        <f t="shared" si="42"/>
        <v>1.7779874538364577</v>
      </c>
      <c r="CC28">
        <f t="shared" si="43"/>
        <v>0.22224884130216443</v>
      </c>
      <c r="CD28">
        <f t="shared" si="44"/>
        <v>0.14816543912132735</v>
      </c>
      <c r="CF28">
        <f t="shared" si="45"/>
        <v>6.6674406647537863</v>
      </c>
      <c r="CG28">
        <f t="shared" si="46"/>
        <v>1.3779392609858092</v>
      </c>
      <c r="CH28">
        <f t="shared" si="47"/>
        <v>1.3038542623925617</v>
      </c>
      <c r="CI28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7.082087657762079</v>
      </c>
      <c r="CJ28" s="59">
        <f>+TablaGeneral[[#This Row],[Tracto elevador]]+TablaGeneral[[#This Row],[Tractor con uñas]]+TablaGeneral[[#This Row],[Tractor con acoplado]]</f>
        <v>8.0611124373358791</v>
      </c>
      <c r="CK28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4.2819825849735569</v>
      </c>
      <c r="CL28" s="60">
        <f>+SUM(BR28:BV28)+TablaGeneral[[#This Row],[Cosecha DOV]]+TablaGeneral[[#This Row],[Corte DOV]]</f>
        <v>9.673334924803056</v>
      </c>
      <c r="CM28" s="60">
        <f>+SUM(TablaGeneral[[#This Row],[Colocación de malla]:[Descarga y carga de bines con Autoelevador]])</f>
        <v>23.232781890190626</v>
      </c>
      <c r="CN28" s="59"/>
      <c r="CO28" s="59"/>
      <c r="CP28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28" t="str">
        <f>+TablaGeneral[[#This Row],[Variedad]]&amp;" "&amp;TablaGeneral[[#This Row],[Año de plantación]]</f>
        <v xml:space="preserve">Flame </v>
      </c>
      <c r="CR28" t="str">
        <f>+IF(TablaGeneral[[#This Row],[Finca]]="El Espejo I","El Espejo I y II",IF(TablaGeneral[[#This Row],[Finca]]="El Espejo II","El Espejo I y II",TablaGeneral[[#This Row],[Finca]]))</f>
        <v>Camino Truncado</v>
      </c>
    </row>
    <row r="29" spans="1:96">
      <c r="A29" t="s">
        <v>8</v>
      </c>
      <c r="B29">
        <v>51</v>
      </c>
      <c r="C29" s="1">
        <v>3.05</v>
      </c>
      <c r="D29" t="s">
        <v>9</v>
      </c>
      <c r="E29" s="2">
        <v>15000</v>
      </c>
      <c r="F29" s="2">
        <f>+TablaGeneral[[#This Row],[Has]]*TablaGeneral[[#This Row],[Kg x Has]]</f>
        <v>45750</v>
      </c>
      <c r="G29" s="2">
        <f>+TablaGeneral[[#This Row],[Kg 2026]]/4</f>
        <v>11437.5</v>
      </c>
      <c r="H29">
        <v>4182</v>
      </c>
      <c r="J29" t="s">
        <v>25</v>
      </c>
      <c r="K29" s="5">
        <f>10000/IF(LEN(TablaGeneral[[#This Row],[Marco de plantación]])&gt;3,(MID(TablaGeneral[[#This Row],[Marco de plantación]],1,3)*MID(TablaGeneral[[#This Row],[Marco de plantación]],5,3)),(3*2))</f>
        <v>1371.7421124828531</v>
      </c>
      <c r="L29" s="7">
        <v>14</v>
      </c>
      <c r="M29" s="5">
        <f>+TablaGeneral[[#This Row],[Plantas x Has]]*TablaGeneral[[#This Row],[N° de Guías x planta]]</f>
        <v>19204.389574759945</v>
      </c>
      <c r="N29" s="7">
        <v>10</v>
      </c>
      <c r="O29" s="7">
        <f>+TablaGeneral[[#This Row],[N° de Guías x planta]]*TablaGeneral[[#This Row],[N° de Yemas x Guias]]</f>
        <v>140</v>
      </c>
      <c r="P29" s="7">
        <v>0.5</v>
      </c>
      <c r="Q29" s="5">
        <f>+TablaGeneral[[#This Row],[N° de Yemas x Planta]]*TablaGeneral[[#This Row],[% de Brotación]]</f>
        <v>70</v>
      </c>
      <c r="R29" s="7">
        <v>0.55000000000000004</v>
      </c>
      <c r="S29" s="7">
        <v>1</v>
      </c>
      <c r="T29" s="5">
        <f>+TablaGeneral[[#This Row],[N° de Brotes x Planta]]*TablaGeneral[[#This Row],[% de Fertilidad]]*TablaGeneral[[#This Row],[Cantidad de Racimos x Brote]]</f>
        <v>38.5</v>
      </c>
      <c r="U29" s="7">
        <v>0.28499999999999998</v>
      </c>
      <c r="V29" s="5">
        <f>+TablaGeneral[[#This Row],[Cantidad de Racimos x Planta]]*TablaGeneral[[#This Row],[Peso del Racimo]]</f>
        <v>10.972499999999998</v>
      </c>
      <c r="W29" s="5">
        <f>+TablaGeneral[[#This Row],[Plantas]]*TablaGeneral[[#This Row],[Kg x Planta]]</f>
        <v>45886.994999999995</v>
      </c>
      <c r="X29" s="5">
        <f>+TablaGeneral[[#This Row],[Kg x Cuartel]]/TablaGeneral[[#This Row],[Has]]</f>
        <v>15044.916393442621</v>
      </c>
      <c r="Y29" t="s">
        <v>42</v>
      </c>
      <c r="Z29" s="6">
        <v>100</v>
      </c>
      <c r="AA29" s="6">
        <f>+TablaGeneral[[#This Row],[Rendimiento Poda]]*1.5</f>
        <v>150</v>
      </c>
      <c r="AB29" s="6">
        <v>500</v>
      </c>
      <c r="AC29" s="6"/>
      <c r="AD29" s="6"/>
      <c r="AE29" s="6">
        <v>700</v>
      </c>
      <c r="AF29" s="6"/>
      <c r="AG29" s="9">
        <f>+IFERROR(TablaGeneral[[#This Row],[Plantas]]/TablaGeneral[[#This Row],[Rendimiento Poda]],0)</f>
        <v>41.82</v>
      </c>
      <c r="AH29" s="9">
        <f>+TablaGeneral[[#This Row],[Plantas]]/TablaGeneral[[#This Row],[Rendimiento Atada]]</f>
        <v>27.88</v>
      </c>
      <c r="AI29" s="9">
        <f>+IFERROR(TablaGeneral[[#This Row],[Plantas]]/TablaGeneral[[#This Row],[Rendimiento Desbrote de troncos]],0)</f>
        <v>8.3640000000000008</v>
      </c>
      <c r="AJ29" s="9">
        <f>+IFERROR(TablaGeneral[[#This Row],[Plantas]]/TablaGeneral[[#This Row],[Rendimiento Acomodo de brotes ]],0)</f>
        <v>0</v>
      </c>
      <c r="AK29" s="9">
        <f>+IFERROR(TablaGeneral[[#This Row],[Plantas]]/TablaGeneral[[#This Row],[Rendimiento Desniete, deshoje ]],0)</f>
        <v>0</v>
      </c>
      <c r="AL29" s="9">
        <f>+IFERROR(TablaGeneral[[#This Row],[Plantas]]/TablaGeneral[[#This Row],[Rendimiento Desbrote con criterio de Poda]],0)</f>
        <v>5.9742857142857142</v>
      </c>
      <c r="AM29" s="9">
        <f>+IFERROR(TablaGeneral[[#This Row],[Plantas]]/TablaGeneral[[#This Row],[Rendimiento Raleo de Racimos]],0)</f>
        <v>0</v>
      </c>
      <c r="AN29" s="10">
        <f>+TablaGeneral[[#This Row],[Plantas]]/2834.828</f>
        <v>1.4752217771236915</v>
      </c>
      <c r="AO29" s="10">
        <f>+TablaGeneral[[#This Row],[Plantas]]/4326.84</f>
        <v>0.96652522395096652</v>
      </c>
      <c r="AP29" s="10">
        <f>+TablaGeneral[[#This Row],[Plantas]]/5709.02</f>
        <v>0.7325250218075956</v>
      </c>
      <c r="AQ29" s="13">
        <f>+TablaGeneral[[#This Row],[Plantas]]/2135.32</f>
        <v>1.9584886574377609</v>
      </c>
      <c r="AR29" s="13">
        <f>+TablaGeneral[[#This Row],[Plantas]]/1370.17</f>
        <v>3.052176007356751</v>
      </c>
      <c r="AS29" s="10">
        <f>+TablaGeneral[[#This Row],[Plantas]]/1191.44</f>
        <v>3.5100382730141675</v>
      </c>
      <c r="AT29" s="13">
        <f>+TablaGeneral[[#This Row],[Plantas]]/216.3</f>
        <v>19.334257975034674</v>
      </c>
      <c r="AU29" s="13">
        <f>+TablaGeneral[[#This Row],[Plantas]]/2941.65</f>
        <v>1.4216511141706185</v>
      </c>
      <c r="AV29" s="13">
        <f>+TablaGeneral[[#This Row],[Plantas]]/980.55</f>
        <v>4.2649533425118555</v>
      </c>
      <c r="AW29" s="13">
        <f>+TablaGeneral[[#This Row],[Plantas]]/9805</f>
        <v>0.42651708312085673</v>
      </c>
      <c r="AX29" s="13">
        <f>+TablaGeneral[[#This Row],[Plantas]]/460</f>
        <v>9.0913043478260871</v>
      </c>
      <c r="AY29" s="13">
        <f>+TablaGeneral[[#This Row],[Plantas]]/1176.66</f>
        <v>3.5541277854265463</v>
      </c>
      <c r="AZ29" s="13"/>
      <c r="BA29" s="13"/>
      <c r="BB29" s="13">
        <f>+TablaGeneral[[#This Row],[Plantas]]/11766.6</f>
        <v>0.35541277854265463</v>
      </c>
      <c r="BC29" s="13">
        <f>+TablaGeneral[[#This Row],[Plantas]]/1897.32</f>
        <v>2.2041616596040732</v>
      </c>
      <c r="BD29" s="13">
        <f>+TablaGeneral[[#This Row],[Plantas]]/3565.64</f>
        <v>1.172860973065144</v>
      </c>
      <c r="BE29" s="13">
        <f>+TablaGeneral[[#This Row],[Plantas]]/1176.7</f>
        <v>3.5540069686411146</v>
      </c>
      <c r="BF29" s="13">
        <f>+TablaGeneral[[#This Row],[Plantas]]/1568.88</f>
        <v>2.6655958390699097</v>
      </c>
      <c r="BG29" s="13">
        <f>+TablaGeneral[[#This Row],[Plantas]]/2941.65</f>
        <v>1.4216511141706185</v>
      </c>
      <c r="BH29" s="13">
        <f>+TablaGeneral[[#This Row],[Plantas]]/1961.1</f>
        <v>2.1324766712559278</v>
      </c>
      <c r="BI29" s="13">
        <f>+TablaGeneral[[#This Row],[Plantas]]/2353.32</f>
        <v>1.7770638927132731</v>
      </c>
      <c r="BJ29" s="13">
        <f>+TablaGeneral[[#This Row],[Plantas]]/1961.1</f>
        <v>2.1324766712559278</v>
      </c>
      <c r="BK29" s="13">
        <f>+TablaGeneral[[#This Row],[Plantas]]/3268</f>
        <v>1.2796817625458996</v>
      </c>
      <c r="BL29" s="13">
        <f>+TablaGeneral[[#This Row],[Plantas]]/525.295</f>
        <v>7.9612408265831585</v>
      </c>
      <c r="BM29" s="13">
        <f>+TablaGeneral[[#This Row],[Plantas]]/653.7</f>
        <v>6.3974300137677833</v>
      </c>
      <c r="BN29" s="17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352.28290513911236</v>
      </c>
      <c r="BO29" s="17">
        <f>+TablaGeneral[[#This Row],[Combustible]]/100</f>
        <v>3.5228290513911236</v>
      </c>
      <c r="BP29" s="17">
        <f>+TablaGeneral[[#This Row],[Combustible]]/150</f>
        <v>2.3485527009274159</v>
      </c>
      <c r="BQ29" s="17">
        <f>+TablaGeneral[[#This Row],[Combustible]]/200</f>
        <v>1.7614145256955618</v>
      </c>
      <c r="BR29" s="1">
        <f>+H29/2094.5</f>
        <v>1.9966579135831941</v>
      </c>
      <c r="BS29" s="1">
        <f>+H29/2094.5</f>
        <v>1.9966579135831941</v>
      </c>
      <c r="BT29" s="1">
        <f>+H29/523.625</f>
        <v>7.9866316543327764</v>
      </c>
      <c r="BU29" s="1">
        <f>+H29/5236.25</f>
        <v>0.79866316543327764</v>
      </c>
      <c r="BV29" s="1">
        <f>+H29/1047.25</f>
        <v>3.9933158271663882</v>
      </c>
      <c r="BW29">
        <f t="shared" si="37"/>
        <v>3.082729490855749</v>
      </c>
      <c r="BX29">
        <f t="shared" si="38"/>
        <v>2.5175633454335302</v>
      </c>
      <c r="BY29">
        <f t="shared" si="39"/>
        <v>5.0094271141531284</v>
      </c>
      <c r="BZ29">
        <f t="shared" si="40"/>
        <v>3.8534189648658859</v>
      </c>
      <c r="CA29">
        <f t="shared" si="41"/>
        <v>5.8836191432876515</v>
      </c>
      <c r="CB29">
        <f t="shared" si="42"/>
        <v>3.082729490855749</v>
      </c>
      <c r="CC29">
        <f t="shared" si="43"/>
        <v>0.38534189648658856</v>
      </c>
      <c r="CD29">
        <f t="shared" si="44"/>
        <v>0.25689380862578398</v>
      </c>
      <c r="CF29">
        <f t="shared" si="45"/>
        <v>11.560214286898978</v>
      </c>
      <c r="CG29">
        <f t="shared" si="46"/>
        <v>2.3891135942962913</v>
      </c>
      <c r="CH29">
        <f t="shared" si="47"/>
        <v>2.2606627385264066</v>
      </c>
      <c r="CI29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13.827451631946861</v>
      </c>
      <c r="CJ29" s="59">
        <f>+TablaGeneral[[#This Row],[Tracto elevador]]+TablaGeneral[[#This Row],[Tractor con uñas]]+TablaGeneral[[#This Row],[Tractor con acoplado]]</f>
        <v>13.976605395082359</v>
      </c>
      <c r="CK29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7.4242334868820112</v>
      </c>
      <c r="CL29" s="60">
        <f>+SUM(BR29:BV29)+TablaGeneral[[#This Row],[Cosecha DOV]]+TablaGeneral[[#This Row],[Corte DOV]]</f>
        <v>16.77192647409883</v>
      </c>
      <c r="CM29" s="60">
        <f>+SUM(TablaGeneral[[#This Row],[Colocación de malla]:[Descarga y carga de bines con Autoelevador]])</f>
        <v>40.281713874285742</v>
      </c>
      <c r="CN29" s="59"/>
      <c r="CO29" s="59"/>
      <c r="CP29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29" t="str">
        <f>+TablaGeneral[[#This Row],[Variedad]]&amp;" "&amp;TablaGeneral[[#This Row],[Año de plantación]]</f>
        <v xml:space="preserve">Sultanina </v>
      </c>
      <c r="CR29" t="str">
        <f>+IF(TablaGeneral[[#This Row],[Finca]]="El Espejo I","El Espejo I y II",IF(TablaGeneral[[#This Row],[Finca]]="El Espejo II","El Espejo I y II",TablaGeneral[[#This Row],[Finca]]))</f>
        <v>Camino Truncado</v>
      </c>
    </row>
    <row r="30" spans="1:96">
      <c r="A30" t="s">
        <v>8</v>
      </c>
      <c r="B30">
        <v>52</v>
      </c>
      <c r="C30" s="1">
        <v>2</v>
      </c>
      <c r="D30" t="s">
        <v>7</v>
      </c>
      <c r="E30" s="2">
        <v>40000</v>
      </c>
      <c r="F30" s="2">
        <f>+TablaGeneral[[#This Row],[Has]]*TablaGeneral[[#This Row],[Kg x Has]]</f>
        <v>80000</v>
      </c>
      <c r="G30" s="2">
        <f>+TablaGeneral[[#This Row],[Kg 2026]]/4</f>
        <v>20000</v>
      </c>
      <c r="H30">
        <v>3332</v>
      </c>
      <c r="J30" t="s">
        <v>23</v>
      </c>
      <c r="K30" s="5">
        <f>10000/IF(LEN(TablaGeneral[[#This Row],[Marco de plantación]])&gt;3,(MID(TablaGeneral[[#This Row],[Marco de plantación]],1,3)*MID(TablaGeneral[[#This Row],[Marco de plantación]],5,3)),(3*2))</f>
        <v>1666.6666666666667</v>
      </c>
      <c r="L30" s="7">
        <v>12</v>
      </c>
      <c r="M30" s="5">
        <f>+TablaGeneral[[#This Row],[Plantas x Has]]*TablaGeneral[[#This Row],[N° de Guías x planta]]</f>
        <v>20000</v>
      </c>
      <c r="N30" s="7">
        <v>6.3</v>
      </c>
      <c r="O30" s="7">
        <f>+TablaGeneral[[#This Row],[N° de Guías x planta]]*TablaGeneral[[#This Row],[N° de Yemas x Guias]]</f>
        <v>75.599999999999994</v>
      </c>
      <c r="P30" s="7">
        <v>0.7</v>
      </c>
      <c r="Q30" s="5">
        <f>+TablaGeneral[[#This Row],[N° de Yemas x Planta]]*TablaGeneral[[#This Row],[% de Brotación]]</f>
        <v>52.919999999999995</v>
      </c>
      <c r="R30" s="7">
        <v>0.85</v>
      </c>
      <c r="S30" s="7">
        <v>1.5</v>
      </c>
      <c r="T30" s="5">
        <f>+TablaGeneral[[#This Row],[N° de Brotes x Planta]]*TablaGeneral[[#This Row],[% de Fertilidad]]*TablaGeneral[[#This Row],[Cantidad de Racimos x Brote]]</f>
        <v>67.472999999999985</v>
      </c>
      <c r="U30" s="7">
        <v>0.35699999999999998</v>
      </c>
      <c r="V30" s="5">
        <f>+TablaGeneral[[#This Row],[Cantidad de Racimos x Planta]]*TablaGeneral[[#This Row],[Peso del Racimo]]</f>
        <v>24.087860999999993</v>
      </c>
      <c r="W30" s="5">
        <f>+TablaGeneral[[#This Row],[Plantas]]*TablaGeneral[[#This Row],[Kg x Planta]]</f>
        <v>80260.752851999976</v>
      </c>
      <c r="X30" s="5">
        <f>+TablaGeneral[[#This Row],[Kg x Cuartel]]/TablaGeneral[[#This Row],[Has]]</f>
        <v>40130.376425999988</v>
      </c>
      <c r="Y30" t="s">
        <v>42</v>
      </c>
      <c r="Z30" s="15">
        <v>110</v>
      </c>
      <c r="AA30" s="6">
        <f>+TablaGeneral[[#This Row],[Rendimiento Poda]]*1.5</f>
        <v>165</v>
      </c>
      <c r="AB30" s="6">
        <v>500</v>
      </c>
      <c r="AC30" s="6">
        <v>600</v>
      </c>
      <c r="AD30" s="6"/>
      <c r="AE30" s="6">
        <v>700</v>
      </c>
      <c r="AF30" s="6"/>
      <c r="AG30" s="9">
        <f>+IFERROR(TablaGeneral[[#This Row],[Plantas]]/TablaGeneral[[#This Row],[Rendimiento Poda]],0)</f>
        <v>30.290909090909089</v>
      </c>
      <c r="AH30" s="9">
        <f>+TablaGeneral[[#This Row],[Plantas]]/TablaGeneral[[#This Row],[Rendimiento Atada]]</f>
        <v>20.193939393939395</v>
      </c>
      <c r="AI30" s="9">
        <f>+IFERROR(TablaGeneral[[#This Row],[Plantas]]/TablaGeneral[[#This Row],[Rendimiento Desbrote de troncos]],0)</f>
        <v>6.6639999999999997</v>
      </c>
      <c r="AJ30" s="9">
        <f>+IFERROR(TablaGeneral[[#This Row],[Plantas]]/TablaGeneral[[#This Row],[Rendimiento Acomodo de brotes ]],0)</f>
        <v>5.5533333333333337</v>
      </c>
      <c r="AK30" s="9">
        <f>+IFERROR(TablaGeneral[[#This Row],[Plantas]]/TablaGeneral[[#This Row],[Rendimiento Desniete, deshoje ]],0)</f>
        <v>0</v>
      </c>
      <c r="AL30" s="9">
        <f>+IFERROR(TablaGeneral[[#This Row],[Plantas]]/TablaGeneral[[#This Row],[Rendimiento Desbrote con criterio de Poda]],0)</f>
        <v>4.76</v>
      </c>
      <c r="AM30" s="9">
        <f>+IFERROR(TablaGeneral[[#This Row],[Plantas]]/TablaGeneral[[#This Row],[Rendimiento Raleo de Racimos]],0)</f>
        <v>0</v>
      </c>
      <c r="AN30" s="10">
        <f>+TablaGeneral[[#This Row],[Plantas]]/4150</f>
        <v>0.8028915662650602</v>
      </c>
      <c r="AO30" s="10">
        <f>+TablaGeneral[[#This Row],[Plantas]]/6196.57</f>
        <v>0.5377168336676581</v>
      </c>
      <c r="AP30" s="10">
        <f>+TablaGeneral[[#This Row],[Plantas]]/8269.65</f>
        <v>0.40291910782197554</v>
      </c>
      <c r="AQ30" s="14">
        <f>+TablaGeneral[[#This Row],[Plantas]]/2069.3</f>
        <v>1.6102063499734207</v>
      </c>
      <c r="AR30" s="14">
        <f>+TablaGeneral[[#This Row],[Plantas]]/2056.14</f>
        <v>1.6205122219304133</v>
      </c>
      <c r="AS30" s="10">
        <f>+TablaGeneral[[#This Row],[Plantas]]/1721.27</f>
        <v>1.935779976412765</v>
      </c>
      <c r="AT30" s="13">
        <f>+TablaGeneral[[#This Row],[Plantas]]/216.3</f>
        <v>15.404530744336569</v>
      </c>
      <c r="AU30" s="13">
        <f>+TablaGeneral[[#This Row],[Plantas]]/2941.65</f>
        <v>1.1326976356806553</v>
      </c>
      <c r="AV30" s="13">
        <f>+TablaGeneral[[#This Row],[Plantas]]/980.55</f>
        <v>3.3980929070419665</v>
      </c>
      <c r="AW30" s="13">
        <f>+TablaGeneral[[#This Row],[Plantas]]/9805</f>
        <v>0.33982661907190209</v>
      </c>
      <c r="AX30" s="13">
        <f>+TablaGeneral[[#This Row],[Plantas]]/460</f>
        <v>7.2434782608695656</v>
      </c>
      <c r="AY30" s="13">
        <f>+TablaGeneral[[#This Row],[Plantas]]/1176.66</f>
        <v>2.8317440892016386</v>
      </c>
      <c r="AZ30" s="13"/>
      <c r="BA30" s="13"/>
      <c r="BB30" s="13">
        <f>+TablaGeneral[[#This Row],[Plantas]]/11766.6</f>
        <v>0.28317440892016382</v>
      </c>
      <c r="BC30" s="13">
        <f>+TablaGeneral[[#This Row],[Plantas]]/1897.32</f>
        <v>1.7561613222861721</v>
      </c>
      <c r="BD30" s="13">
        <f>+TablaGeneral[[#This Row],[Plantas]]/3565.64</f>
        <v>0.93447459642588715</v>
      </c>
      <c r="BE30" s="13">
        <f>+TablaGeneral[[#This Row],[Plantas]]/1176.7</f>
        <v>2.8316478286734084</v>
      </c>
      <c r="BF30" s="13">
        <f>+TablaGeneral[[#This Row],[Plantas]]/1568.88</f>
        <v>2.1238080669012289</v>
      </c>
      <c r="BG30" s="13">
        <f>+TablaGeneral[[#This Row],[Plantas]]/2941.65</f>
        <v>1.1326976356806553</v>
      </c>
      <c r="BH30" s="13">
        <f>+TablaGeneral[[#This Row],[Plantas]]/1961.1</f>
        <v>1.6990464535209833</v>
      </c>
      <c r="BI30" s="13">
        <f>+TablaGeneral[[#This Row],[Plantas]]/2353.32</f>
        <v>1.4158720446008193</v>
      </c>
      <c r="BJ30" s="13">
        <f>+TablaGeneral[[#This Row],[Plantas]]/1961.1</f>
        <v>1.6990464535209833</v>
      </c>
      <c r="BK30" s="13">
        <f>+TablaGeneral[[#This Row],[Plantas]]/3268</f>
        <v>1.0195838433292534</v>
      </c>
      <c r="BL30" s="13">
        <f>+TablaGeneral[[#This Row],[Plantas]]/525.295</f>
        <v>6.3431024471963378</v>
      </c>
      <c r="BM30" s="13">
        <f>+TablaGeneral[[#This Row],[Plantas]]/653.7</f>
        <v>5.0971393605629487</v>
      </c>
      <c r="BN30" s="17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248.36665953583551</v>
      </c>
      <c r="BO30" s="17">
        <f>+TablaGeneral[[#This Row],[Combustible]]/100</f>
        <v>2.483666595358355</v>
      </c>
      <c r="BP30" s="17">
        <f>+TablaGeneral[[#This Row],[Combustible]]/150</f>
        <v>1.6557777302389034</v>
      </c>
      <c r="BQ30" s="17">
        <f>+TablaGeneral[[#This Row],[Combustible]]/200</f>
        <v>1.2418332976791775</v>
      </c>
      <c r="BR30" s="1">
        <f>+H30/2261.75</f>
        <v>1.4731955344313032</v>
      </c>
      <c r="BS30" s="1">
        <f>+H30/2261.75</f>
        <v>1.4731955344313032</v>
      </c>
      <c r="BT30" s="1">
        <f>+H30/565.438</f>
        <v>5.8927769269132959</v>
      </c>
      <c r="BU30" s="1">
        <f>+H30/5654.38</f>
        <v>0.58927769269132957</v>
      </c>
      <c r="BV30" s="1">
        <f>+H30/1130.88</f>
        <v>2.9463780418788903</v>
      </c>
      <c r="BW30">
        <f t="shared" si="37"/>
        <v>2.4561584561289704</v>
      </c>
      <c r="BX30">
        <f t="shared" si="38"/>
        <v>2.0058634784754954</v>
      </c>
      <c r="BY30">
        <f t="shared" si="39"/>
        <v>3.9912508714390782</v>
      </c>
      <c r="BZ30">
        <f t="shared" si="40"/>
        <v>3.0702037281045271</v>
      </c>
      <c r="CA30">
        <f t="shared" si="41"/>
        <v>4.6877615938389416</v>
      </c>
      <c r="CB30">
        <f t="shared" si="42"/>
        <v>2.4561584561289704</v>
      </c>
      <c r="CC30">
        <f t="shared" si="43"/>
        <v>0.30702037281045269</v>
      </c>
      <c r="CD30">
        <f t="shared" si="44"/>
        <v>0.20467961988070593</v>
      </c>
      <c r="CF30">
        <f t="shared" si="45"/>
        <v>9.2105772367162579</v>
      </c>
      <c r="CG30">
        <f t="shared" si="46"/>
        <v>1.9035214003336303</v>
      </c>
      <c r="CH30">
        <f t="shared" si="47"/>
        <v>1.80117844207795</v>
      </c>
      <c r="CI30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8.6090725095922753</v>
      </c>
      <c r="CJ30" s="59">
        <f>+TablaGeneral[[#This Row],[Tracto elevador]]+TablaGeneral[[#This Row],[Tractor con uñas]]+TablaGeneral[[#This Row],[Tractor con acoplado]]</f>
        <v>10.31235050322349</v>
      </c>
      <c r="CK30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5.9152429407677811</v>
      </c>
      <c r="CL30" s="60">
        <f>+SUM(BR30:BV30)+TablaGeneral[[#This Row],[Cosecha DOV]]+TablaGeneral[[#This Row],[Corte DOV]]</f>
        <v>12.374823730346122</v>
      </c>
      <c r="CM30" s="60">
        <f>+SUM(TablaGeneral[[#This Row],[Colocación de malla]:[Descarga y carga de bines con Autoelevador]])</f>
        <v>32.09437365593498</v>
      </c>
      <c r="CN30" s="59"/>
      <c r="CO30" s="59"/>
      <c r="CP30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30" t="str">
        <f>+TablaGeneral[[#This Row],[Variedad]]&amp;" "&amp;TablaGeneral[[#This Row],[Año de plantación]]</f>
        <v xml:space="preserve">Arizul </v>
      </c>
      <c r="CR30" t="str">
        <f>+IF(TablaGeneral[[#This Row],[Finca]]="El Espejo I","El Espejo I y II",IF(TablaGeneral[[#This Row],[Finca]]="El Espejo II","El Espejo I y II",TablaGeneral[[#This Row],[Finca]]))</f>
        <v>Camino Truncado</v>
      </c>
    </row>
    <row r="31" spans="1:96">
      <c r="A31" t="s">
        <v>8</v>
      </c>
      <c r="B31">
        <v>53</v>
      </c>
      <c r="C31" s="1">
        <v>2.17</v>
      </c>
      <c r="D31" t="s">
        <v>10</v>
      </c>
      <c r="E31" s="2">
        <v>40000</v>
      </c>
      <c r="F31" s="2">
        <f>+TablaGeneral[[#This Row],[Has]]*TablaGeneral[[#This Row],[Kg x Has]]</f>
        <v>86800</v>
      </c>
      <c r="G31" s="2">
        <f>+TablaGeneral[[#This Row],[Kg 2026]]/4</f>
        <v>21700</v>
      </c>
      <c r="H31">
        <v>3617</v>
      </c>
      <c r="J31" t="s">
        <v>23</v>
      </c>
      <c r="K31" s="5">
        <f>10000/IF(LEN(TablaGeneral[[#This Row],[Marco de plantación]])&gt;3,(MID(TablaGeneral[[#This Row],[Marco de plantación]],1,3)*MID(TablaGeneral[[#This Row],[Marco de plantación]],5,3)),(3*2))</f>
        <v>1666.6666666666667</v>
      </c>
      <c r="L31" s="7">
        <v>16</v>
      </c>
      <c r="M31" s="5">
        <f>+TablaGeneral[[#This Row],[Plantas x Has]]*TablaGeneral[[#This Row],[N° de Guías x planta]]</f>
        <v>26666.666666666668</v>
      </c>
      <c r="N31" s="7">
        <v>10</v>
      </c>
      <c r="O31" s="7">
        <f>+TablaGeneral[[#This Row],[N° de Guías x planta]]*TablaGeneral[[#This Row],[N° de Yemas x Guias]]</f>
        <v>160</v>
      </c>
      <c r="P31" s="7">
        <v>0.5</v>
      </c>
      <c r="Q31" s="5">
        <f>+TablaGeneral[[#This Row],[N° de Yemas x Planta]]*TablaGeneral[[#This Row],[% de Brotación]]</f>
        <v>80</v>
      </c>
      <c r="R31" s="7">
        <v>0.55000000000000004</v>
      </c>
      <c r="S31" s="7">
        <v>1.5</v>
      </c>
      <c r="T31" s="5">
        <f>+TablaGeneral[[#This Row],[N° de Brotes x Planta]]*TablaGeneral[[#This Row],[% de Fertilidad]]*TablaGeneral[[#This Row],[Cantidad de Racimos x Brote]]</f>
        <v>66</v>
      </c>
      <c r="U31" s="7">
        <v>0.36399999999999999</v>
      </c>
      <c r="V31" s="5">
        <f>+TablaGeneral[[#This Row],[Cantidad de Racimos x Planta]]*TablaGeneral[[#This Row],[Peso del Racimo]]</f>
        <v>24.024000000000001</v>
      </c>
      <c r="W31" s="5">
        <f>+TablaGeneral[[#This Row],[Plantas]]*TablaGeneral[[#This Row],[Kg x Planta]]</f>
        <v>86894.808000000005</v>
      </c>
      <c r="X31" s="5">
        <f>+TablaGeneral[[#This Row],[Kg x Cuartel]]/TablaGeneral[[#This Row],[Has]]</f>
        <v>40043.690322580645</v>
      </c>
      <c r="Y31" t="s">
        <v>42</v>
      </c>
      <c r="Z31" s="15">
        <v>110</v>
      </c>
      <c r="AA31" s="6">
        <f>+TablaGeneral[[#This Row],[Rendimiento Poda]]*1.5</f>
        <v>165</v>
      </c>
      <c r="AB31" s="6">
        <v>500</v>
      </c>
      <c r="AC31" s="6">
        <v>600</v>
      </c>
      <c r="AD31" s="6"/>
      <c r="AE31" s="6">
        <v>700</v>
      </c>
      <c r="AF31" s="6">
        <v>500</v>
      </c>
      <c r="AG31" s="9">
        <f>+IFERROR(TablaGeneral[[#This Row],[Plantas]]/TablaGeneral[[#This Row],[Rendimiento Poda]],0)</f>
        <v>32.881818181818183</v>
      </c>
      <c r="AH31" s="9">
        <f>+TablaGeneral[[#This Row],[Plantas]]/TablaGeneral[[#This Row],[Rendimiento Atada]]</f>
        <v>21.921212121212122</v>
      </c>
      <c r="AI31" s="9">
        <f>+IFERROR(TablaGeneral[[#This Row],[Plantas]]/TablaGeneral[[#This Row],[Rendimiento Desbrote de troncos]],0)</f>
        <v>7.234</v>
      </c>
      <c r="AJ31" s="9">
        <f>+IFERROR(TablaGeneral[[#This Row],[Plantas]]/TablaGeneral[[#This Row],[Rendimiento Acomodo de brotes ]],0)</f>
        <v>6.0283333333333333</v>
      </c>
      <c r="AK31" s="9">
        <f>+IFERROR(TablaGeneral[[#This Row],[Plantas]]/TablaGeneral[[#This Row],[Rendimiento Desniete, deshoje ]],0)</f>
        <v>0</v>
      </c>
      <c r="AL31" s="9">
        <f>+IFERROR(TablaGeneral[[#This Row],[Plantas]]/TablaGeneral[[#This Row],[Rendimiento Desbrote con criterio de Poda]],0)</f>
        <v>5.1671428571428573</v>
      </c>
      <c r="AM31" s="9">
        <f>+IFERROR(TablaGeneral[[#This Row],[Plantas]]/TablaGeneral[[#This Row],[Rendimiento Raleo de Racimos]],0)</f>
        <v>7.234</v>
      </c>
      <c r="AN31" s="10">
        <f>+TablaGeneral[[#This Row],[Plantas]]/3347.215</f>
        <v>1.0805998419581653</v>
      </c>
      <c r="AO31" s="10">
        <f>+TablaGeneral[[#This Row],[Plantas]]/4989.25</f>
        <v>0.72495866112141105</v>
      </c>
      <c r="AP31" s="10">
        <f>+TablaGeneral[[#This Row],[Plantas]]/6677.52</f>
        <v>0.54166816422863573</v>
      </c>
      <c r="AQ31" s="13">
        <f>+TablaGeneral[[#This Row],[Plantas]]/5008.14</f>
        <v>0.72222421897151434</v>
      </c>
      <c r="AR31" s="13">
        <f>+TablaGeneral[[#This Row],[Plantas]]/1652.69</f>
        <v>2.1885532071955418</v>
      </c>
      <c r="AS31" s="10">
        <f>+TablaGeneral[[#This Row],[Plantas]]/1391.73</f>
        <v>2.5989236417983372</v>
      </c>
      <c r="AT31" s="13">
        <f>+TablaGeneral[[#This Row],[Plantas]]/216.3</f>
        <v>16.722145168747108</v>
      </c>
      <c r="AU31" s="13">
        <f>+TablaGeneral[[#This Row],[Plantas]]/2941.65</f>
        <v>1.2295820372919959</v>
      </c>
      <c r="AV31" s="13">
        <f>+TablaGeneral[[#This Row],[Plantas]]/980.55</f>
        <v>3.6887461118759881</v>
      </c>
      <c r="AW31" s="13">
        <f>+TablaGeneral[[#This Row],[Plantas]]/9805</f>
        <v>0.36889342172361039</v>
      </c>
      <c r="AX31" s="13">
        <f>+TablaGeneral[[#This Row],[Plantas]]/460</f>
        <v>7.8630434782608694</v>
      </c>
      <c r="AY31" s="13">
        <f>+TablaGeneral[[#This Row],[Plantas]]/1176.66</f>
        <v>3.0739550932299897</v>
      </c>
      <c r="AZ31" s="13"/>
      <c r="BA31" s="13"/>
      <c r="BB31" s="13">
        <f>+TablaGeneral[[#This Row],[Plantas]]/11766.6</f>
        <v>0.30739550932299897</v>
      </c>
      <c r="BC31" s="13">
        <f>+TablaGeneral[[#This Row],[Plantas]]/1897.32</f>
        <v>1.9063732000927625</v>
      </c>
      <c r="BD31" s="13">
        <f>+TablaGeneral[[#This Row],[Plantas]]/3565.64</f>
        <v>1.0144041462402262</v>
      </c>
      <c r="BE31" s="13">
        <f>+TablaGeneral[[#This Row],[Plantas]]/1176.7</f>
        <v>3.073850599133169</v>
      </c>
      <c r="BF31" s="13">
        <f>+TablaGeneral[[#This Row],[Plantas]]/1568.88</f>
        <v>2.3054663199224925</v>
      </c>
      <c r="BG31" s="13">
        <f>+TablaGeneral[[#This Row],[Plantas]]/2941.65</f>
        <v>1.2295820372919959</v>
      </c>
      <c r="BH31" s="13">
        <f>+TablaGeneral[[#This Row],[Plantas]]/1961.1</f>
        <v>1.8443730559379941</v>
      </c>
      <c r="BI31" s="13">
        <f>+TablaGeneral[[#This Row],[Plantas]]/2353.32</f>
        <v>1.5369775466149949</v>
      </c>
      <c r="BJ31" s="13">
        <f>+TablaGeneral[[#This Row],[Plantas]]/1961.1</f>
        <v>1.8443730559379941</v>
      </c>
      <c r="BK31" s="13">
        <f>+TablaGeneral[[#This Row],[Plantas]]/3268</f>
        <v>1.1067931456548348</v>
      </c>
      <c r="BL31" s="13">
        <f>+TablaGeneral[[#This Row],[Plantas]]/525.295</f>
        <v>6.8856547273436837</v>
      </c>
      <c r="BM31" s="13">
        <f>+TablaGeneral[[#This Row],[Plantas]]/653.7</f>
        <v>5.5331191678139815</v>
      </c>
      <c r="BN31" s="17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244.1266670174343</v>
      </c>
      <c r="BO31" s="17">
        <f>+TablaGeneral[[#This Row],[Combustible]]/100</f>
        <v>2.4412666701743428</v>
      </c>
      <c r="BP31" s="17">
        <f>+TablaGeneral[[#This Row],[Combustible]]/150</f>
        <v>1.6275111134495619</v>
      </c>
      <c r="BQ31" s="17">
        <f>+TablaGeneral[[#This Row],[Combustible]]/200</f>
        <v>1.2206333350871714</v>
      </c>
      <c r="BR31" s="1">
        <f>+H31/3054.1</f>
        <v>1.1843096165809894</v>
      </c>
      <c r="BS31" s="1">
        <f>+H31/3054.1</f>
        <v>1.1843096165809894</v>
      </c>
      <c r="BT31" s="1">
        <f>+H31/763.525</f>
        <v>4.7372384663239577</v>
      </c>
      <c r="BU31" s="1">
        <f>+H31/15270.5</f>
        <v>0.2368619233161979</v>
      </c>
      <c r="BV31" s="1">
        <f>+H31/1527.05</f>
        <v>2.3686192331619789</v>
      </c>
      <c r="BW31">
        <f t="shared" si="37"/>
        <v>2.6662440383608903</v>
      </c>
      <c r="BX31">
        <f t="shared" si="38"/>
        <v>2.1774334338673071</v>
      </c>
      <c r="BY31">
        <f t="shared" si="39"/>
        <v>4.3326393763490838</v>
      </c>
      <c r="BZ31">
        <f t="shared" si="40"/>
        <v>3.3328111898421593</v>
      </c>
      <c r="CA31">
        <f t="shared" si="41"/>
        <v>5.0887255957129209</v>
      </c>
      <c r="CB31">
        <f t="shared" si="42"/>
        <v>2.6662440383608903</v>
      </c>
      <c r="CC31">
        <f t="shared" si="43"/>
        <v>0.33328111898421586</v>
      </c>
      <c r="CD31">
        <f t="shared" si="44"/>
        <v>0.22218673022464386</v>
      </c>
      <c r="CF31">
        <f t="shared" si="45"/>
        <v>9.9983967182481113</v>
      </c>
      <c r="CG31">
        <f t="shared" si="46"/>
        <v>2.0663376065446402</v>
      </c>
      <c r="CH31">
        <f t="shared" si="47"/>
        <v>1.955240823828315</v>
      </c>
      <c r="CI31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9.7013007912115992</v>
      </c>
      <c r="CJ31" s="59">
        <f>+TablaGeneral[[#This Row],[Tracto elevador]]+TablaGeneral[[#This Row],[Tractor con uñas]]+TablaGeneral[[#This Row],[Tractor con acoplado]]</f>
        <v>8.2901673160669258</v>
      </c>
      <c r="CK31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6.4211985944649062</v>
      </c>
      <c r="CL31" s="60">
        <f>+SUM(BR31:BV31)+TablaGeneral[[#This Row],[Cosecha DOV]]+TablaGeneral[[#This Row],[Corte DOV]]</f>
        <v>9.7113388559641134</v>
      </c>
      <c r="CM31" s="60">
        <f>+SUM(TablaGeneral[[#This Row],[Colocación de malla]:[Descarga y carga de bines con Autoelevador]])</f>
        <v>34.839540670323181</v>
      </c>
      <c r="CN31" s="59"/>
      <c r="CO31" s="59"/>
      <c r="CP31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31" t="str">
        <f>+TablaGeneral[[#This Row],[Variedad]]&amp;" "&amp;TablaGeneral[[#This Row],[Año de plantación]]</f>
        <v xml:space="preserve">Fiesta </v>
      </c>
      <c r="CR31" t="str">
        <f>+IF(TablaGeneral[[#This Row],[Finca]]="El Espejo I","El Espejo I y II",IF(TablaGeneral[[#This Row],[Finca]]="El Espejo II","El Espejo I y II",TablaGeneral[[#This Row],[Finca]]))</f>
        <v>Camino Truncado</v>
      </c>
    </row>
    <row r="32" spans="1:96">
      <c r="A32" t="s">
        <v>8</v>
      </c>
      <c r="B32">
        <v>54</v>
      </c>
      <c r="C32" s="1">
        <v>1.08</v>
      </c>
      <c r="D32" t="s">
        <v>7</v>
      </c>
      <c r="E32" s="2">
        <v>35000</v>
      </c>
      <c r="F32" s="2">
        <f>+TablaGeneral[[#This Row],[Has]]*TablaGeneral[[#This Row],[Kg x Has]]</f>
        <v>37800</v>
      </c>
      <c r="G32" s="2">
        <f>+TablaGeneral[[#This Row],[Kg 2026]]/4</f>
        <v>9450</v>
      </c>
      <c r="H32">
        <v>1794</v>
      </c>
      <c r="J32" t="s">
        <v>23</v>
      </c>
      <c r="K32" s="5">
        <f>10000/IF(LEN(TablaGeneral[[#This Row],[Marco de plantación]])&gt;3,(MID(TablaGeneral[[#This Row],[Marco de plantación]],1,3)*MID(TablaGeneral[[#This Row],[Marco de plantación]],5,3)),(3*2))</f>
        <v>1666.6666666666667</v>
      </c>
      <c r="L32" s="7">
        <v>9</v>
      </c>
      <c r="M32" s="5">
        <f>+TablaGeneral[[#This Row],[Plantas x Has]]*TablaGeneral[[#This Row],[N° de Guías x planta]]</f>
        <v>15000</v>
      </c>
      <c r="N32" s="7">
        <v>7</v>
      </c>
      <c r="O32" s="7">
        <f>+TablaGeneral[[#This Row],[N° de Guías x planta]]*TablaGeneral[[#This Row],[N° de Yemas x Guias]]</f>
        <v>63</v>
      </c>
      <c r="P32" s="7">
        <v>0.8</v>
      </c>
      <c r="Q32" s="5">
        <f>+TablaGeneral[[#This Row],[N° de Yemas x Planta]]*TablaGeneral[[#This Row],[% de Brotación]]</f>
        <v>50.400000000000006</v>
      </c>
      <c r="R32" s="7">
        <v>0.8</v>
      </c>
      <c r="S32" s="7">
        <v>1.5</v>
      </c>
      <c r="T32" s="5">
        <f>+TablaGeneral[[#This Row],[N° de Brotes x Planta]]*TablaGeneral[[#This Row],[% de Fertilidad]]*TablaGeneral[[#This Row],[Cantidad de Racimos x Brote]]</f>
        <v>60.480000000000011</v>
      </c>
      <c r="U32" s="7">
        <v>0.34899999999999998</v>
      </c>
      <c r="V32" s="5">
        <f>+TablaGeneral[[#This Row],[Cantidad de Racimos x Planta]]*TablaGeneral[[#This Row],[Peso del Racimo]]</f>
        <v>21.107520000000001</v>
      </c>
      <c r="W32" s="5">
        <f>+TablaGeneral[[#This Row],[Plantas]]*TablaGeneral[[#This Row],[Kg x Planta]]</f>
        <v>37866.890879999999</v>
      </c>
      <c r="X32" s="5">
        <f>+TablaGeneral[[#This Row],[Kg x Cuartel]]/TablaGeneral[[#This Row],[Has]]</f>
        <v>35061.935999999994</v>
      </c>
      <c r="Y32" t="s">
        <v>42</v>
      </c>
      <c r="Z32" s="15">
        <v>150</v>
      </c>
      <c r="AA32" s="6">
        <f>+TablaGeneral[[#This Row],[Rendimiento Poda]]*1.5</f>
        <v>225</v>
      </c>
      <c r="AB32" s="6">
        <v>500</v>
      </c>
      <c r="AC32" s="6">
        <v>600</v>
      </c>
      <c r="AD32" s="6"/>
      <c r="AE32" s="6">
        <v>700</v>
      </c>
      <c r="AF32" s="6"/>
      <c r="AG32" s="9">
        <f>+IFERROR(TablaGeneral[[#This Row],[Plantas]]/TablaGeneral[[#This Row],[Rendimiento Poda]],0)</f>
        <v>11.96</v>
      </c>
      <c r="AH32" s="9">
        <f>+TablaGeneral[[#This Row],[Plantas]]/TablaGeneral[[#This Row],[Rendimiento Atada]]</f>
        <v>7.9733333333333336</v>
      </c>
      <c r="AI32" s="9">
        <f>+IFERROR(TablaGeneral[[#This Row],[Plantas]]/TablaGeneral[[#This Row],[Rendimiento Desbrote de troncos]],0)</f>
        <v>3.5880000000000001</v>
      </c>
      <c r="AJ32" s="9">
        <f>+IFERROR(TablaGeneral[[#This Row],[Plantas]]/TablaGeneral[[#This Row],[Rendimiento Acomodo de brotes ]],0)</f>
        <v>2.99</v>
      </c>
      <c r="AK32" s="9">
        <f>+IFERROR(TablaGeneral[[#This Row],[Plantas]]/TablaGeneral[[#This Row],[Rendimiento Desniete, deshoje ]],0)</f>
        <v>0</v>
      </c>
      <c r="AL32" s="9">
        <f>+IFERROR(TablaGeneral[[#This Row],[Plantas]]/TablaGeneral[[#This Row],[Rendimiento Desbrote con criterio de Poda]],0)</f>
        <v>2.5628571428571427</v>
      </c>
      <c r="AM32" s="9">
        <f>+IFERROR(TablaGeneral[[#This Row],[Plantas]]/TablaGeneral[[#This Row],[Rendimiento Raleo de Racimos]],0)</f>
        <v>0</v>
      </c>
      <c r="AN32" s="10">
        <f>+TablaGeneral[[#This Row],[Plantas]]/4150</f>
        <v>0.43228915662650602</v>
      </c>
      <c r="AO32" s="10">
        <f>+TablaGeneral[[#This Row],[Plantas]]/6196.57</f>
        <v>0.28951500588228651</v>
      </c>
      <c r="AP32" s="10">
        <f>+TablaGeneral[[#This Row],[Plantas]]/8269.65</f>
        <v>0.21693783896537339</v>
      </c>
      <c r="AQ32" s="14">
        <f>+TablaGeneral[[#This Row],[Plantas]]/2069.3</f>
        <v>0.86695984149229199</v>
      </c>
      <c r="AR32" s="14">
        <f>+TablaGeneral[[#This Row],[Plantas]]/2056.14</f>
        <v>0.87250868131547465</v>
      </c>
      <c r="AS32" s="10">
        <f>+TablaGeneral[[#This Row],[Plantas]]/1721.27</f>
        <v>1.0422536847792618</v>
      </c>
      <c r="AT32" s="13">
        <f>+TablaGeneral[[#This Row],[Plantas]]/216.3</f>
        <v>8.2940360610263522</v>
      </c>
      <c r="AU32" s="13">
        <f>+TablaGeneral[[#This Row],[Plantas]]/2941.65</f>
        <v>0.609861812248228</v>
      </c>
      <c r="AV32" s="13">
        <f>+TablaGeneral[[#This Row],[Plantas]]/980.55</f>
        <v>1.8295854367446842</v>
      </c>
      <c r="AW32" s="13">
        <f>+TablaGeneral[[#This Row],[Plantas]]/9805</f>
        <v>0.18296787353391128</v>
      </c>
      <c r="AX32" s="13">
        <f>+TablaGeneral[[#This Row],[Plantas]]/460</f>
        <v>3.9</v>
      </c>
      <c r="AY32" s="13">
        <f>+TablaGeneral[[#This Row],[Plantas]]/1176.66</f>
        <v>1.5246545306205699</v>
      </c>
      <c r="AZ32" s="13"/>
      <c r="BA32" s="13"/>
      <c r="BB32" s="13">
        <f>+TablaGeneral[[#This Row],[Plantas]]/11766.6</f>
        <v>0.152465453062057</v>
      </c>
      <c r="BC32" s="13">
        <f>+TablaGeneral[[#This Row],[Plantas]]/1897.32</f>
        <v>0.94554424135095827</v>
      </c>
      <c r="BD32" s="13">
        <f>+TablaGeneral[[#This Row],[Plantas]]/3565.64</f>
        <v>0.5031354819892081</v>
      </c>
      <c r="BE32" s="13">
        <f>+TablaGeneral[[#This Row],[Plantas]]/1176.7</f>
        <v>1.5246027024730178</v>
      </c>
      <c r="BF32" s="13">
        <f>+TablaGeneral[[#This Row],[Plantas]]/1568.88</f>
        <v>1.1434908979654275</v>
      </c>
      <c r="BG32" s="13">
        <f>+TablaGeneral[[#This Row],[Plantas]]/2941.65</f>
        <v>0.609861812248228</v>
      </c>
      <c r="BH32" s="13">
        <f>+TablaGeneral[[#This Row],[Plantas]]/1961.1</f>
        <v>0.91479271837234211</v>
      </c>
      <c r="BI32" s="13">
        <f>+TablaGeneral[[#This Row],[Plantas]]/2353.32</f>
        <v>0.76232726531028494</v>
      </c>
      <c r="BJ32" s="13">
        <f>+TablaGeneral[[#This Row],[Plantas]]/1961.1</f>
        <v>0.91479271837234211</v>
      </c>
      <c r="BK32" s="13">
        <f>+TablaGeneral[[#This Row],[Plantas]]/3268</f>
        <v>0.5489596083231334</v>
      </c>
      <c r="BL32" s="13">
        <f>+TablaGeneral[[#This Row],[Plantas]]/525.295</f>
        <v>3.4152238266117139</v>
      </c>
      <c r="BM32" s="13">
        <f>+TablaGeneral[[#This Row],[Plantas]]/653.7</f>
        <v>2.7443781551170261</v>
      </c>
      <c r="BN32" s="17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133.72442593255965</v>
      </c>
      <c r="BO32" s="17">
        <f>+TablaGeneral[[#This Row],[Combustible]]/100</f>
        <v>1.3372442593255967</v>
      </c>
      <c r="BP32" s="17">
        <f>+TablaGeneral[[#This Row],[Combustible]]/150</f>
        <v>0.89149617288373106</v>
      </c>
      <c r="BQ32" s="17">
        <f>+TablaGeneral[[#This Row],[Combustible]]/200</f>
        <v>0.66862212966279833</v>
      </c>
      <c r="BR32" s="1">
        <f>+H32/2261.75</f>
        <v>0.79319111307615786</v>
      </c>
      <c r="BS32" s="1">
        <f>+H32/2261.75</f>
        <v>0.79319111307615786</v>
      </c>
      <c r="BT32" s="1">
        <f>+H32/565.438</f>
        <v>3.172761646723425</v>
      </c>
      <c r="BU32" s="1">
        <f>+H32/5654.38</f>
        <v>0.31727616467234249</v>
      </c>
      <c r="BV32" s="1">
        <f>+H32/1130.88</f>
        <v>1.5863752122241086</v>
      </c>
      <c r="BW32">
        <f t="shared" si="37"/>
        <v>1.3224334544704002</v>
      </c>
      <c r="BX32">
        <f t="shared" si="38"/>
        <v>1.079987719203193</v>
      </c>
      <c r="BY32">
        <f t="shared" si="39"/>
        <v>2.1489507993282433</v>
      </c>
      <c r="BZ32">
        <f t="shared" si="40"/>
        <v>1.6530448644116211</v>
      </c>
      <c r="CA32">
        <f t="shared" si="41"/>
        <v>2.5239628749540999</v>
      </c>
      <c r="CB32">
        <f t="shared" si="42"/>
        <v>1.3224334544704002</v>
      </c>
      <c r="CC32">
        <f t="shared" si="43"/>
        <v>0.16530448644116211</v>
      </c>
      <c r="CD32">
        <f t="shared" si="44"/>
        <v>0.11020265248078824</v>
      </c>
      <c r="CF32">
        <f t="shared" si="45"/>
        <v>4.9591163153268205</v>
      </c>
      <c r="CG32">
        <f t="shared" si="46"/>
        <v>1.0248851717282512</v>
      </c>
      <c r="CH32">
        <f t="shared" si="47"/>
        <v>0.96978215038650728</v>
      </c>
      <c r="CI32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4.6352569274335362</v>
      </c>
      <c r="CJ32" s="59">
        <f>+TablaGeneral[[#This Row],[Tracto elevador]]+TablaGeneral[[#This Row],[Tractor con uñas]]+TablaGeneral[[#This Row],[Tractor con acoplado]]</f>
        <v>5.5523279720236918</v>
      </c>
      <c r="CK32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3.1848576937987394</v>
      </c>
      <c r="CL32" s="60">
        <f>+SUM(BR32:BV32)+TablaGeneral[[#This Row],[Cosecha DOV]]+TablaGeneral[[#This Row],[Corte DOV]]</f>
        <v>6.6627952497721914</v>
      </c>
      <c r="CM32" s="60">
        <f>+SUM(TablaGeneral[[#This Row],[Colocación de malla]:[Descarga y carga de bines con Autoelevador]])</f>
        <v>17.280103943201489</v>
      </c>
      <c r="CN32" s="59"/>
      <c r="CO32" s="59"/>
      <c r="CP32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32" t="str">
        <f>+TablaGeneral[[#This Row],[Variedad]]&amp;" "&amp;TablaGeneral[[#This Row],[Año de plantación]]</f>
        <v xml:space="preserve">Arizul </v>
      </c>
      <c r="CR32" t="str">
        <f>+IF(TablaGeneral[[#This Row],[Finca]]="El Espejo I","El Espejo I y II",IF(TablaGeneral[[#This Row],[Finca]]="El Espejo II","El Espejo I y II",TablaGeneral[[#This Row],[Finca]]))</f>
        <v>Camino Truncado</v>
      </c>
    </row>
    <row r="33" spans="1:96">
      <c r="A33" t="s">
        <v>8</v>
      </c>
      <c r="B33">
        <v>55</v>
      </c>
      <c r="C33" s="1">
        <v>2.15</v>
      </c>
      <c r="D33" t="s">
        <v>10</v>
      </c>
      <c r="E33" s="2">
        <v>45000</v>
      </c>
      <c r="F33" s="2">
        <f>+TablaGeneral[[#This Row],[Has]]*TablaGeneral[[#This Row],[Kg x Has]]</f>
        <v>96750</v>
      </c>
      <c r="G33" s="2">
        <f>+TablaGeneral[[#This Row],[Kg 2026]]/4</f>
        <v>24187.5</v>
      </c>
      <c r="H33">
        <v>3577</v>
      </c>
      <c r="J33" t="s">
        <v>23</v>
      </c>
      <c r="K33" s="5">
        <f>10000/IF(LEN(TablaGeneral[[#This Row],[Marco de plantación]])&gt;3,(MID(TablaGeneral[[#This Row],[Marco de plantación]],1,3)*MID(TablaGeneral[[#This Row],[Marco de plantación]],5,3)),(3*2))</f>
        <v>1666.6666666666667</v>
      </c>
      <c r="L33" s="7">
        <v>9</v>
      </c>
      <c r="M33" s="5">
        <f>+TablaGeneral[[#This Row],[Plantas x Has]]*TablaGeneral[[#This Row],[N° de Guías x planta]]</f>
        <v>15000</v>
      </c>
      <c r="N33" s="7">
        <v>8</v>
      </c>
      <c r="O33" s="7">
        <f>+TablaGeneral[[#This Row],[N° de Guías x planta]]*TablaGeneral[[#This Row],[N° de Yemas x Guias]]</f>
        <v>72</v>
      </c>
      <c r="P33" s="7">
        <v>0.8</v>
      </c>
      <c r="Q33" s="5">
        <f>+TablaGeneral[[#This Row],[N° de Yemas x Planta]]*TablaGeneral[[#This Row],[% de Brotación]]</f>
        <v>57.6</v>
      </c>
      <c r="R33" s="7">
        <v>0.79</v>
      </c>
      <c r="S33" s="7">
        <v>1.5</v>
      </c>
      <c r="T33" s="5">
        <f>+TablaGeneral[[#This Row],[N° de Brotes x Planta]]*TablaGeneral[[#This Row],[% de Fertilidad]]*TablaGeneral[[#This Row],[Cantidad de Racimos x Brote]]</f>
        <v>68.256</v>
      </c>
      <c r="U33" s="7">
        <v>0.39700000000000002</v>
      </c>
      <c r="V33" s="5">
        <f>+TablaGeneral[[#This Row],[Cantidad de Racimos x Planta]]*TablaGeneral[[#This Row],[Peso del Racimo]]</f>
        <v>27.097632000000001</v>
      </c>
      <c r="W33" s="5">
        <f>+TablaGeneral[[#This Row],[Plantas]]*TablaGeneral[[#This Row],[Kg x Planta]]</f>
        <v>96928.229663999999</v>
      </c>
      <c r="X33" s="5">
        <f>+TablaGeneral[[#This Row],[Kg x Cuartel]]/TablaGeneral[[#This Row],[Has]]</f>
        <v>45082.897518139536</v>
      </c>
      <c r="Y33" t="s">
        <v>42</v>
      </c>
      <c r="Z33" s="15">
        <v>110</v>
      </c>
      <c r="AA33" s="6">
        <f>+TablaGeneral[[#This Row],[Rendimiento Poda]]*1.5</f>
        <v>165</v>
      </c>
      <c r="AB33" s="6">
        <v>500</v>
      </c>
      <c r="AC33" s="6">
        <v>600</v>
      </c>
      <c r="AD33" s="6"/>
      <c r="AE33" s="6">
        <v>700</v>
      </c>
      <c r="AF33" s="6">
        <v>500</v>
      </c>
      <c r="AG33" s="9">
        <f>+IFERROR(TablaGeneral[[#This Row],[Plantas]]/TablaGeneral[[#This Row],[Rendimiento Poda]],0)</f>
        <v>32.518181818181816</v>
      </c>
      <c r="AH33" s="9">
        <f>+TablaGeneral[[#This Row],[Plantas]]/TablaGeneral[[#This Row],[Rendimiento Atada]]</f>
        <v>21.67878787878788</v>
      </c>
      <c r="AI33" s="9">
        <f>+IFERROR(TablaGeneral[[#This Row],[Plantas]]/TablaGeneral[[#This Row],[Rendimiento Desbrote de troncos]],0)</f>
        <v>7.1539999999999999</v>
      </c>
      <c r="AJ33" s="9">
        <f>+IFERROR(TablaGeneral[[#This Row],[Plantas]]/TablaGeneral[[#This Row],[Rendimiento Acomodo de brotes ]],0)</f>
        <v>5.9616666666666669</v>
      </c>
      <c r="AK33" s="9">
        <f>+IFERROR(TablaGeneral[[#This Row],[Plantas]]/TablaGeneral[[#This Row],[Rendimiento Desniete, deshoje ]],0)</f>
        <v>0</v>
      </c>
      <c r="AL33" s="9">
        <f>+IFERROR(TablaGeneral[[#This Row],[Plantas]]/TablaGeneral[[#This Row],[Rendimiento Desbrote con criterio de Poda]],0)</f>
        <v>5.1100000000000003</v>
      </c>
      <c r="AM33" s="9">
        <f>+IFERROR(TablaGeneral[[#This Row],[Plantas]]/TablaGeneral[[#This Row],[Rendimiento Raleo de Racimos]],0)</f>
        <v>7.1539999999999999</v>
      </c>
      <c r="AN33" s="10">
        <f>+TablaGeneral[[#This Row],[Plantas]]/3347.215</f>
        <v>1.0686496087045498</v>
      </c>
      <c r="AO33" s="10">
        <f>+TablaGeneral[[#This Row],[Plantas]]/4989.25</f>
        <v>0.71694142406173278</v>
      </c>
      <c r="AP33" s="10">
        <f>+TablaGeneral[[#This Row],[Plantas]]/6677.52</f>
        <v>0.53567791635217865</v>
      </c>
      <c r="AQ33" s="13">
        <f>+TablaGeneral[[#This Row],[Plantas]]/5008.14</f>
        <v>0.71423722180290483</v>
      </c>
      <c r="AR33" s="13">
        <f>+TablaGeneral[[#This Row],[Plantas]]/1652.69</f>
        <v>2.1643502411220497</v>
      </c>
      <c r="AS33" s="10">
        <f>+TablaGeneral[[#This Row],[Plantas]]/1391.73</f>
        <v>2.57018243481135</v>
      </c>
      <c r="AT33" s="13">
        <f>+TablaGeneral[[#This Row],[Plantas]]/216.3</f>
        <v>16.537216828478964</v>
      </c>
      <c r="AU33" s="13">
        <f>+TablaGeneral[[#This Row],[Plantas]]/2941.65</f>
        <v>1.2159842265395271</v>
      </c>
      <c r="AV33" s="13">
        <f>+TablaGeneral[[#This Row],[Plantas]]/980.55</f>
        <v>3.6479526796185815</v>
      </c>
      <c r="AW33" s="13">
        <f>+TablaGeneral[[#This Row],[Plantas]]/9805</f>
        <v>0.36481387047424785</v>
      </c>
      <c r="AX33" s="13">
        <f>+TablaGeneral[[#This Row],[Plantas]]/460</f>
        <v>7.7760869565217394</v>
      </c>
      <c r="AY33" s="13">
        <f>+TablaGeneral[[#This Row],[Plantas]]/1176.66</f>
        <v>3.0399605663488178</v>
      </c>
      <c r="AZ33" s="13"/>
      <c r="BA33" s="13"/>
      <c r="BB33" s="13">
        <f>+TablaGeneral[[#This Row],[Plantas]]/11766.6</f>
        <v>0.30399605663488177</v>
      </c>
      <c r="BC33" s="13">
        <f>+TablaGeneral[[#This Row],[Plantas]]/1897.32</f>
        <v>1.8852908312778025</v>
      </c>
      <c r="BD33" s="13">
        <f>+TablaGeneral[[#This Row],[Plantas]]/3565.64</f>
        <v>1.0031859638101435</v>
      </c>
      <c r="BE33" s="13">
        <f>+TablaGeneral[[#This Row],[Plantas]]/1176.7</f>
        <v>3.0398572278405709</v>
      </c>
      <c r="BF33" s="13">
        <f>+TablaGeneral[[#This Row],[Plantas]]/1568.88</f>
        <v>2.279970424761613</v>
      </c>
      <c r="BG33" s="13">
        <f>+TablaGeneral[[#This Row],[Plantas]]/2941.65</f>
        <v>1.2159842265395271</v>
      </c>
      <c r="BH33" s="13">
        <f>+TablaGeneral[[#This Row],[Plantas]]/1961.1</f>
        <v>1.8239763398092907</v>
      </c>
      <c r="BI33" s="13">
        <f>+TablaGeneral[[#This Row],[Plantas]]/2353.32</f>
        <v>1.5199802831744089</v>
      </c>
      <c r="BJ33" s="13">
        <f>+TablaGeneral[[#This Row],[Plantas]]/1961.1</f>
        <v>1.8239763398092907</v>
      </c>
      <c r="BK33" s="13">
        <f>+TablaGeneral[[#This Row],[Plantas]]/3268</f>
        <v>1.0945532435740515</v>
      </c>
      <c r="BL33" s="13">
        <f>+TablaGeneral[[#This Row],[Plantas]]/525.295</f>
        <v>6.809507038901951</v>
      </c>
      <c r="BM33" s="13">
        <f>+TablaGeneral[[#This Row],[Plantas]]/653.7</f>
        <v>5.471929019427872</v>
      </c>
      <c r="BN33" s="17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241.42689740706737</v>
      </c>
      <c r="BO33" s="17">
        <f>+TablaGeneral[[#This Row],[Combustible]]/100</f>
        <v>2.4142689740706738</v>
      </c>
      <c r="BP33" s="17">
        <f>+TablaGeneral[[#This Row],[Combustible]]/150</f>
        <v>1.6095126493804492</v>
      </c>
      <c r="BQ33" s="17">
        <f>+TablaGeneral[[#This Row],[Combustible]]/200</f>
        <v>1.2071344870353369</v>
      </c>
      <c r="BR33" s="1">
        <f>+H33/3054.1</f>
        <v>1.1712124684849874</v>
      </c>
      <c r="BS33" s="1">
        <f>+H33/3054.1</f>
        <v>1.1712124684849874</v>
      </c>
      <c r="BT33" s="1">
        <f>+H33/763.525</f>
        <v>4.6848498739399496</v>
      </c>
      <c r="BU33" s="1">
        <f>+H33/15270.5</f>
        <v>0.23424249369699748</v>
      </c>
      <c r="BV33" s="1">
        <f>+H33/1527.05</f>
        <v>2.3424249369699748</v>
      </c>
      <c r="BW33">
        <f t="shared" si="37"/>
        <v>2.636758342609042</v>
      </c>
      <c r="BX33">
        <f t="shared" si="38"/>
        <v>2.1533534401281056</v>
      </c>
      <c r="BY33">
        <f t="shared" si="39"/>
        <v>4.2847252002213629</v>
      </c>
      <c r="BZ33">
        <f t="shared" si="40"/>
        <v>3.2959540022298599</v>
      </c>
      <c r="CA33">
        <f t="shared" si="41"/>
        <v>5.0324499463270991</v>
      </c>
      <c r="CB33">
        <f t="shared" si="42"/>
        <v>2.636758342609042</v>
      </c>
      <c r="CC33">
        <f t="shared" si="43"/>
        <v>0.32959540022298595</v>
      </c>
      <c r="CD33">
        <f t="shared" si="44"/>
        <v>0.21972959193075783</v>
      </c>
      <c r="CF33">
        <f t="shared" si="45"/>
        <v>9.8878255629453946</v>
      </c>
      <c r="CG33">
        <f t="shared" si="46"/>
        <v>2.0434862091816912</v>
      </c>
      <c r="CH33">
        <f t="shared" si="47"/>
        <v>1.9336180334072111</v>
      </c>
      <c r="CI33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9.5940151866640555</v>
      </c>
      <c r="CJ33" s="59">
        <f>+TablaGeneral[[#This Row],[Tracto elevador]]+TablaGeneral[[#This Row],[Tractor con uñas]]+TablaGeneral[[#This Row],[Tractor con acoplado]]</f>
        <v>8.1984872793949108</v>
      </c>
      <c r="CK33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6.3501872746477659</v>
      </c>
      <c r="CL33" s="60">
        <f>+SUM(BR33:BV33)+TablaGeneral[[#This Row],[Cosecha DOV]]+TablaGeneral[[#This Row],[Corte DOV]]</f>
        <v>9.6039422415768954</v>
      </c>
      <c r="CM33" s="60">
        <f>+SUM(TablaGeneral[[#This Row],[Colocación de malla]:[Descarga y carga de bines con Autoelevador]])</f>
        <v>34.454254071812557</v>
      </c>
      <c r="CN33" s="59"/>
      <c r="CO33" s="59"/>
      <c r="CP33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33" t="str">
        <f>+TablaGeneral[[#This Row],[Variedad]]&amp;" "&amp;TablaGeneral[[#This Row],[Año de plantación]]</f>
        <v xml:space="preserve">Fiesta </v>
      </c>
      <c r="CR33" t="str">
        <f>+IF(TablaGeneral[[#This Row],[Finca]]="El Espejo I","El Espejo I y II",IF(TablaGeneral[[#This Row],[Finca]]="El Espejo II","El Espejo I y II",TablaGeneral[[#This Row],[Finca]]))</f>
        <v>Camino Truncado</v>
      </c>
    </row>
    <row r="34" spans="1:96">
      <c r="A34" t="s">
        <v>8</v>
      </c>
      <c r="B34">
        <v>56</v>
      </c>
      <c r="C34" s="1">
        <v>1.81</v>
      </c>
      <c r="D34" t="s">
        <v>6</v>
      </c>
      <c r="E34" s="2">
        <v>30000</v>
      </c>
      <c r="F34" s="2">
        <f>+TablaGeneral[[#This Row],[Has]]*TablaGeneral[[#This Row],[Kg x Has]]</f>
        <v>54300</v>
      </c>
      <c r="G34" s="2">
        <f>+TablaGeneral[[#This Row],[Kg 2026]]/4</f>
        <v>13575</v>
      </c>
      <c r="H34" s="2">
        <v>3009</v>
      </c>
      <c r="I34" s="2"/>
      <c r="J34" t="s">
        <v>23</v>
      </c>
      <c r="K34" s="5">
        <f>10000/IF(LEN(TablaGeneral[[#This Row],[Marco de plantación]])&gt;3,(MID(TablaGeneral[[#This Row],[Marco de plantación]],1,3)*MID(TablaGeneral[[#This Row],[Marco de plantación]],5,3)),(3*2))</f>
        <v>1666.6666666666667</v>
      </c>
      <c r="L34" s="7">
        <v>8</v>
      </c>
      <c r="M34" s="5">
        <f>+TablaGeneral[[#This Row],[Plantas x Has]]*TablaGeneral[[#This Row],[N° de Guías x planta]]</f>
        <v>13333.333333333334</v>
      </c>
      <c r="N34" s="7">
        <v>7</v>
      </c>
      <c r="O34" s="7">
        <f>+TablaGeneral[[#This Row],[N° de Guías x planta]]*TablaGeneral[[#This Row],[N° de Yemas x Guias]]</f>
        <v>56</v>
      </c>
      <c r="P34" s="7">
        <v>0.65</v>
      </c>
      <c r="Q34" s="5">
        <f>+TablaGeneral[[#This Row],[N° de Yemas x Planta]]*TablaGeneral[[#This Row],[% de Brotación]]</f>
        <v>36.4</v>
      </c>
      <c r="R34" s="7">
        <v>0.85</v>
      </c>
      <c r="S34" s="7">
        <v>1.5</v>
      </c>
      <c r="T34" s="5">
        <f>+TablaGeneral[[#This Row],[N° de Brotes x Planta]]*TablaGeneral[[#This Row],[% de Fertilidad]]*TablaGeneral[[#This Row],[Cantidad de Racimos x Brote]]</f>
        <v>46.41</v>
      </c>
      <c r="U34" s="7">
        <v>0.39</v>
      </c>
      <c r="V34" s="5">
        <f>+TablaGeneral[[#This Row],[Cantidad de Racimos x Planta]]*TablaGeneral[[#This Row],[Peso del Racimo]]</f>
        <v>18.099899999999998</v>
      </c>
      <c r="W34" s="5">
        <f>+TablaGeneral[[#This Row],[Plantas]]*TablaGeneral[[#This Row],[Kg x Planta]]</f>
        <v>54462.599099999992</v>
      </c>
      <c r="X34" s="5">
        <f>+TablaGeneral[[#This Row],[Kg x Cuartel]]/TablaGeneral[[#This Row],[Has]]</f>
        <v>30089.833756906071</v>
      </c>
      <c r="Y34" t="s">
        <v>42</v>
      </c>
      <c r="Z34" s="15">
        <v>150</v>
      </c>
      <c r="AA34" s="6">
        <f>+TablaGeneral[[#This Row],[Rendimiento Poda]]*1.5</f>
        <v>225</v>
      </c>
      <c r="AB34" s="6">
        <v>500</v>
      </c>
      <c r="AC34" s="6"/>
      <c r="AD34" s="6"/>
      <c r="AE34" s="6">
        <v>700</v>
      </c>
      <c r="AF34" s="6">
        <v>500</v>
      </c>
      <c r="AG34" s="9">
        <f>+IFERROR(TablaGeneral[[#This Row],[Plantas]]/TablaGeneral[[#This Row],[Rendimiento Poda]],0)</f>
        <v>20.059999999999999</v>
      </c>
      <c r="AH34" s="9">
        <f>+TablaGeneral[[#This Row],[Plantas]]/TablaGeneral[[#This Row],[Rendimiento Atada]]</f>
        <v>13.373333333333333</v>
      </c>
      <c r="AI34" s="9">
        <f>+IFERROR(TablaGeneral[[#This Row],[Plantas]]/TablaGeneral[[#This Row],[Rendimiento Desbrote de troncos]],0)</f>
        <v>6.0179999999999998</v>
      </c>
      <c r="AJ34" s="9">
        <f>+IFERROR(TablaGeneral[[#This Row],[Plantas]]/TablaGeneral[[#This Row],[Rendimiento Acomodo de brotes ]],0)</f>
        <v>0</v>
      </c>
      <c r="AK34" s="9">
        <f>+IFERROR(TablaGeneral[[#This Row],[Plantas]]/TablaGeneral[[#This Row],[Rendimiento Desniete, deshoje ]],0)</f>
        <v>0</v>
      </c>
      <c r="AL34" s="9">
        <f>+IFERROR(TablaGeneral[[#This Row],[Plantas]]/TablaGeneral[[#This Row],[Rendimiento Desbrote con criterio de Poda]],0)</f>
        <v>4.2985714285714289</v>
      </c>
      <c r="AM34" s="9">
        <f>+IFERROR(TablaGeneral[[#This Row],[Plantas]]/TablaGeneral[[#This Row],[Rendimiento Raleo de Racimos]],0)</f>
        <v>6.0179999999999998</v>
      </c>
      <c r="AN34" s="10">
        <f>+TablaGeneral[[#This Row],[Plantas]]/3366.9</f>
        <v>0.8937004366034037</v>
      </c>
      <c r="AO34" s="10">
        <f>+TablaGeneral[[#This Row],[Plantas]]/5179.85</f>
        <v>0.58090485245711743</v>
      </c>
      <c r="AP34" s="10">
        <f>+TablaGeneral[[#This Row],[Plantas]]/6899.38</f>
        <v>0.43612614466807159</v>
      </c>
      <c r="AQ34" s="13">
        <f>+TablaGeneral[[#This Row],[Plantas]]/2591.91</f>
        <v>1.160919939349746</v>
      </c>
      <c r="AR34" s="13">
        <f>+TablaGeneral[[#This Row],[Plantas]]/1683.45</f>
        <v>1.7874008732068074</v>
      </c>
      <c r="AS34" s="10">
        <f>+TablaGeneral[[#This Row],[Plantas]]/1232.39</f>
        <v>2.4415972216587281</v>
      </c>
      <c r="AT34" s="13">
        <f>+TablaGeneral[[#This Row],[Plantas]]/216.3</f>
        <v>13.91123439667129</v>
      </c>
      <c r="AU34" s="13">
        <f>+TablaGeneral[[#This Row],[Plantas]]/2941.65</f>
        <v>1.0228953138544694</v>
      </c>
      <c r="AV34" s="13">
        <f>+TablaGeneral[[#This Row],[Plantas]]/980.55</f>
        <v>3.0686859415634085</v>
      </c>
      <c r="AW34" s="13">
        <f>+TablaGeneral[[#This Row],[Plantas]]/9805</f>
        <v>0.30688424273329934</v>
      </c>
      <c r="AX34" s="13">
        <f>+TablaGeneral[[#This Row],[Plantas]]/460</f>
        <v>6.5413043478260873</v>
      </c>
      <c r="AY34" s="13">
        <f>+TablaGeneral[[#This Row],[Plantas]]/1176.66</f>
        <v>2.5572382846361732</v>
      </c>
      <c r="AZ34" s="13"/>
      <c r="BA34" s="13"/>
      <c r="BB34" s="13">
        <f>+TablaGeneral[[#This Row],[Plantas]]/11766.6</f>
        <v>0.25572382846361735</v>
      </c>
      <c r="BC34" s="13">
        <f>+TablaGeneral[[#This Row],[Plantas]]/1897.32</f>
        <v>1.5859211941053697</v>
      </c>
      <c r="BD34" s="13">
        <f>+TablaGeneral[[#This Row],[Plantas]]/3565.64</f>
        <v>0.84388777330296949</v>
      </c>
      <c r="BE34" s="13">
        <f>+TablaGeneral[[#This Row],[Plantas]]/1176.7</f>
        <v>2.5571513554856802</v>
      </c>
      <c r="BF34" s="13">
        <f>+TablaGeneral[[#This Row],[Plantas]]/1568.88</f>
        <v>1.9179287134771301</v>
      </c>
      <c r="BG34" s="13">
        <f>+TablaGeneral[[#This Row],[Plantas]]/2941.65</f>
        <v>1.0228953138544694</v>
      </c>
      <c r="BH34" s="13">
        <f>+TablaGeneral[[#This Row],[Plantas]]/1961.1</f>
        <v>1.5343429707817042</v>
      </c>
      <c r="BI34" s="13">
        <f>+TablaGeneral[[#This Row],[Plantas]]/2353.32</f>
        <v>1.2786191423180866</v>
      </c>
      <c r="BJ34" s="13">
        <f>+TablaGeneral[[#This Row],[Plantas]]/1961.1</f>
        <v>1.5343429707817042</v>
      </c>
      <c r="BK34" s="13">
        <f>+TablaGeneral[[#This Row],[Plantas]]/3268</f>
        <v>0.9207466340269278</v>
      </c>
      <c r="BL34" s="13">
        <f>+TablaGeneral[[#This Row],[Plantas]]/525.295</f>
        <v>5.7282098630293454</v>
      </c>
      <c r="BM34" s="13">
        <f>+TablaGeneral[[#This Row],[Plantas]]/653.7</f>
        <v>4.6030289123451125</v>
      </c>
      <c r="BN34" s="17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242.33157000138971</v>
      </c>
      <c r="BO34" s="17">
        <f>+TablaGeneral[[#This Row],[Combustible]]/100</f>
        <v>2.4233157000138972</v>
      </c>
      <c r="BP34" s="17">
        <f>+TablaGeneral[[#This Row],[Combustible]]/150</f>
        <v>1.6155438000092648</v>
      </c>
      <c r="BQ34" s="17">
        <f>+TablaGeneral[[#This Row],[Combustible]]/200</f>
        <v>1.2116578500069486</v>
      </c>
      <c r="BR34" s="1">
        <f>+H34/2094.5</f>
        <v>1.4366197183098592</v>
      </c>
      <c r="BS34" s="1">
        <f>+H34/2094.5</f>
        <v>1.4366197183098592</v>
      </c>
      <c r="BT34" s="1">
        <f>+H34/523.625</f>
        <v>5.746478873239437</v>
      </c>
      <c r="BU34" s="1">
        <f>+H34/5236.25</f>
        <v>0.57464788732394367</v>
      </c>
      <c r="BV34" s="1">
        <f>+H34/1047.25</f>
        <v>2.8732394366197185</v>
      </c>
      <c r="BW34">
        <f t="shared" si="37"/>
        <v>2.2180614629327948</v>
      </c>
      <c r="BX34">
        <f t="shared" si="38"/>
        <v>1.8114175290314423</v>
      </c>
      <c r="BY34">
        <f t="shared" si="39"/>
        <v>3.604343899207739</v>
      </c>
      <c r="BZ34">
        <f t="shared" si="40"/>
        <v>2.7725819381352106</v>
      </c>
      <c r="CA34">
        <f t="shared" si="41"/>
        <v>4.2333357250484323</v>
      </c>
      <c r="CB34">
        <f t="shared" si="42"/>
        <v>2.2180614629327948</v>
      </c>
      <c r="CC34">
        <f t="shared" si="43"/>
        <v>0.27725819381352101</v>
      </c>
      <c r="CD34">
        <f t="shared" si="44"/>
        <v>0.18483822815757628</v>
      </c>
      <c r="CF34">
        <f t="shared" si="45"/>
        <v>8.3177151576468251</v>
      </c>
      <c r="CG34">
        <f t="shared" si="46"/>
        <v>1.7189963666278192</v>
      </c>
      <c r="CH34">
        <f t="shared" si="47"/>
        <v>1.6265744094275365</v>
      </c>
      <c r="CI34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8.8349924387255783</v>
      </c>
      <c r="CJ34" s="59">
        <f>+TablaGeneral[[#This Row],[Tracto elevador]]+TablaGeneral[[#This Row],[Tractor con uñas]]+TablaGeneral[[#This Row],[Tractor con acoplado]]</f>
        <v>10.056338028169014</v>
      </c>
      <c r="CK34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5.3418265332443742</v>
      </c>
      <c r="CL34" s="60">
        <f>+SUM(BR34:BV34)+TablaGeneral[[#This Row],[Cosecha DOV]]+TablaGeneral[[#This Row],[Corte DOV]]</f>
        <v>12.067605633802817</v>
      </c>
      <c r="CM34" s="60">
        <f>+SUM(TablaGeneral[[#This Row],[Colocación de malla]:[Descarga y carga de bines con Autoelevador]])</f>
        <v>28.983184372961691</v>
      </c>
      <c r="CN34" s="59"/>
      <c r="CO34" s="59"/>
      <c r="CP34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34" t="str">
        <f>+TablaGeneral[[#This Row],[Variedad]]&amp;" "&amp;TablaGeneral[[#This Row],[Año de plantación]]</f>
        <v xml:space="preserve">Flame </v>
      </c>
      <c r="CR34" t="str">
        <f>+IF(TablaGeneral[[#This Row],[Finca]]="El Espejo I","El Espejo I y II",IF(TablaGeneral[[#This Row],[Finca]]="El Espejo II","El Espejo I y II",TablaGeneral[[#This Row],[Finca]]))</f>
        <v>Camino Truncado</v>
      </c>
    </row>
    <row r="35" spans="1:96">
      <c r="A35" t="s">
        <v>8</v>
      </c>
      <c r="B35">
        <v>57</v>
      </c>
      <c r="C35" s="1">
        <v>0.83</v>
      </c>
      <c r="D35" t="s">
        <v>6</v>
      </c>
      <c r="E35" s="2">
        <v>8000</v>
      </c>
      <c r="F35" s="2">
        <f>+TablaGeneral[[#This Row],[Has]]*TablaGeneral[[#This Row],[Kg x Has]]</f>
        <v>6640</v>
      </c>
      <c r="G35" s="2">
        <f>+TablaGeneral[[#This Row],[Kg 2026]]/4</f>
        <v>1660</v>
      </c>
      <c r="H35" s="2">
        <v>1391</v>
      </c>
      <c r="I35" s="2"/>
      <c r="J35" t="s">
        <v>23</v>
      </c>
      <c r="K35" s="5">
        <f>10000/IF(LEN(TablaGeneral[[#This Row],[Marco de plantación]])&gt;3,(MID(TablaGeneral[[#This Row],[Marco de plantación]],1,3)*MID(TablaGeneral[[#This Row],[Marco de plantación]],5,3)),(3*2))</f>
        <v>1666.6666666666667</v>
      </c>
      <c r="L35" s="7">
        <v>6</v>
      </c>
      <c r="M35" s="5">
        <f>+TablaGeneral[[#This Row],[Plantas x Has]]*TablaGeneral[[#This Row],[N° de Guías x planta]]</f>
        <v>10000</v>
      </c>
      <c r="N35" s="7">
        <v>5</v>
      </c>
      <c r="O35" s="7">
        <f>+TablaGeneral[[#This Row],[N° de Guías x planta]]*TablaGeneral[[#This Row],[N° de Yemas x Guias]]</f>
        <v>30</v>
      </c>
      <c r="P35" s="7">
        <v>0.6</v>
      </c>
      <c r="Q35" s="5">
        <f>+TablaGeneral[[#This Row],[N° de Yemas x Planta]]*TablaGeneral[[#This Row],[% de Brotación]]</f>
        <v>18</v>
      </c>
      <c r="R35" s="7">
        <v>0.6</v>
      </c>
      <c r="S35" s="7">
        <v>1.5</v>
      </c>
      <c r="T35" s="5">
        <f>+TablaGeneral[[#This Row],[N° de Brotes x Planta]]*TablaGeneral[[#This Row],[% de Fertilidad]]*TablaGeneral[[#This Row],[Cantidad de Racimos x Brote]]</f>
        <v>16.2</v>
      </c>
      <c r="U35" s="7">
        <v>0.29499999999999998</v>
      </c>
      <c r="V35" s="5">
        <f>+TablaGeneral[[#This Row],[Cantidad de Racimos x Planta]]*TablaGeneral[[#This Row],[Peso del Racimo]]</f>
        <v>4.7789999999999999</v>
      </c>
      <c r="W35" s="5">
        <f>+TablaGeneral[[#This Row],[Plantas]]*TablaGeneral[[#This Row],[Kg x Planta]]</f>
        <v>6647.5889999999999</v>
      </c>
      <c r="X35" s="5">
        <f>+TablaGeneral[[#This Row],[Kg x Cuartel]]/TablaGeneral[[#This Row],[Has]]</f>
        <v>8009.1433734939765</v>
      </c>
      <c r="Y35" t="s">
        <v>42</v>
      </c>
      <c r="Z35" s="15">
        <v>180</v>
      </c>
      <c r="AA35" s="6">
        <f>+TablaGeneral[[#This Row],[Rendimiento Poda]]*1.5</f>
        <v>270</v>
      </c>
      <c r="AB35" s="6">
        <v>500</v>
      </c>
      <c r="AC35" s="6"/>
      <c r="AD35" s="6"/>
      <c r="AE35" s="6">
        <v>700</v>
      </c>
      <c r="AF35" s="6">
        <v>500</v>
      </c>
      <c r="AG35" s="9">
        <f>+IFERROR(TablaGeneral[[#This Row],[Plantas]]/TablaGeneral[[#This Row],[Rendimiento Poda]],0)</f>
        <v>7.7277777777777779</v>
      </c>
      <c r="AH35" s="9">
        <f>+TablaGeneral[[#This Row],[Plantas]]/TablaGeneral[[#This Row],[Rendimiento Atada]]</f>
        <v>5.1518518518518519</v>
      </c>
      <c r="AI35" s="9">
        <f>+IFERROR(TablaGeneral[[#This Row],[Plantas]]/TablaGeneral[[#This Row],[Rendimiento Desbrote de troncos]],0)</f>
        <v>2.782</v>
      </c>
      <c r="AJ35" s="9">
        <f>+IFERROR(TablaGeneral[[#This Row],[Plantas]]/TablaGeneral[[#This Row],[Rendimiento Acomodo de brotes ]],0)</f>
        <v>0</v>
      </c>
      <c r="AK35" s="9">
        <f>+IFERROR(TablaGeneral[[#This Row],[Plantas]]/TablaGeneral[[#This Row],[Rendimiento Desniete, deshoje ]],0)</f>
        <v>0</v>
      </c>
      <c r="AL35" s="9">
        <f>+IFERROR(TablaGeneral[[#This Row],[Plantas]]/TablaGeneral[[#This Row],[Rendimiento Desbrote con criterio de Poda]],0)</f>
        <v>1.9871428571428571</v>
      </c>
      <c r="AM35" s="9">
        <f>+IFERROR(TablaGeneral[[#This Row],[Plantas]]/TablaGeneral[[#This Row],[Rendimiento Raleo de Racimos]],0)</f>
        <v>2.782</v>
      </c>
      <c r="AN35" s="10">
        <f>+TablaGeneral[[#This Row],[Plantas]]/3366.9</f>
        <v>0.41313968338828</v>
      </c>
      <c r="AO35" s="10">
        <f>+TablaGeneral[[#This Row],[Plantas]]/5179.85</f>
        <v>0.26854059480486886</v>
      </c>
      <c r="AP35" s="10">
        <f>+TablaGeneral[[#This Row],[Plantas]]/6899.38</f>
        <v>0.20161231878806501</v>
      </c>
      <c r="AQ35" s="13">
        <f>+TablaGeneral[[#This Row],[Plantas]]/2591.91</f>
        <v>0.53666986893835056</v>
      </c>
      <c r="AR35" s="13">
        <f>+TablaGeneral[[#This Row],[Plantas]]/1683.45</f>
        <v>0.82627936677656</v>
      </c>
      <c r="AS35" s="10">
        <f>+TablaGeneral[[#This Row],[Plantas]]/1232.39</f>
        <v>1.1287011416840447</v>
      </c>
      <c r="AT35" s="13">
        <f>+TablaGeneral[[#This Row],[Plantas]]/216.3</f>
        <v>6.4308830328247799</v>
      </c>
      <c r="AU35" s="13">
        <f>+TablaGeneral[[#This Row],[Plantas]]/2941.65</f>
        <v>0.47286386891710436</v>
      </c>
      <c r="AV35" s="13">
        <f>+TablaGeneral[[#This Row],[Plantas]]/980.55</f>
        <v>1.4185916067513131</v>
      </c>
      <c r="AW35" s="13">
        <f>+TablaGeneral[[#This Row],[Plantas]]/9805</f>
        <v>0.14186639469658338</v>
      </c>
      <c r="AX35" s="13">
        <f>+TablaGeneral[[#This Row],[Plantas]]/460</f>
        <v>3.0239130434782608</v>
      </c>
      <c r="AY35" s="13">
        <f>+TablaGeneral[[#This Row],[Plantas]]/1176.66</f>
        <v>1.1821596722927608</v>
      </c>
      <c r="AZ35" s="13"/>
      <c r="BA35" s="13"/>
      <c r="BB35" s="13">
        <f>+TablaGeneral[[#This Row],[Plantas]]/11766.6</f>
        <v>0.11821596722927609</v>
      </c>
      <c r="BC35" s="13">
        <f>+TablaGeneral[[#This Row],[Plantas]]/1897.32</f>
        <v>0.73313937554023567</v>
      </c>
      <c r="BD35" s="13">
        <f>+TablaGeneral[[#This Row],[Plantas]]/3565.64</f>
        <v>0.39011229400612513</v>
      </c>
      <c r="BE35" s="13">
        <f>+TablaGeneral[[#This Row],[Plantas]]/1176.7</f>
        <v>1.1821194867000935</v>
      </c>
      <c r="BF35" s="13">
        <f>+TablaGeneral[[#This Row],[Plantas]]/1568.88</f>
        <v>0.88661975421957062</v>
      </c>
      <c r="BG35" s="13">
        <f>+TablaGeneral[[#This Row],[Plantas]]/2941.65</f>
        <v>0.47286386891710436</v>
      </c>
      <c r="BH35" s="13">
        <f>+TablaGeneral[[#This Row],[Plantas]]/1961.1</f>
        <v>0.70929580337565656</v>
      </c>
      <c r="BI35" s="13">
        <f>+TablaGeneral[[#This Row],[Plantas]]/2353.32</f>
        <v>0.59107983614638038</v>
      </c>
      <c r="BJ35" s="13">
        <f>+TablaGeneral[[#This Row],[Plantas]]/1961.1</f>
        <v>0.70929580337565656</v>
      </c>
      <c r="BK35" s="13">
        <f>+TablaGeneral[[#This Row],[Plantas]]/3268</f>
        <v>0.42564259485924111</v>
      </c>
      <c r="BL35" s="13">
        <f>+TablaGeneral[[#This Row],[Plantas]]/525.295</f>
        <v>2.6480358655612561</v>
      </c>
      <c r="BM35" s="13">
        <f>+TablaGeneral[[#This Row],[Plantas]]/653.7</f>
        <v>2.1278874101269696</v>
      </c>
      <c r="BN35" s="17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112.02499630173912</v>
      </c>
      <c r="BO35" s="17">
        <f>+TablaGeneral[[#This Row],[Combustible]]/100</f>
        <v>1.1202499630173912</v>
      </c>
      <c r="BP35" s="17">
        <f>+TablaGeneral[[#This Row],[Combustible]]/150</f>
        <v>0.74683330867826081</v>
      </c>
      <c r="BQ35" s="17">
        <f>+TablaGeneral[[#This Row],[Combustible]]/200</f>
        <v>0.56012498150869561</v>
      </c>
      <c r="BR35" s="1">
        <f>+H35/2094.5</f>
        <v>0.664120315111005</v>
      </c>
      <c r="BS35" s="1">
        <f>+H35/2094.5</f>
        <v>0.664120315111005</v>
      </c>
      <c r="BT35" s="1">
        <f>+H35/523.625</f>
        <v>2.65648126044402</v>
      </c>
      <c r="BU35" s="1">
        <f>+H35/5236.25</f>
        <v>0.26564812604440202</v>
      </c>
      <c r="BV35" s="1">
        <f>+H35/1047.25</f>
        <v>1.32824063022201</v>
      </c>
      <c r="BW35">
        <f t="shared" si="37"/>
        <v>1.0253650697705277</v>
      </c>
      <c r="BX35">
        <f t="shared" si="38"/>
        <v>0.83738178228073656</v>
      </c>
      <c r="BY35">
        <f t="shared" si="39"/>
        <v>1.6662154748414639</v>
      </c>
      <c r="BZ35">
        <f t="shared" si="40"/>
        <v>1.2817086992177062</v>
      </c>
      <c r="CA35">
        <f t="shared" si="41"/>
        <v>1.9569857073919472</v>
      </c>
      <c r="CB35">
        <f t="shared" si="42"/>
        <v>1.0253650697705277</v>
      </c>
      <c r="CC35">
        <f t="shared" si="43"/>
        <v>0.1281708699217706</v>
      </c>
      <c r="CD35">
        <f t="shared" si="44"/>
        <v>8.5446984169886539E-2</v>
      </c>
      <c r="CF35">
        <f t="shared" si="45"/>
        <v>3.8451119256519553</v>
      </c>
      <c r="CG35">
        <f t="shared" si="46"/>
        <v>0.79465734329654258</v>
      </c>
      <c r="CH35">
        <f t="shared" si="47"/>
        <v>0.75193253689388617</v>
      </c>
      <c r="CI35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4.0842387777558251</v>
      </c>
      <c r="CJ35" s="59">
        <f>+TablaGeneral[[#This Row],[Tracto elevador]]+TablaGeneral[[#This Row],[Tractor con uñas]]+TablaGeneral[[#This Row],[Tractor con acoplado]]</f>
        <v>4.6488422057770347</v>
      </c>
      <c r="CK35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2.4694186466410519</v>
      </c>
      <c r="CL35" s="60">
        <f>+SUM(BR35:BV35)+TablaGeneral[[#This Row],[Cosecha DOV]]+TablaGeneral[[#This Row],[Corte DOV]]</f>
        <v>5.5786106469324421</v>
      </c>
      <c r="CM35" s="60">
        <f>+SUM(TablaGeneral[[#This Row],[Colocación de malla]:[Descarga y carga de bines con Autoelevador]])</f>
        <v>13.39834146320695</v>
      </c>
      <c r="CN35" s="59"/>
      <c r="CO35" s="59"/>
      <c r="CP35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35" t="str">
        <f>+TablaGeneral[[#This Row],[Variedad]]&amp;" "&amp;TablaGeneral[[#This Row],[Año de plantación]]</f>
        <v xml:space="preserve">Flame </v>
      </c>
      <c r="CR35" t="str">
        <f>+IF(TablaGeneral[[#This Row],[Finca]]="El Espejo I","El Espejo I y II",IF(TablaGeneral[[#This Row],[Finca]]="El Espejo II","El Espejo I y II",TablaGeneral[[#This Row],[Finca]]))</f>
        <v>Camino Truncado</v>
      </c>
    </row>
    <row r="36" spans="1:96">
      <c r="A36" t="s">
        <v>8</v>
      </c>
      <c r="B36">
        <v>58</v>
      </c>
      <c r="C36" s="1">
        <v>2.15</v>
      </c>
      <c r="D36" t="s">
        <v>7</v>
      </c>
      <c r="E36" s="2">
        <v>20000</v>
      </c>
      <c r="F36" s="2">
        <f>+TablaGeneral[[#This Row],[Has]]*TablaGeneral[[#This Row],[Kg x Has]]</f>
        <v>43000</v>
      </c>
      <c r="G36" s="2">
        <f>+TablaGeneral[[#This Row],[Kg 2026]]/4</f>
        <v>10750</v>
      </c>
      <c r="H36">
        <v>3577</v>
      </c>
      <c r="J36" t="s">
        <v>23</v>
      </c>
      <c r="K36" s="5">
        <f>10000/IF(LEN(TablaGeneral[[#This Row],[Marco de plantación]])&gt;3,(MID(TablaGeneral[[#This Row],[Marco de plantación]],1,3)*MID(TablaGeneral[[#This Row],[Marco de plantación]],5,3)),(3*2))</f>
        <v>1666.6666666666667</v>
      </c>
      <c r="L36" s="7">
        <v>8</v>
      </c>
      <c r="M36" s="5">
        <f>+TablaGeneral[[#This Row],[Plantas x Has]]*TablaGeneral[[#This Row],[N° de Guías x planta]]</f>
        <v>13333.333333333334</v>
      </c>
      <c r="N36" s="7">
        <v>6</v>
      </c>
      <c r="O36" s="7">
        <f>+TablaGeneral[[#This Row],[N° de Guías x planta]]*TablaGeneral[[#This Row],[N° de Yemas x Guias]]</f>
        <v>48</v>
      </c>
      <c r="P36" s="7">
        <v>0.6</v>
      </c>
      <c r="Q36" s="5">
        <f>+TablaGeneral[[#This Row],[N° de Yemas x Planta]]*TablaGeneral[[#This Row],[% de Brotación]]</f>
        <v>28.799999999999997</v>
      </c>
      <c r="R36" s="7">
        <v>0.7</v>
      </c>
      <c r="S36" s="7">
        <v>1.5</v>
      </c>
      <c r="T36" s="5">
        <f>+TablaGeneral[[#This Row],[N° de Brotes x Planta]]*TablaGeneral[[#This Row],[% de Fertilidad]]*TablaGeneral[[#This Row],[Cantidad de Racimos x Brote]]</f>
        <v>30.239999999999995</v>
      </c>
      <c r="U36" s="7">
        <v>0.39800000000000002</v>
      </c>
      <c r="V36" s="5">
        <f>+TablaGeneral[[#This Row],[Cantidad de Racimos x Planta]]*TablaGeneral[[#This Row],[Peso del Racimo]]</f>
        <v>12.035519999999998</v>
      </c>
      <c r="W36" s="5">
        <f>+TablaGeneral[[#This Row],[Plantas]]*TablaGeneral[[#This Row],[Kg x Planta]]</f>
        <v>43051.055039999992</v>
      </c>
      <c r="X36" s="5">
        <f>+TablaGeneral[[#This Row],[Kg x Cuartel]]/TablaGeneral[[#This Row],[Has]]</f>
        <v>20023.746530232555</v>
      </c>
      <c r="Y36" t="s">
        <v>42</v>
      </c>
      <c r="Z36" s="15">
        <v>200</v>
      </c>
      <c r="AA36" s="6">
        <f>+TablaGeneral[[#This Row],[Rendimiento Poda]]*1.5</f>
        <v>300</v>
      </c>
      <c r="AB36" s="6">
        <v>500</v>
      </c>
      <c r="AC36" s="6">
        <v>600</v>
      </c>
      <c r="AD36" s="6"/>
      <c r="AE36" s="6">
        <v>700</v>
      </c>
      <c r="AF36" s="6"/>
      <c r="AG36" s="9">
        <f>+IFERROR(TablaGeneral[[#This Row],[Plantas]]/TablaGeneral[[#This Row],[Rendimiento Poda]],0)</f>
        <v>17.885000000000002</v>
      </c>
      <c r="AH36" s="9">
        <f>+TablaGeneral[[#This Row],[Plantas]]/TablaGeneral[[#This Row],[Rendimiento Atada]]</f>
        <v>11.923333333333334</v>
      </c>
      <c r="AI36" s="9">
        <f>+IFERROR(TablaGeneral[[#This Row],[Plantas]]/TablaGeneral[[#This Row],[Rendimiento Desbrote de troncos]],0)</f>
        <v>7.1539999999999999</v>
      </c>
      <c r="AJ36" s="9">
        <f>+IFERROR(TablaGeneral[[#This Row],[Plantas]]/TablaGeneral[[#This Row],[Rendimiento Acomodo de brotes ]],0)</f>
        <v>5.9616666666666669</v>
      </c>
      <c r="AK36" s="9">
        <f>+IFERROR(TablaGeneral[[#This Row],[Plantas]]/TablaGeneral[[#This Row],[Rendimiento Desniete, deshoje ]],0)</f>
        <v>0</v>
      </c>
      <c r="AL36" s="9">
        <f>+IFERROR(TablaGeneral[[#This Row],[Plantas]]/TablaGeneral[[#This Row],[Rendimiento Desbrote con criterio de Poda]],0)</f>
        <v>5.1100000000000003</v>
      </c>
      <c r="AM36" s="9">
        <f>+IFERROR(TablaGeneral[[#This Row],[Plantas]]/TablaGeneral[[#This Row],[Rendimiento Raleo de Racimos]],0)</f>
        <v>0</v>
      </c>
      <c r="AN36" s="10">
        <f>+TablaGeneral[[#This Row],[Plantas]]/4150</f>
        <v>0.8619277108433735</v>
      </c>
      <c r="AO36" s="10">
        <f>+TablaGeneral[[#This Row],[Plantas]]/6196.57</f>
        <v>0.57725483614322115</v>
      </c>
      <c r="AP36" s="10">
        <f>+TablaGeneral[[#This Row],[Plantas]]/8269.65</f>
        <v>0.43254551280888553</v>
      </c>
      <c r="AQ36" s="14">
        <f>+TablaGeneral[[#This Row],[Plantas]]/2069.3</f>
        <v>1.7286038757067606</v>
      </c>
      <c r="AR36" s="14">
        <f>+TablaGeneral[[#This Row],[Plantas]]/2056.14</f>
        <v>1.7396675323664732</v>
      </c>
      <c r="AS36" s="10">
        <f>+TablaGeneral[[#This Row],[Plantas]]/1721.27</f>
        <v>2.0781167393842916</v>
      </c>
      <c r="AT36" s="13">
        <f>+TablaGeneral[[#This Row],[Plantas]]/216.3</f>
        <v>16.537216828478964</v>
      </c>
      <c r="AU36" s="13">
        <f>+TablaGeneral[[#This Row],[Plantas]]/2941.65</f>
        <v>1.2159842265395271</v>
      </c>
      <c r="AV36" s="13">
        <f>+TablaGeneral[[#This Row],[Plantas]]/980.55</f>
        <v>3.6479526796185815</v>
      </c>
      <c r="AW36" s="13">
        <f>+TablaGeneral[[#This Row],[Plantas]]/9805</f>
        <v>0.36481387047424785</v>
      </c>
      <c r="AX36" s="13">
        <f>+TablaGeneral[[#This Row],[Plantas]]/460</f>
        <v>7.7760869565217394</v>
      </c>
      <c r="AY36" s="13">
        <f>+TablaGeneral[[#This Row],[Plantas]]/1176.66</f>
        <v>3.0399605663488178</v>
      </c>
      <c r="AZ36" s="13"/>
      <c r="BA36" s="13"/>
      <c r="BB36" s="13">
        <f>+TablaGeneral[[#This Row],[Plantas]]/11766.6</f>
        <v>0.30399605663488177</v>
      </c>
      <c r="BC36" s="13">
        <f>+TablaGeneral[[#This Row],[Plantas]]/1897.32</f>
        <v>1.8852908312778025</v>
      </c>
      <c r="BD36" s="13">
        <f>+TablaGeneral[[#This Row],[Plantas]]/3565.64</f>
        <v>1.0031859638101435</v>
      </c>
      <c r="BE36" s="13">
        <f>+TablaGeneral[[#This Row],[Plantas]]/1176.7</f>
        <v>3.0398572278405709</v>
      </c>
      <c r="BF36" s="13">
        <f>+TablaGeneral[[#This Row],[Plantas]]/1568.88</f>
        <v>2.279970424761613</v>
      </c>
      <c r="BG36" s="13">
        <f>+TablaGeneral[[#This Row],[Plantas]]/2941.65</f>
        <v>1.2159842265395271</v>
      </c>
      <c r="BH36" s="13">
        <f>+TablaGeneral[[#This Row],[Plantas]]/1961.1</f>
        <v>1.8239763398092907</v>
      </c>
      <c r="BI36" s="13">
        <f>+TablaGeneral[[#This Row],[Plantas]]/2353.32</f>
        <v>1.5199802831744089</v>
      </c>
      <c r="BJ36" s="13">
        <f>+TablaGeneral[[#This Row],[Plantas]]/1961.1</f>
        <v>1.8239763398092907</v>
      </c>
      <c r="BK36" s="13">
        <f>+TablaGeneral[[#This Row],[Plantas]]/3268</f>
        <v>1.0945532435740515</v>
      </c>
      <c r="BL36" s="13">
        <f>+TablaGeneral[[#This Row],[Plantas]]/525.295</f>
        <v>6.809507038901951</v>
      </c>
      <c r="BM36" s="13">
        <f>+TablaGeneral[[#This Row],[Plantas]]/653.7</f>
        <v>5.471929019427872</v>
      </c>
      <c r="BN36" s="17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266.6289139134704</v>
      </c>
      <c r="BO36" s="17">
        <f>+TablaGeneral[[#This Row],[Combustible]]/100</f>
        <v>2.6662891391347041</v>
      </c>
      <c r="BP36" s="17">
        <f>+TablaGeneral[[#This Row],[Combustible]]/150</f>
        <v>1.7775260927564693</v>
      </c>
      <c r="BQ36" s="17">
        <f>+TablaGeneral[[#This Row],[Combustible]]/200</f>
        <v>1.3331445695673521</v>
      </c>
      <c r="BR36" s="1">
        <f>+H36/2261.75</f>
        <v>1.5815187354924285</v>
      </c>
      <c r="BS36" s="1">
        <f>+H36/2261.75</f>
        <v>1.5815187354924285</v>
      </c>
      <c r="BT36" s="1">
        <f>+H36/565.438</f>
        <v>6.3260693480098613</v>
      </c>
      <c r="BU36" s="1">
        <f>+H36/5654.38</f>
        <v>0.63260693480098618</v>
      </c>
      <c r="BV36" s="1">
        <f>+H36/1130.88</f>
        <v>3.1630234861346911</v>
      </c>
      <c r="BW36">
        <f t="shared" si="37"/>
        <v>2.636758342609042</v>
      </c>
      <c r="BX36">
        <f t="shared" si="38"/>
        <v>2.1533534401281056</v>
      </c>
      <c r="BY36">
        <f t="shared" si="39"/>
        <v>4.2847252002213629</v>
      </c>
      <c r="BZ36">
        <f t="shared" si="40"/>
        <v>3.2959540022298599</v>
      </c>
      <c r="CA36">
        <f t="shared" si="41"/>
        <v>5.0324499463270991</v>
      </c>
      <c r="CB36">
        <f t="shared" si="42"/>
        <v>2.636758342609042</v>
      </c>
      <c r="CC36">
        <f t="shared" si="43"/>
        <v>0.32959540022298595</v>
      </c>
      <c r="CD36">
        <f t="shared" si="44"/>
        <v>0.21972959193075783</v>
      </c>
      <c r="CF36">
        <f t="shared" si="45"/>
        <v>9.8878255629453946</v>
      </c>
      <c r="CG36">
        <f t="shared" si="46"/>
        <v>2.0434862091816912</v>
      </c>
      <c r="CH36">
        <f t="shared" si="47"/>
        <v>1.9336180334072111</v>
      </c>
      <c r="CI36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9.2420925470622954</v>
      </c>
      <c r="CJ36" s="59">
        <f>+TablaGeneral[[#This Row],[Tracto elevador]]+TablaGeneral[[#This Row],[Tractor con uñas]]+TablaGeneral[[#This Row],[Tractor con acoplado]]</f>
        <v>11.070611569636981</v>
      </c>
      <c r="CK36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6.3501872746477659</v>
      </c>
      <c r="CL36" s="60">
        <f>+SUM(BR36:BV36)+TablaGeneral[[#This Row],[Cosecha DOV]]+TablaGeneral[[#This Row],[Corte DOV]]</f>
        <v>13.284737239930395</v>
      </c>
      <c r="CM36" s="60">
        <f>+SUM(TablaGeneral[[#This Row],[Colocación de malla]:[Descarga y carga de bines con Autoelevador]])</f>
        <v>34.454254071812557</v>
      </c>
      <c r="CN36" s="59"/>
      <c r="CO36" s="59"/>
      <c r="CP36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36" t="str">
        <f>+TablaGeneral[[#This Row],[Variedad]]&amp;" "&amp;TablaGeneral[[#This Row],[Año de plantación]]</f>
        <v xml:space="preserve">Arizul </v>
      </c>
      <c r="CR36" t="str">
        <f>+IF(TablaGeneral[[#This Row],[Finca]]="El Espejo I","El Espejo I y II",IF(TablaGeneral[[#This Row],[Finca]]="El Espejo II","El Espejo I y II",TablaGeneral[[#This Row],[Finca]]))</f>
        <v>Camino Truncado</v>
      </c>
    </row>
    <row r="37" spans="1:96">
      <c r="A37" t="s">
        <v>8</v>
      </c>
      <c r="B37">
        <v>59</v>
      </c>
      <c r="C37" s="1">
        <v>0.89</v>
      </c>
      <c r="D37" t="s">
        <v>10</v>
      </c>
      <c r="E37" s="2">
        <v>30000</v>
      </c>
      <c r="F37" s="2">
        <f>+TablaGeneral[[#This Row],[Has]]*TablaGeneral[[#This Row],[Kg x Has]]</f>
        <v>26700</v>
      </c>
      <c r="G37" s="2">
        <f>+TablaGeneral[[#This Row],[Kg 2026]]/4</f>
        <v>6675</v>
      </c>
      <c r="H37">
        <v>1486</v>
      </c>
      <c r="J37" t="s">
        <v>23</v>
      </c>
      <c r="K37" s="5">
        <f>10000/IF(LEN(TablaGeneral[[#This Row],[Marco de plantación]])&gt;3,(MID(TablaGeneral[[#This Row],[Marco de plantación]],1,3)*MID(TablaGeneral[[#This Row],[Marco de plantación]],5,3)),(3*2))</f>
        <v>1666.6666666666667</v>
      </c>
      <c r="L37" s="7">
        <v>8</v>
      </c>
      <c r="M37" s="5">
        <f>+TablaGeneral[[#This Row],[Plantas x Has]]*TablaGeneral[[#This Row],[N° de Guías x planta]]</f>
        <v>13333.333333333334</v>
      </c>
      <c r="N37" s="7">
        <v>7</v>
      </c>
      <c r="O37" s="7">
        <f>+TablaGeneral[[#This Row],[N° de Guías x planta]]*TablaGeneral[[#This Row],[N° de Yemas x Guias]]</f>
        <v>56</v>
      </c>
      <c r="P37" s="7">
        <v>0.8</v>
      </c>
      <c r="Q37" s="5">
        <f>+TablaGeneral[[#This Row],[N° de Yemas x Planta]]*TablaGeneral[[#This Row],[% de Brotación]]</f>
        <v>44.800000000000004</v>
      </c>
      <c r="R37" s="7">
        <v>0.8</v>
      </c>
      <c r="S37" s="7">
        <v>1.5</v>
      </c>
      <c r="T37" s="5">
        <f>+TablaGeneral[[#This Row],[N° de Brotes x Planta]]*TablaGeneral[[#This Row],[% de Fertilidad]]*TablaGeneral[[#This Row],[Cantidad de Racimos x Brote]]</f>
        <v>53.760000000000005</v>
      </c>
      <c r="U37" s="7">
        <v>0.33500000000000002</v>
      </c>
      <c r="V37" s="5">
        <f>+TablaGeneral[[#This Row],[Cantidad de Racimos x Planta]]*TablaGeneral[[#This Row],[Peso del Racimo]]</f>
        <v>18.009600000000002</v>
      </c>
      <c r="W37" s="5">
        <f>+TablaGeneral[[#This Row],[Plantas]]*TablaGeneral[[#This Row],[Kg x Planta]]</f>
        <v>26762.265600000002</v>
      </c>
      <c r="X37" s="5">
        <f>+TablaGeneral[[#This Row],[Kg x Cuartel]]/TablaGeneral[[#This Row],[Has]]</f>
        <v>30069.961348314609</v>
      </c>
      <c r="Y37" t="s">
        <v>42</v>
      </c>
      <c r="Z37" s="15">
        <v>110</v>
      </c>
      <c r="AA37" s="6">
        <f>+TablaGeneral[[#This Row],[Rendimiento Poda]]*1.5</f>
        <v>165</v>
      </c>
      <c r="AB37" s="6">
        <v>500</v>
      </c>
      <c r="AC37" s="6">
        <v>600</v>
      </c>
      <c r="AD37" s="6"/>
      <c r="AE37" s="6">
        <v>700</v>
      </c>
      <c r="AF37" s="6">
        <v>500</v>
      </c>
      <c r="AG37" s="9">
        <f>+IFERROR(TablaGeneral[[#This Row],[Plantas]]/TablaGeneral[[#This Row],[Rendimiento Poda]],0)</f>
        <v>13.50909090909091</v>
      </c>
      <c r="AH37" s="9">
        <f>+TablaGeneral[[#This Row],[Plantas]]/TablaGeneral[[#This Row],[Rendimiento Atada]]</f>
        <v>9.0060606060606059</v>
      </c>
      <c r="AI37" s="9">
        <f>+IFERROR(TablaGeneral[[#This Row],[Plantas]]/TablaGeneral[[#This Row],[Rendimiento Desbrote de troncos]],0)</f>
        <v>2.972</v>
      </c>
      <c r="AJ37" s="9">
        <f>+IFERROR(TablaGeneral[[#This Row],[Plantas]]/TablaGeneral[[#This Row],[Rendimiento Acomodo de brotes ]],0)</f>
        <v>2.4766666666666666</v>
      </c>
      <c r="AK37" s="9">
        <f>+IFERROR(TablaGeneral[[#This Row],[Plantas]]/TablaGeneral[[#This Row],[Rendimiento Desniete, deshoje ]],0)</f>
        <v>0</v>
      </c>
      <c r="AL37" s="9">
        <f>+IFERROR(TablaGeneral[[#This Row],[Plantas]]/TablaGeneral[[#This Row],[Rendimiento Desbrote con criterio de Poda]],0)</f>
        <v>2.1228571428571428</v>
      </c>
      <c r="AM37" s="9">
        <f>+IFERROR(TablaGeneral[[#This Row],[Plantas]]/TablaGeneral[[#This Row],[Rendimiento Raleo de Racimos]],0)</f>
        <v>2.972</v>
      </c>
      <c r="AN37" s="10">
        <f>+TablaGeneral[[#This Row],[Plantas]]/3347.215</f>
        <v>0.44395116537180906</v>
      </c>
      <c r="AO37" s="10">
        <f>+TablaGeneral[[#This Row],[Plantas]]/4989.25</f>
        <v>0.29784035676704917</v>
      </c>
      <c r="AP37" s="10">
        <f>+TablaGeneral[[#This Row],[Plantas]]/6677.52</f>
        <v>0.22253770861038227</v>
      </c>
      <c r="AQ37" s="13">
        <f>+TablaGeneral[[#This Row],[Plantas]]/5008.14</f>
        <v>0.29671694481384303</v>
      </c>
      <c r="AR37" s="13">
        <f>+TablaGeneral[[#This Row],[Plantas]]/1652.69</f>
        <v>0.89914018963023912</v>
      </c>
      <c r="AS37" s="10">
        <f>+TablaGeneral[[#This Row],[Plantas]]/1391.73</f>
        <v>1.0677358395665826</v>
      </c>
      <c r="AT37" s="13">
        <f>+TablaGeneral[[#This Row],[Plantas]]/216.3</f>
        <v>6.8700878409616273</v>
      </c>
      <c r="AU37" s="13">
        <f>+TablaGeneral[[#This Row],[Plantas]]/2941.65</f>
        <v>0.50515866945421783</v>
      </c>
      <c r="AV37" s="13">
        <f>+TablaGeneral[[#This Row],[Plantas]]/980.55</f>
        <v>1.5154760083626537</v>
      </c>
      <c r="AW37" s="13">
        <f>+TablaGeneral[[#This Row],[Plantas]]/9805</f>
        <v>0.15155532891381948</v>
      </c>
      <c r="AX37" s="13">
        <f>+TablaGeneral[[#This Row],[Plantas]]/460</f>
        <v>3.2304347826086954</v>
      </c>
      <c r="AY37" s="13">
        <f>+TablaGeneral[[#This Row],[Plantas]]/1176.66</f>
        <v>1.2628966736355447</v>
      </c>
      <c r="AZ37" s="13"/>
      <c r="BA37" s="13"/>
      <c r="BB37" s="13">
        <f>+TablaGeneral[[#This Row],[Plantas]]/11766.6</f>
        <v>0.12628966736355446</v>
      </c>
      <c r="BC37" s="13">
        <f>+TablaGeneral[[#This Row],[Plantas]]/1897.32</f>
        <v>0.7832100014757658</v>
      </c>
      <c r="BD37" s="13">
        <f>+TablaGeneral[[#This Row],[Plantas]]/3565.64</f>
        <v>0.41675547727757151</v>
      </c>
      <c r="BE37" s="13">
        <f>+TablaGeneral[[#This Row],[Plantas]]/1176.7</f>
        <v>1.2628537435200136</v>
      </c>
      <c r="BF37" s="13">
        <f>+TablaGeneral[[#This Row],[Plantas]]/1568.88</f>
        <v>0.94717250522665841</v>
      </c>
      <c r="BG37" s="13">
        <f>+TablaGeneral[[#This Row],[Plantas]]/2941.65</f>
        <v>0.50515866945421783</v>
      </c>
      <c r="BH37" s="13">
        <f>+TablaGeneral[[#This Row],[Plantas]]/1961.1</f>
        <v>0.75773800418132686</v>
      </c>
      <c r="BI37" s="13">
        <f>+TablaGeneral[[#This Row],[Plantas]]/2353.32</f>
        <v>0.63144833681777235</v>
      </c>
      <c r="BJ37" s="13">
        <f>+TablaGeneral[[#This Row],[Plantas]]/1961.1</f>
        <v>0.75773800418132686</v>
      </c>
      <c r="BK37" s="13">
        <f>+TablaGeneral[[#This Row],[Plantas]]/3268</f>
        <v>0.45471236230110157</v>
      </c>
      <c r="BL37" s="13">
        <f>+TablaGeneral[[#This Row],[Plantas]]/525.295</f>
        <v>2.8288866256103717</v>
      </c>
      <c r="BM37" s="13">
        <f>+TablaGeneral[[#This Row],[Plantas]]/653.7</f>
        <v>2.2732140125439804</v>
      </c>
      <c r="BN37" s="17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100.29644102513338</v>
      </c>
      <c r="BO37" s="17">
        <f>+TablaGeneral[[#This Row],[Combustible]]/100</f>
        <v>1.0029644102513338</v>
      </c>
      <c r="BP37" s="17">
        <f>+TablaGeneral[[#This Row],[Combustible]]/150</f>
        <v>0.66864294016755588</v>
      </c>
      <c r="BQ37" s="17">
        <f>+TablaGeneral[[#This Row],[Combustible]]/200</f>
        <v>0.50148220512566688</v>
      </c>
      <c r="BR37" s="1">
        <f>+H37/3054.1</f>
        <v>0.48655905176647785</v>
      </c>
      <c r="BS37" s="1">
        <f>+H37/3054.1</f>
        <v>0.48655905176647785</v>
      </c>
      <c r="BT37" s="1">
        <f>+H37/763.525</f>
        <v>1.9462362070659114</v>
      </c>
      <c r="BU37" s="1">
        <f>+H37/15270.5</f>
        <v>9.7311810353295572E-2</v>
      </c>
      <c r="BV37" s="1">
        <f>+H37/1527.05</f>
        <v>0.97311810353295569</v>
      </c>
      <c r="BW37">
        <f t="shared" si="37"/>
        <v>1.0953935971811675</v>
      </c>
      <c r="BX37">
        <f t="shared" si="38"/>
        <v>0.89457176741134037</v>
      </c>
      <c r="BY37">
        <f t="shared" si="39"/>
        <v>1.780011643144799</v>
      </c>
      <c r="BZ37">
        <f t="shared" si="40"/>
        <v>1.369244519796917</v>
      </c>
      <c r="CA37">
        <f t="shared" si="41"/>
        <v>2.0906403746832734</v>
      </c>
      <c r="CB37">
        <f t="shared" si="42"/>
        <v>1.0953935971811675</v>
      </c>
      <c r="CC37">
        <f t="shared" si="43"/>
        <v>0.13692445197969169</v>
      </c>
      <c r="CD37">
        <f t="shared" si="44"/>
        <v>9.1282687617865857E-2</v>
      </c>
      <c r="CF37">
        <f t="shared" si="45"/>
        <v>4.1077184194959067</v>
      </c>
      <c r="CG37">
        <f t="shared" si="46"/>
        <v>0.84892941203354577</v>
      </c>
      <c r="CH37">
        <f t="shared" si="47"/>
        <v>0.80328666414400773</v>
      </c>
      <c r="CI37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3.9856602089412325</v>
      </c>
      <c r="CJ37" s="59">
        <f>+TablaGeneral[[#This Row],[Tracto elevador]]+TablaGeneral[[#This Row],[Tractor con uñas]]+TablaGeneral[[#This Row],[Tractor con acoplado]]</f>
        <v>3.4059133623653448</v>
      </c>
      <c r="CK37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2.6380705312067598</v>
      </c>
      <c r="CL37" s="60">
        <f>+SUM(BR37:BV37)+TablaGeneral[[#This Row],[Cosecha DOV]]+TablaGeneral[[#This Row],[Corte DOV]]</f>
        <v>3.9897842244851178</v>
      </c>
      <c r="CM37" s="60">
        <f>+SUM(TablaGeneral[[#This Row],[Colocación de malla]:[Descarga y carga de bines con Autoelevador]])</f>
        <v>14.313397134669682</v>
      </c>
      <c r="CN37" s="59"/>
      <c r="CO37" s="59"/>
      <c r="CP37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37" t="str">
        <f>+TablaGeneral[[#This Row],[Variedad]]&amp;" "&amp;TablaGeneral[[#This Row],[Año de plantación]]</f>
        <v xml:space="preserve">Fiesta </v>
      </c>
      <c r="CR37" t="str">
        <f>+IF(TablaGeneral[[#This Row],[Finca]]="El Espejo I","El Espejo I y II",IF(TablaGeneral[[#This Row],[Finca]]="El Espejo II","El Espejo I y II",TablaGeneral[[#This Row],[Finca]]))</f>
        <v>Camino Truncado</v>
      </c>
    </row>
    <row r="38" spans="1:96">
      <c r="A38" t="s">
        <v>12</v>
      </c>
      <c r="B38">
        <v>15</v>
      </c>
      <c r="C38">
        <v>3.7</v>
      </c>
      <c r="D38" t="s">
        <v>6</v>
      </c>
      <c r="E38">
        <v>40000</v>
      </c>
      <c r="F38" s="2">
        <f>+TablaGeneral[[#This Row],[Has]]*TablaGeneral[[#This Row],[Kg x Has]]</f>
        <v>148000</v>
      </c>
      <c r="G38" s="2">
        <f>+TablaGeneral[[#This Row],[Kg 2026]]/4</f>
        <v>37000</v>
      </c>
      <c r="H38">
        <v>5900</v>
      </c>
      <c r="J38" t="s">
        <v>20</v>
      </c>
      <c r="K38">
        <f>10000/IF(LEN(TablaGeneral[[#This Row],[Marco de plantación]])&gt;3,(MID(TablaGeneral[[#This Row],[Marco de plantación]],1,3)*MID(TablaGeneral[[#This Row],[Marco de plantación]],5,3)),(3*2))</f>
        <v>1600</v>
      </c>
      <c r="L38">
        <v>8</v>
      </c>
      <c r="M38">
        <f>+TablaGeneral[[#This Row],[Plantas x Has]]*TablaGeneral[[#This Row],[N° de Guías x planta]]</f>
        <v>12800</v>
      </c>
      <c r="N38">
        <v>9</v>
      </c>
      <c r="O38">
        <f>+TablaGeneral[[#This Row],[N° de Guías x planta]]*TablaGeneral[[#This Row],[N° de Yemas x Guias]]</f>
        <v>72</v>
      </c>
      <c r="P38">
        <v>0.7</v>
      </c>
      <c r="Q38">
        <f>+TablaGeneral[[#This Row],[N° de Yemas x Planta]]*TablaGeneral[[#This Row],[% de Brotación]]</f>
        <v>50.4</v>
      </c>
      <c r="R38">
        <v>0.84699999999999998</v>
      </c>
      <c r="S38">
        <v>1.49</v>
      </c>
      <c r="T38">
        <f>+TablaGeneral[[#This Row],[N° de Brotes x Planta]]*TablaGeneral[[#This Row],[% de Fertilidad]]*TablaGeneral[[#This Row],[Cantidad de Racimos x Brote]]</f>
        <v>63.606312000000003</v>
      </c>
      <c r="U38">
        <v>0.39500000000000002</v>
      </c>
      <c r="V38">
        <f>+TablaGeneral[[#This Row],[Cantidad de Racimos x Planta]]*TablaGeneral[[#This Row],[Peso del Racimo]]</f>
        <v>25.124493240000003</v>
      </c>
      <c r="W38">
        <f>+TablaGeneral[[#This Row],[Plantas]]*TablaGeneral[[#This Row],[Kg x Planta]]</f>
        <v>148234.51011600002</v>
      </c>
      <c r="X38">
        <f>+TablaGeneral[[#This Row],[Kg x Cuartel]]/TablaGeneral[[#This Row],[Has]]</f>
        <v>40063.381112432435</v>
      </c>
      <c r="Y38" t="s">
        <v>41</v>
      </c>
      <c r="Z38">
        <v>130</v>
      </c>
      <c r="AA38">
        <f>+TablaGeneral[[#This Row],[Rendimiento Poda]]*1.5</f>
        <v>195</v>
      </c>
      <c r="AB38">
        <v>203</v>
      </c>
      <c r="AC38">
        <v>500</v>
      </c>
      <c r="AD38">
        <v>500</v>
      </c>
      <c r="AE38">
        <v>500</v>
      </c>
      <c r="AF38">
        <v>300</v>
      </c>
      <c r="AG38">
        <f>+IFERROR(TablaGeneral[[#This Row],[Plantas]]/TablaGeneral[[#This Row],[Rendimiento Poda]],0)</f>
        <v>45.384615384615387</v>
      </c>
      <c r="AH38">
        <f>+TablaGeneral[[#This Row],[Plantas]]/TablaGeneral[[#This Row],[Rendimiento Atada]]</f>
        <v>30.256410256410255</v>
      </c>
      <c r="AI38">
        <f>+IFERROR(TablaGeneral[[#This Row],[Plantas]]/TablaGeneral[[#This Row],[Rendimiento Desbrote de troncos]],0)</f>
        <v>29.064039408866996</v>
      </c>
      <c r="AJ38" s="2">
        <f>+IFERROR(TablaGeneral[[#This Row],[Plantas]]/TablaGeneral[[#This Row],[Rendimiento Acomodo de brotes ]],0)</f>
        <v>11.8</v>
      </c>
      <c r="AK38">
        <f>+IFERROR(TablaGeneral[[#This Row],[Plantas]]/TablaGeneral[[#This Row],[Rendimiento Desniete, deshoje ]],0)</f>
        <v>11.8</v>
      </c>
      <c r="AL38">
        <f>+IFERROR(TablaGeneral[[#This Row],[Plantas]]/TablaGeneral[[#This Row],[Rendimiento Desbrote con criterio de Poda]],0)</f>
        <v>11.8</v>
      </c>
      <c r="AM38">
        <f>+IFERROR(TablaGeneral[[#This Row],[Plantas]]/TablaGeneral[[#This Row],[Rendimiento Raleo de Racimos]],0)</f>
        <v>19.666666666666668</v>
      </c>
      <c r="AN38">
        <f>+H38/3410</f>
        <v>1.7302052785923754</v>
      </c>
      <c r="AO38">
        <f>+H38/12957</f>
        <v>0.4553523192096936</v>
      </c>
      <c r="AP38">
        <f>+H38/16190</f>
        <v>0.36442248301420632</v>
      </c>
      <c r="AQ38">
        <f>+H38/12957</f>
        <v>0.4553523192096936</v>
      </c>
      <c r="AR38">
        <f>+H38/2699.375</f>
        <v>2.1856911322065291</v>
      </c>
      <c r="AS38">
        <f>+H38/899.79</f>
        <v>6.5570855421820653</v>
      </c>
      <c r="AT38">
        <f>+H38/719.833</f>
        <v>8.1963455412574859</v>
      </c>
      <c r="AU38">
        <f>+H38/1322.14</f>
        <v>4.4624623716096625</v>
      </c>
      <c r="AW38">
        <f>+H38/21595</f>
        <v>0.27321139152581614</v>
      </c>
      <c r="AX38">
        <f>+H38/681.947</f>
        <v>8.6516987390515681</v>
      </c>
      <c r="AY38">
        <f>+H38/2699.38</f>
        <v>2.1856870837007016</v>
      </c>
      <c r="AZ38">
        <f>+H38/588.955</f>
        <v>10.017743291083359</v>
      </c>
      <c r="BA38">
        <f>+H38/5398.75</f>
        <v>1.0928455661032646</v>
      </c>
      <c r="BC38">
        <f>+H38/3501.89</f>
        <v>1.6848044912889897</v>
      </c>
      <c r="BD38">
        <f>+H38/1439</f>
        <v>4.1000694927032661</v>
      </c>
      <c r="BF38">
        <f>+H38/3926</f>
        <v>1.5028018339276616</v>
      </c>
      <c r="BG38">
        <f>+H38/2089</f>
        <v>2.8243178554332218</v>
      </c>
      <c r="BH38">
        <f>+H38/1439</f>
        <v>4.1000694927032661</v>
      </c>
      <c r="BI38">
        <f>+H38/6478</f>
        <v>0.91077493053411551</v>
      </c>
      <c r="BJ38">
        <f>+H38/1905</f>
        <v>3.0971128608923886</v>
      </c>
      <c r="BK38">
        <f>+H38/5889</f>
        <v>1.0018678892851078</v>
      </c>
      <c r="BL38">
        <f>+H38/1028.33</f>
        <v>5.7374578199605191</v>
      </c>
      <c r="BM38">
        <f>+H38/2159</f>
        <v>2.732746641963872</v>
      </c>
      <c r="BN38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393.46054537674684</v>
      </c>
      <c r="BO38" s="1">
        <f>+TablaGeneral[[#This Row],[Combustible]]/100</f>
        <v>3.9346054537674684</v>
      </c>
      <c r="BP38" s="1">
        <f>+TablaGeneral[[#This Row],[Combustible]]/150</f>
        <v>2.6230703025116457</v>
      </c>
      <c r="BQ38" s="1">
        <f>+TablaGeneral[[#This Row],[Combustible]]/200</f>
        <v>1.9673027268837342</v>
      </c>
      <c r="BR38">
        <f>+H38/1295</f>
        <v>4.5559845559845558</v>
      </c>
      <c r="BS38">
        <f>+H38/996</f>
        <v>5.9236947791164658</v>
      </c>
      <c r="BT38">
        <f>+H38/432</f>
        <v>13.657407407407407</v>
      </c>
      <c r="BU38">
        <f>+H38/3598</f>
        <v>1.6397998888271261</v>
      </c>
      <c r="BW38">
        <f t="shared" ref="BW38:BW43" si="48">+H38/3599</f>
        <v>1.639344262295082</v>
      </c>
      <c r="BX38">
        <f>+H38/2491</f>
        <v>2.3685266961059814</v>
      </c>
      <c r="BY38">
        <f>+H38/1222</f>
        <v>4.828150572831424</v>
      </c>
      <c r="BZ38">
        <f>+H38/1851</f>
        <v>3.187466234467855</v>
      </c>
      <c r="CA38">
        <f t="shared" ref="CA38:CA49" si="49">+H38/1472</f>
        <v>4.0081521739130439</v>
      </c>
      <c r="CB38">
        <f t="shared" ref="CB38:CB49" si="50">+H38/3599</f>
        <v>1.639344262295082</v>
      </c>
      <c r="CC38">
        <f t="shared" ref="CC38:CC49" si="51">+H38/10797</f>
        <v>0.54644808743169404</v>
      </c>
      <c r="CF38">
        <f t="shared" ref="CF38:CF49" si="52">+H38/661</f>
        <v>8.9258698940998489</v>
      </c>
      <c r="CG38">
        <f t="shared" ref="CG38:CG49" si="53">+H38/7198</f>
        <v>0.81967213114754101</v>
      </c>
      <c r="CH38">
        <f t="shared" ref="CH38:CH49" si="54">+H38/8098</f>
        <v>0.72857495677945172</v>
      </c>
      <c r="CI38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15.848178567117829</v>
      </c>
      <c r="CJ38" s="59">
        <f>+TablaGeneral[[#This Row],[Tracto elevador]]+TablaGeneral[[#This Row],[Tractor con uñas]]+TablaGeneral[[#This Row],[Tractor con acoplado]]</f>
        <v>19.581102186523871</v>
      </c>
      <c r="CK38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3.9167737840329742</v>
      </c>
      <c r="CL38" s="60">
        <f>+SUM(BR38:BV38)+TablaGeneral[[#This Row],[Cosecha DOV]]+TablaGeneral[[#This Row],[Corte DOV]]</f>
        <v>25.776886631335557</v>
      </c>
      <c r="CM38" s="60">
        <f>+SUM(TablaGeneral[[#This Row],[Colocación de malla]:[Descarga y carga de bines con Autoelevador]])</f>
        <v>28.691549271367006</v>
      </c>
      <c r="CN38" s="59"/>
      <c r="CO38" s="59"/>
      <c r="CP38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38" t="str">
        <f>+TablaGeneral[[#This Row],[Variedad]]&amp;" "&amp;TablaGeneral[[#This Row],[Año de plantación]]</f>
        <v xml:space="preserve">Flame </v>
      </c>
      <c r="CR38" t="str">
        <f>+IF(TablaGeneral[[#This Row],[Finca]]="El Espejo I","El Espejo I y II",IF(TablaGeneral[[#This Row],[Finca]]="El Espejo II","El Espejo I y II",TablaGeneral[[#This Row],[Finca]]))</f>
        <v>La Chimbera</v>
      </c>
    </row>
    <row r="39" spans="1:96">
      <c r="A39" t="s">
        <v>12</v>
      </c>
      <c r="B39">
        <v>16</v>
      </c>
      <c r="C39">
        <v>4.4000000000000004</v>
      </c>
      <c r="D39" t="s">
        <v>6</v>
      </c>
      <c r="E39">
        <v>40000</v>
      </c>
      <c r="F39" s="2">
        <f>+TablaGeneral[[#This Row],[Has]]*TablaGeneral[[#This Row],[Kg x Has]]</f>
        <v>176000</v>
      </c>
      <c r="G39" s="2">
        <f>+TablaGeneral[[#This Row],[Kg 2026]]/4</f>
        <v>44000</v>
      </c>
      <c r="H39">
        <v>7040</v>
      </c>
      <c r="J39" t="s">
        <v>20</v>
      </c>
      <c r="K39">
        <f>10000/IF(LEN(TablaGeneral[[#This Row],[Marco de plantación]])&gt;3,(MID(TablaGeneral[[#This Row],[Marco de plantación]],1,3)*MID(TablaGeneral[[#This Row],[Marco de plantación]],5,3)),(3*2))</f>
        <v>1600</v>
      </c>
      <c r="L39">
        <v>11</v>
      </c>
      <c r="M39">
        <f>+TablaGeneral[[#This Row],[Plantas x Has]]*TablaGeneral[[#This Row],[N° de Guías x planta]]</f>
        <v>17600</v>
      </c>
      <c r="N39">
        <v>8</v>
      </c>
      <c r="O39">
        <f>+TablaGeneral[[#This Row],[N° de Guías x planta]]*TablaGeneral[[#This Row],[N° de Yemas x Guias]]</f>
        <v>88</v>
      </c>
      <c r="P39">
        <v>0.7</v>
      </c>
      <c r="Q39">
        <f>+TablaGeneral[[#This Row],[N° de Yemas x Planta]]*TablaGeneral[[#This Row],[% de Brotación]]</f>
        <v>61.599999999999994</v>
      </c>
      <c r="R39">
        <v>0.79590000000000005</v>
      </c>
      <c r="S39">
        <v>1.5</v>
      </c>
      <c r="T39">
        <f>+TablaGeneral[[#This Row],[N° de Brotes x Planta]]*TablaGeneral[[#This Row],[% de Fertilidad]]*TablaGeneral[[#This Row],[Cantidad de Racimos x Brote]]</f>
        <v>73.541159999999991</v>
      </c>
      <c r="U39">
        <v>0.34</v>
      </c>
      <c r="V39">
        <f>+TablaGeneral[[#This Row],[Cantidad de Racimos x Planta]]*TablaGeneral[[#This Row],[Peso del Racimo]]</f>
        <v>25.0039944</v>
      </c>
      <c r="W39">
        <f>+TablaGeneral[[#This Row],[Plantas]]*TablaGeneral[[#This Row],[Kg x Planta]]</f>
        <v>176028.12057599999</v>
      </c>
      <c r="X39">
        <f>+TablaGeneral[[#This Row],[Kg x Cuartel]]/TablaGeneral[[#This Row],[Has]]</f>
        <v>40006.391039999995</v>
      </c>
      <c r="Y39" t="s">
        <v>41</v>
      </c>
      <c r="Z39">
        <v>130</v>
      </c>
      <c r="AA39">
        <f>+TablaGeneral[[#This Row],[Rendimiento Poda]]*1.5</f>
        <v>195</v>
      </c>
      <c r="AB39">
        <v>203</v>
      </c>
      <c r="AC39">
        <v>500</v>
      </c>
      <c r="AD39">
        <v>500</v>
      </c>
      <c r="AE39">
        <v>500</v>
      </c>
      <c r="AF39">
        <v>300</v>
      </c>
      <c r="AG39">
        <f>+IFERROR(TablaGeneral[[#This Row],[Plantas]]/TablaGeneral[[#This Row],[Rendimiento Poda]],0)</f>
        <v>54.153846153846153</v>
      </c>
      <c r="AH39">
        <f>+TablaGeneral[[#This Row],[Plantas]]/TablaGeneral[[#This Row],[Rendimiento Atada]]</f>
        <v>36.102564102564102</v>
      </c>
      <c r="AI39">
        <f>+IFERROR(TablaGeneral[[#This Row],[Plantas]]/TablaGeneral[[#This Row],[Rendimiento Desbrote de troncos]],0)</f>
        <v>34.679802955665025</v>
      </c>
      <c r="AJ39" s="2">
        <f>+IFERROR(TablaGeneral[[#This Row],[Plantas]]/TablaGeneral[[#This Row],[Rendimiento Acomodo de brotes ]],0)</f>
        <v>14.08</v>
      </c>
      <c r="AK39">
        <f>+IFERROR(TablaGeneral[[#This Row],[Plantas]]/TablaGeneral[[#This Row],[Rendimiento Desniete, deshoje ]],0)</f>
        <v>14.08</v>
      </c>
      <c r="AL39">
        <f>+IFERROR(TablaGeneral[[#This Row],[Plantas]]/TablaGeneral[[#This Row],[Rendimiento Desbrote con criterio de Poda]],0)</f>
        <v>14.08</v>
      </c>
      <c r="AM39">
        <f>+IFERROR(TablaGeneral[[#This Row],[Plantas]]/TablaGeneral[[#This Row],[Rendimiento Raleo de Racimos]],0)</f>
        <v>23.466666666666665</v>
      </c>
      <c r="AN39">
        <f t="shared" ref="AN39:AN50" si="55">+H39/3410</f>
        <v>2.064516129032258</v>
      </c>
      <c r="AO39">
        <f t="shared" ref="AO39:AO50" si="56">+H39/12957</f>
        <v>0.543335648684109</v>
      </c>
      <c r="AP39">
        <f t="shared" ref="AP39:AP50" si="57">+H39/16190</f>
        <v>0.43483631871525635</v>
      </c>
      <c r="AQ39">
        <f t="shared" ref="AQ39:AQ50" si="58">+H39/12957</f>
        <v>0.543335648684109</v>
      </c>
      <c r="AR39">
        <f t="shared" ref="AR39:AR50" si="59">+H39/2699.375</f>
        <v>2.6080111136837232</v>
      </c>
      <c r="AS39">
        <f t="shared" ref="AS39:AS50" si="60">+H39/899.79</f>
        <v>7.8240478333833456</v>
      </c>
      <c r="AT39">
        <f t="shared" ref="AT39:AT50" si="61">+H39/719.833</f>
        <v>9.7800462051614758</v>
      </c>
      <c r="AU39">
        <f t="shared" ref="AU39:AU50" si="62">+H39/1322.14</f>
        <v>5.3247008637511906</v>
      </c>
      <c r="AW39">
        <f t="shared" ref="AW39:AW50" si="63">+H39/21595</f>
        <v>0.3260013892104654</v>
      </c>
      <c r="AX39">
        <f t="shared" ref="AX39:AX50" si="64">+H39/681.947</f>
        <v>10.323382902190346</v>
      </c>
      <c r="AY39">
        <f t="shared" ref="AY39:AY50" si="65">+H39/2699.38</f>
        <v>2.6080062829242268</v>
      </c>
      <c r="AZ39">
        <f t="shared" ref="AZ39:AZ50" si="66">+H39/588.955</f>
        <v>11.953375045631669</v>
      </c>
      <c r="BA39">
        <f t="shared" ref="BA39:BA50" si="67">+H39/5398.75</f>
        <v>1.3040055568418616</v>
      </c>
      <c r="BC39">
        <f t="shared" ref="BC39:BC50" si="68">+H39/3501.89</f>
        <v>2.0103429862160147</v>
      </c>
      <c r="BD39">
        <f t="shared" ref="BD39:BD50" si="69">+H39/1439</f>
        <v>4.8922863099374565</v>
      </c>
      <c r="BF39">
        <f t="shared" ref="BF39:BF50" si="70">+H39/3926</f>
        <v>1.7931737137035151</v>
      </c>
      <c r="BG39">
        <f t="shared" ref="BG39:BG50" si="71">+H39/2089</f>
        <v>3.3700335088559119</v>
      </c>
      <c r="BH39">
        <f t="shared" ref="BH39:BH50" si="72">+H39/1439</f>
        <v>4.8922863099374565</v>
      </c>
      <c r="BI39">
        <f t="shared" ref="BI39:BI50" si="73">+H39/6478</f>
        <v>1.0867551713491819</v>
      </c>
      <c r="BJ39">
        <f t="shared" ref="BJ39:BJ50" si="74">+H39/1905</f>
        <v>3.6955380577427821</v>
      </c>
      <c r="BK39">
        <f t="shared" ref="BK39:BK50" si="75">+H39/5889</f>
        <v>1.1954491424690101</v>
      </c>
      <c r="BL39">
        <f t="shared" ref="BL39:BL50" si="76">+H39/1028.33</f>
        <v>6.8460513648342465</v>
      </c>
      <c r="BM39">
        <f t="shared" ref="BM39:BM50" si="77">+H39/2159</f>
        <v>3.2607688744789254</v>
      </c>
      <c r="BN39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469.48512533089786</v>
      </c>
      <c r="BO39" s="1">
        <f>+TablaGeneral[[#This Row],[Combustible]]/100</f>
        <v>4.694851253308979</v>
      </c>
      <c r="BP39" s="1">
        <f>+TablaGeneral[[#This Row],[Combustible]]/150</f>
        <v>3.1299008355393192</v>
      </c>
      <c r="BQ39" s="1">
        <f>+TablaGeneral[[#This Row],[Combustible]]/200</f>
        <v>2.3474256266544895</v>
      </c>
      <c r="BR39">
        <f t="shared" ref="BR39:BR50" si="78">+H39/1295</f>
        <v>5.4362934362934361</v>
      </c>
      <c r="BS39">
        <f t="shared" ref="BS39:BS50" si="79">+H39/996</f>
        <v>7.0682730923694779</v>
      </c>
      <c r="BT39">
        <f t="shared" ref="BT39:BT50" si="80">+H39/432</f>
        <v>16.296296296296298</v>
      </c>
      <c r="BU39">
        <f t="shared" ref="BU39:BU50" si="81">+H39/3598</f>
        <v>1.9566425792106725</v>
      </c>
      <c r="BW39">
        <f t="shared" si="48"/>
        <v>1.956098916365657</v>
      </c>
      <c r="BX39">
        <f>+H39/2491</f>
        <v>2.8261742272179848</v>
      </c>
      <c r="BY39">
        <f t="shared" ref="BY39:BY50" si="82">+H39/1222</f>
        <v>5.7610474631751227</v>
      </c>
      <c r="BZ39">
        <f t="shared" ref="BZ39:BZ50" si="83">+H39/1851</f>
        <v>3.803349540788763</v>
      </c>
      <c r="CA39">
        <f t="shared" si="49"/>
        <v>4.7826086956521738</v>
      </c>
      <c r="CB39">
        <f t="shared" si="50"/>
        <v>1.956098916365657</v>
      </c>
      <c r="CC39">
        <f t="shared" si="51"/>
        <v>0.65203297212188571</v>
      </c>
      <c r="CF39">
        <f t="shared" si="52"/>
        <v>10.650529500756429</v>
      </c>
      <c r="CG39">
        <f t="shared" si="53"/>
        <v>0.97804945818282851</v>
      </c>
      <c r="CH39">
        <f t="shared" si="54"/>
        <v>0.869350456902939</v>
      </c>
      <c r="CI39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18.910369002120259</v>
      </c>
      <c r="CJ39" s="59">
        <f>+TablaGeneral[[#This Row],[Tracto elevador]]+TablaGeneral[[#This Row],[Tractor con uñas]]+TablaGeneral[[#This Row],[Tractor con acoplado]]</f>
        <v>23.364569388665775</v>
      </c>
      <c r="CK39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4.6735741423037522</v>
      </c>
      <c r="CL39" s="60">
        <f>+SUM(BR39:BV39)+TablaGeneral[[#This Row],[Cosecha DOV]]+TablaGeneral[[#This Row],[Corte DOV]]</f>
        <v>30.757505404169883</v>
      </c>
      <c r="CM39" s="60">
        <f>+SUM(TablaGeneral[[#This Row],[Colocación de malla]:[Descarga y carga de bines con Autoelevador]])</f>
        <v>34.235340147529442</v>
      </c>
      <c r="CN39" s="59"/>
      <c r="CO39" s="59"/>
      <c r="CP39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39" t="str">
        <f>+TablaGeneral[[#This Row],[Variedad]]&amp;" "&amp;TablaGeneral[[#This Row],[Año de plantación]]</f>
        <v xml:space="preserve">Flame </v>
      </c>
      <c r="CR39" t="str">
        <f>+IF(TablaGeneral[[#This Row],[Finca]]="El Espejo I","El Espejo I y II",IF(TablaGeneral[[#This Row],[Finca]]="El Espejo II","El Espejo I y II",TablaGeneral[[#This Row],[Finca]]))</f>
        <v>La Chimbera</v>
      </c>
    </row>
    <row r="40" spans="1:96">
      <c r="A40" t="s">
        <v>12</v>
      </c>
      <c r="B40">
        <v>17</v>
      </c>
      <c r="C40">
        <v>2.2000000000000002</v>
      </c>
      <c r="D40" t="s">
        <v>6</v>
      </c>
      <c r="E40">
        <v>45000</v>
      </c>
      <c r="F40" s="2">
        <f>+TablaGeneral[[#This Row],[Has]]*TablaGeneral[[#This Row],[Kg x Has]]</f>
        <v>99000.000000000015</v>
      </c>
      <c r="G40" s="2">
        <f>+TablaGeneral[[#This Row],[Kg 2026]]/4</f>
        <v>24750.000000000004</v>
      </c>
      <c r="H40">
        <v>3584</v>
      </c>
      <c r="J40" t="s">
        <v>20</v>
      </c>
      <c r="K40">
        <f>10000/IF(LEN(TablaGeneral[[#This Row],[Marco de plantación]])&gt;3,(MID(TablaGeneral[[#This Row],[Marco de plantación]],1,3)*MID(TablaGeneral[[#This Row],[Marco de plantación]],5,3)),(3*2))</f>
        <v>1600</v>
      </c>
      <c r="L40">
        <v>12</v>
      </c>
      <c r="M40">
        <f>+TablaGeneral[[#This Row],[Plantas x Has]]*TablaGeneral[[#This Row],[N° de Guías x planta]]</f>
        <v>19200</v>
      </c>
      <c r="N40">
        <v>8</v>
      </c>
      <c r="O40">
        <f>+TablaGeneral[[#This Row],[N° de Guías x planta]]*TablaGeneral[[#This Row],[N° de Yemas x Guias]]</f>
        <v>96</v>
      </c>
      <c r="P40">
        <v>0.7</v>
      </c>
      <c r="Q40">
        <f>+TablaGeneral[[#This Row],[N° de Yemas x Planta]]*TablaGeneral[[#This Row],[% de Brotación]]</f>
        <v>67.199999999999989</v>
      </c>
      <c r="R40">
        <v>0.85</v>
      </c>
      <c r="S40">
        <v>1.5</v>
      </c>
      <c r="T40">
        <f>+TablaGeneral[[#This Row],[N° de Brotes x Planta]]*TablaGeneral[[#This Row],[% de Fertilidad]]*TablaGeneral[[#This Row],[Cantidad de Racimos x Brote]]</f>
        <v>85.679999999999978</v>
      </c>
      <c r="U40">
        <v>0.32240000000000002</v>
      </c>
      <c r="V40">
        <f>+TablaGeneral[[#This Row],[Cantidad de Racimos x Planta]]*TablaGeneral[[#This Row],[Peso del Racimo]]</f>
        <v>27.623231999999994</v>
      </c>
      <c r="W40">
        <f>+TablaGeneral[[#This Row],[Plantas]]*TablaGeneral[[#This Row],[Kg x Planta]]</f>
        <v>99001.663487999976</v>
      </c>
      <c r="X40">
        <f>+TablaGeneral[[#This Row],[Kg x Cuartel]]/TablaGeneral[[#This Row],[Has]]</f>
        <v>45000.756130909074</v>
      </c>
      <c r="Y40" t="s">
        <v>42</v>
      </c>
      <c r="Z40">
        <v>130</v>
      </c>
      <c r="AA40">
        <f>+TablaGeneral[[#This Row],[Rendimiento Poda]]*1.5</f>
        <v>195</v>
      </c>
      <c r="AB40">
        <v>203</v>
      </c>
      <c r="AC40">
        <v>500</v>
      </c>
      <c r="AD40">
        <v>500</v>
      </c>
      <c r="AE40">
        <v>500</v>
      </c>
      <c r="AF40">
        <v>300</v>
      </c>
      <c r="AG40">
        <f>+IFERROR(TablaGeneral[[#This Row],[Plantas]]/TablaGeneral[[#This Row],[Rendimiento Poda]],0)</f>
        <v>27.569230769230771</v>
      </c>
      <c r="AH40">
        <f>+TablaGeneral[[#This Row],[Plantas]]/TablaGeneral[[#This Row],[Rendimiento Atada]]</f>
        <v>18.379487179487178</v>
      </c>
      <c r="AI40">
        <f>+IFERROR(TablaGeneral[[#This Row],[Plantas]]/TablaGeneral[[#This Row],[Rendimiento Desbrote de troncos]],0)</f>
        <v>17.655172413793103</v>
      </c>
      <c r="AJ40" s="2">
        <f>+IFERROR(TablaGeneral[[#This Row],[Plantas]]/TablaGeneral[[#This Row],[Rendimiento Acomodo de brotes ]],0)</f>
        <v>7.1680000000000001</v>
      </c>
      <c r="AK40">
        <f>+IFERROR(TablaGeneral[[#This Row],[Plantas]]/TablaGeneral[[#This Row],[Rendimiento Desniete, deshoje ]],0)</f>
        <v>7.1680000000000001</v>
      </c>
      <c r="AL40">
        <f>+IFERROR(TablaGeneral[[#This Row],[Plantas]]/TablaGeneral[[#This Row],[Rendimiento Desbrote con criterio de Poda]],0)</f>
        <v>7.1680000000000001</v>
      </c>
      <c r="AM40">
        <f>+IFERROR(TablaGeneral[[#This Row],[Plantas]]/TablaGeneral[[#This Row],[Rendimiento Raleo de Racimos]],0)</f>
        <v>11.946666666666667</v>
      </c>
      <c r="AN40">
        <f t="shared" si="55"/>
        <v>1.0510263929618768</v>
      </c>
      <c r="AO40">
        <f t="shared" si="56"/>
        <v>0.27660723933009185</v>
      </c>
      <c r="AP40">
        <f t="shared" si="57"/>
        <v>0.22137121680049412</v>
      </c>
      <c r="AQ40">
        <f t="shared" si="58"/>
        <v>0.27660723933009185</v>
      </c>
      <c r="AR40">
        <f t="shared" si="59"/>
        <v>1.3277147487844407</v>
      </c>
      <c r="AS40">
        <f t="shared" si="60"/>
        <v>3.9831516242678848</v>
      </c>
      <c r="AT40">
        <f t="shared" si="61"/>
        <v>4.9789326135367507</v>
      </c>
      <c r="AU40">
        <f t="shared" si="62"/>
        <v>2.7107568033642426</v>
      </c>
      <c r="AW40">
        <f t="shared" si="63"/>
        <v>0.16596434359805509</v>
      </c>
      <c r="AX40">
        <f t="shared" si="64"/>
        <v>5.2555403865696304</v>
      </c>
      <c r="AY40">
        <f t="shared" si="65"/>
        <v>1.3277122894886975</v>
      </c>
      <c r="AZ40">
        <f t="shared" si="66"/>
        <v>6.0853545686852133</v>
      </c>
      <c r="BA40">
        <f t="shared" si="67"/>
        <v>0.66385737439222037</v>
      </c>
      <c r="BC40">
        <f t="shared" si="68"/>
        <v>1.023447338437244</v>
      </c>
      <c r="BD40">
        <f t="shared" si="69"/>
        <v>2.4906184850590689</v>
      </c>
      <c r="BF40">
        <f t="shared" si="70"/>
        <v>0.91288843606724401</v>
      </c>
      <c r="BG40">
        <f t="shared" si="71"/>
        <v>1.7156534226902824</v>
      </c>
      <c r="BH40">
        <f t="shared" si="72"/>
        <v>2.4906184850590689</v>
      </c>
      <c r="BI40">
        <f t="shared" si="73"/>
        <v>0.55325717814140163</v>
      </c>
      <c r="BJ40">
        <f t="shared" si="74"/>
        <v>1.8813648293963254</v>
      </c>
      <c r="BK40">
        <f t="shared" si="75"/>
        <v>0.60859229071149601</v>
      </c>
      <c r="BL40">
        <f t="shared" si="76"/>
        <v>3.4852625130065253</v>
      </c>
      <c r="BM40">
        <f t="shared" si="77"/>
        <v>1.6600277906438166</v>
      </c>
      <c r="BN40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239.01060925936616</v>
      </c>
      <c r="BO40" s="1">
        <f>+TablaGeneral[[#This Row],[Combustible]]/100</f>
        <v>2.3901060925936615</v>
      </c>
      <c r="BP40" s="1">
        <f>+TablaGeneral[[#This Row],[Combustible]]/150</f>
        <v>1.5934040617291076</v>
      </c>
      <c r="BQ40" s="1">
        <f>+TablaGeneral[[#This Row],[Combustible]]/200</f>
        <v>1.1950530462968307</v>
      </c>
      <c r="BR40">
        <f t="shared" si="78"/>
        <v>2.7675675675675677</v>
      </c>
      <c r="BS40">
        <f t="shared" si="79"/>
        <v>3.5983935742971886</v>
      </c>
      <c r="BT40">
        <f t="shared" si="80"/>
        <v>8.2962962962962958</v>
      </c>
      <c r="BU40">
        <f t="shared" si="81"/>
        <v>0.99610894941634243</v>
      </c>
      <c r="BW40">
        <f t="shared" si="48"/>
        <v>0.99583217560433457</v>
      </c>
      <c r="BX40">
        <f t="shared" ref="BX40:BX50" si="84">+H40/2491</f>
        <v>1.4387796065837013</v>
      </c>
      <c r="BY40">
        <f t="shared" si="82"/>
        <v>2.9328968903436987</v>
      </c>
      <c r="BZ40">
        <f t="shared" si="83"/>
        <v>1.936250675310643</v>
      </c>
      <c r="CA40">
        <f t="shared" si="49"/>
        <v>2.4347826086956523</v>
      </c>
      <c r="CB40">
        <f t="shared" si="50"/>
        <v>0.99583217560433457</v>
      </c>
      <c r="CC40">
        <f t="shared" si="51"/>
        <v>0.33194405853477815</v>
      </c>
      <c r="CF40">
        <f t="shared" si="52"/>
        <v>5.4220877458396366</v>
      </c>
      <c r="CG40">
        <f t="shared" si="53"/>
        <v>0.49791608780216728</v>
      </c>
      <c r="CH40">
        <f t="shared" si="54"/>
        <v>0.44257841442331441</v>
      </c>
      <c r="CI40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9.6270969465339498</v>
      </c>
      <c r="CJ40" s="59">
        <f>+TablaGeneral[[#This Row],[Tracto elevador]]+TablaGeneral[[#This Row],[Tractor con uñas]]+TablaGeneral[[#This Row],[Tractor con acoplado]]</f>
        <v>11.894689870593485</v>
      </c>
      <c r="CK40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2.3792741088091831</v>
      </c>
      <c r="CL40" s="60">
        <f>+SUM(BR40:BV40)+TablaGeneral[[#This Row],[Cosecha DOV]]+TablaGeneral[[#This Row],[Corte DOV]]</f>
        <v>15.658366387577395</v>
      </c>
      <c r="CM40" s="60">
        <f>+SUM(TablaGeneral[[#This Row],[Colocación de malla]:[Descarga y carga de bines con Autoelevador]])</f>
        <v>17.428900438742257</v>
      </c>
      <c r="CN40" s="59"/>
      <c r="CO40" s="59"/>
      <c r="CP40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40" t="str">
        <f>+TablaGeneral[[#This Row],[Variedad]]&amp;" "&amp;TablaGeneral[[#This Row],[Año de plantación]]</f>
        <v xml:space="preserve">Flame </v>
      </c>
      <c r="CR40" t="str">
        <f>+IF(TablaGeneral[[#This Row],[Finca]]="El Espejo I","El Espejo I y II",IF(TablaGeneral[[#This Row],[Finca]]="El Espejo II","El Espejo I y II",TablaGeneral[[#This Row],[Finca]]))</f>
        <v>La Chimbera</v>
      </c>
    </row>
    <row r="41" spans="1:96">
      <c r="A41" t="s">
        <v>12</v>
      </c>
      <c r="B41">
        <v>18</v>
      </c>
      <c r="C41">
        <v>4.4000000000000004</v>
      </c>
      <c r="D41" t="s">
        <v>6</v>
      </c>
      <c r="E41">
        <v>40000</v>
      </c>
      <c r="F41" s="2">
        <f>+TablaGeneral[[#This Row],[Has]]*TablaGeneral[[#This Row],[Kg x Has]]</f>
        <v>176000</v>
      </c>
      <c r="G41" s="2">
        <f>+TablaGeneral[[#This Row],[Kg 2026]]/4</f>
        <v>44000</v>
      </c>
      <c r="H41">
        <v>7040</v>
      </c>
      <c r="J41" t="s">
        <v>20</v>
      </c>
      <c r="K41">
        <f>10000/IF(LEN(TablaGeneral[[#This Row],[Marco de plantación]])&gt;3,(MID(TablaGeneral[[#This Row],[Marco de plantación]],1,3)*MID(TablaGeneral[[#This Row],[Marco de plantación]],5,3)),(3*2))</f>
        <v>1600</v>
      </c>
      <c r="L41">
        <v>12</v>
      </c>
      <c r="M41">
        <f>+TablaGeneral[[#This Row],[Plantas x Has]]*TablaGeneral[[#This Row],[N° de Guías x planta]]</f>
        <v>19200</v>
      </c>
      <c r="N41">
        <v>9</v>
      </c>
      <c r="O41">
        <f>+TablaGeneral[[#This Row],[N° de Guías x planta]]*TablaGeneral[[#This Row],[N° de Yemas x Guias]]</f>
        <v>108</v>
      </c>
      <c r="P41">
        <v>0.7</v>
      </c>
      <c r="Q41">
        <f>+TablaGeneral[[#This Row],[N° de Yemas x Planta]]*TablaGeneral[[#This Row],[% de Brotación]]</f>
        <v>75.599999999999994</v>
      </c>
      <c r="R41">
        <v>0.7</v>
      </c>
      <c r="S41">
        <v>1.5</v>
      </c>
      <c r="T41">
        <f>+TablaGeneral[[#This Row],[N° de Brotes x Planta]]*TablaGeneral[[#This Row],[% de Fertilidad]]*TablaGeneral[[#This Row],[Cantidad de Racimos x Brote]]</f>
        <v>79.38</v>
      </c>
      <c r="U41">
        <v>0.31498999999999999</v>
      </c>
      <c r="V41">
        <f>+TablaGeneral[[#This Row],[Cantidad de Racimos x Planta]]*TablaGeneral[[#This Row],[Peso del Racimo]]</f>
        <v>25.003906199999999</v>
      </c>
      <c r="W41">
        <f>+TablaGeneral[[#This Row],[Plantas]]*TablaGeneral[[#This Row],[Kg x Planta]]</f>
        <v>176027.499648</v>
      </c>
      <c r="X41">
        <f>+TablaGeneral[[#This Row],[Kg x Cuartel]]/TablaGeneral[[#This Row],[Has]]</f>
        <v>40006.249919999995</v>
      </c>
      <c r="Y41" t="s">
        <v>42</v>
      </c>
      <c r="Z41">
        <v>130</v>
      </c>
      <c r="AA41">
        <f>+TablaGeneral[[#This Row],[Rendimiento Poda]]*1.5</f>
        <v>195</v>
      </c>
      <c r="AB41">
        <v>203</v>
      </c>
      <c r="AC41">
        <v>500</v>
      </c>
      <c r="AD41">
        <v>500</v>
      </c>
      <c r="AE41">
        <v>500</v>
      </c>
      <c r="AF41">
        <v>300</v>
      </c>
      <c r="AG41">
        <f>+IFERROR(TablaGeneral[[#This Row],[Plantas]]/TablaGeneral[[#This Row],[Rendimiento Poda]],0)</f>
        <v>54.153846153846153</v>
      </c>
      <c r="AH41">
        <f>+TablaGeneral[[#This Row],[Plantas]]/TablaGeneral[[#This Row],[Rendimiento Atada]]</f>
        <v>36.102564102564102</v>
      </c>
      <c r="AI41">
        <f>+IFERROR(TablaGeneral[[#This Row],[Plantas]]/TablaGeneral[[#This Row],[Rendimiento Desbrote de troncos]],0)</f>
        <v>34.679802955665025</v>
      </c>
      <c r="AJ41" s="2">
        <f>+IFERROR(TablaGeneral[[#This Row],[Plantas]]/TablaGeneral[[#This Row],[Rendimiento Acomodo de brotes ]],0)</f>
        <v>14.08</v>
      </c>
      <c r="AK41">
        <f>+IFERROR(TablaGeneral[[#This Row],[Plantas]]/TablaGeneral[[#This Row],[Rendimiento Desniete, deshoje ]],0)</f>
        <v>14.08</v>
      </c>
      <c r="AL41">
        <f>+IFERROR(TablaGeneral[[#This Row],[Plantas]]/TablaGeneral[[#This Row],[Rendimiento Desbrote con criterio de Poda]],0)</f>
        <v>14.08</v>
      </c>
      <c r="AM41">
        <f>+IFERROR(TablaGeneral[[#This Row],[Plantas]]/TablaGeneral[[#This Row],[Rendimiento Raleo de Racimos]],0)</f>
        <v>23.466666666666665</v>
      </c>
      <c r="AN41">
        <f t="shared" si="55"/>
        <v>2.064516129032258</v>
      </c>
      <c r="AO41">
        <f t="shared" si="56"/>
        <v>0.543335648684109</v>
      </c>
      <c r="AP41">
        <f t="shared" si="57"/>
        <v>0.43483631871525635</v>
      </c>
      <c r="AQ41">
        <f t="shared" si="58"/>
        <v>0.543335648684109</v>
      </c>
      <c r="AR41">
        <f t="shared" si="59"/>
        <v>2.6080111136837232</v>
      </c>
      <c r="AS41">
        <f t="shared" si="60"/>
        <v>7.8240478333833456</v>
      </c>
      <c r="AT41">
        <f t="shared" si="61"/>
        <v>9.7800462051614758</v>
      </c>
      <c r="AU41">
        <f t="shared" si="62"/>
        <v>5.3247008637511906</v>
      </c>
      <c r="AW41">
        <f t="shared" si="63"/>
        <v>0.3260013892104654</v>
      </c>
      <c r="AX41">
        <f t="shared" si="64"/>
        <v>10.323382902190346</v>
      </c>
      <c r="AY41">
        <f t="shared" si="65"/>
        <v>2.6080062829242268</v>
      </c>
      <c r="AZ41">
        <f t="shared" si="66"/>
        <v>11.953375045631669</v>
      </c>
      <c r="BA41">
        <f t="shared" si="67"/>
        <v>1.3040055568418616</v>
      </c>
      <c r="BC41">
        <f t="shared" si="68"/>
        <v>2.0103429862160147</v>
      </c>
      <c r="BD41">
        <f t="shared" si="69"/>
        <v>4.8922863099374565</v>
      </c>
      <c r="BF41">
        <f t="shared" si="70"/>
        <v>1.7931737137035151</v>
      </c>
      <c r="BG41">
        <f t="shared" si="71"/>
        <v>3.3700335088559119</v>
      </c>
      <c r="BH41">
        <f t="shared" si="72"/>
        <v>4.8922863099374565</v>
      </c>
      <c r="BI41">
        <f t="shared" si="73"/>
        <v>1.0867551713491819</v>
      </c>
      <c r="BJ41">
        <f t="shared" si="74"/>
        <v>3.6955380577427821</v>
      </c>
      <c r="BK41">
        <f t="shared" si="75"/>
        <v>1.1954491424690101</v>
      </c>
      <c r="BL41">
        <f t="shared" si="76"/>
        <v>6.8460513648342465</v>
      </c>
      <c r="BM41">
        <f t="shared" si="77"/>
        <v>3.2607688744789254</v>
      </c>
      <c r="BN41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469.48512533089786</v>
      </c>
      <c r="BO41" s="1">
        <f>+TablaGeneral[[#This Row],[Combustible]]/100</f>
        <v>4.694851253308979</v>
      </c>
      <c r="BP41" s="1">
        <f>+TablaGeneral[[#This Row],[Combustible]]/150</f>
        <v>3.1299008355393192</v>
      </c>
      <c r="BQ41" s="1">
        <f>+TablaGeneral[[#This Row],[Combustible]]/200</f>
        <v>2.3474256266544895</v>
      </c>
      <c r="BR41">
        <f t="shared" si="78"/>
        <v>5.4362934362934361</v>
      </c>
      <c r="BS41">
        <f t="shared" si="79"/>
        <v>7.0682730923694779</v>
      </c>
      <c r="BT41">
        <f t="shared" si="80"/>
        <v>16.296296296296298</v>
      </c>
      <c r="BU41">
        <f t="shared" si="81"/>
        <v>1.9566425792106725</v>
      </c>
      <c r="BW41">
        <f t="shared" si="48"/>
        <v>1.956098916365657</v>
      </c>
      <c r="BX41">
        <f t="shared" si="84"/>
        <v>2.8261742272179848</v>
      </c>
      <c r="BY41">
        <f t="shared" si="82"/>
        <v>5.7610474631751227</v>
      </c>
      <c r="BZ41">
        <f t="shared" si="83"/>
        <v>3.803349540788763</v>
      </c>
      <c r="CA41">
        <f t="shared" si="49"/>
        <v>4.7826086956521738</v>
      </c>
      <c r="CB41">
        <f t="shared" si="50"/>
        <v>1.956098916365657</v>
      </c>
      <c r="CC41">
        <f t="shared" si="51"/>
        <v>0.65203297212188571</v>
      </c>
      <c r="CF41">
        <f t="shared" si="52"/>
        <v>10.650529500756429</v>
      </c>
      <c r="CG41">
        <f t="shared" si="53"/>
        <v>0.97804945818282851</v>
      </c>
      <c r="CH41">
        <f t="shared" si="54"/>
        <v>0.869350456902939</v>
      </c>
      <c r="CI41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18.910369002120259</v>
      </c>
      <c r="CJ41" s="59">
        <f>+TablaGeneral[[#This Row],[Tracto elevador]]+TablaGeneral[[#This Row],[Tractor con uñas]]+TablaGeneral[[#This Row],[Tractor con acoplado]]</f>
        <v>23.364569388665775</v>
      </c>
      <c r="CK41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4.6735741423037522</v>
      </c>
      <c r="CL41" s="60">
        <f>+SUM(BR41:BV41)+TablaGeneral[[#This Row],[Cosecha DOV]]+TablaGeneral[[#This Row],[Corte DOV]]</f>
        <v>30.757505404169883</v>
      </c>
      <c r="CM41" s="60">
        <f>+SUM(TablaGeneral[[#This Row],[Colocación de malla]:[Descarga y carga de bines con Autoelevador]])</f>
        <v>34.235340147529442</v>
      </c>
      <c r="CN41" s="59"/>
      <c r="CO41" s="59"/>
      <c r="CP41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41" t="str">
        <f>+TablaGeneral[[#This Row],[Variedad]]&amp;" "&amp;TablaGeneral[[#This Row],[Año de plantación]]</f>
        <v xml:space="preserve">Flame </v>
      </c>
      <c r="CR41" t="str">
        <f>+IF(TablaGeneral[[#This Row],[Finca]]="El Espejo I","El Espejo I y II",IF(TablaGeneral[[#This Row],[Finca]]="El Espejo II","El Espejo I y II",TablaGeneral[[#This Row],[Finca]]))</f>
        <v>La Chimbera</v>
      </c>
    </row>
    <row r="42" spans="1:96">
      <c r="A42" t="s">
        <v>12</v>
      </c>
      <c r="B42">
        <v>19</v>
      </c>
      <c r="C42">
        <v>2.2000000000000002</v>
      </c>
      <c r="D42" t="s">
        <v>6</v>
      </c>
      <c r="E42">
        <v>45000</v>
      </c>
      <c r="F42" s="2">
        <f>+TablaGeneral[[#This Row],[Has]]*TablaGeneral[[#This Row],[Kg x Has]]</f>
        <v>99000.000000000015</v>
      </c>
      <c r="G42" s="2">
        <f>+TablaGeneral[[#This Row],[Kg 2026]]/4</f>
        <v>24750.000000000004</v>
      </c>
      <c r="H42">
        <v>3584</v>
      </c>
      <c r="J42" t="s">
        <v>20</v>
      </c>
      <c r="K42">
        <f>10000/IF(LEN(TablaGeneral[[#This Row],[Marco de plantación]])&gt;3,(MID(TablaGeneral[[#This Row],[Marco de plantación]],1,3)*MID(TablaGeneral[[#This Row],[Marco de plantación]],5,3)),(3*2))</f>
        <v>1600</v>
      </c>
      <c r="L42">
        <v>12</v>
      </c>
      <c r="M42">
        <f>+TablaGeneral[[#This Row],[Plantas x Has]]*TablaGeneral[[#This Row],[N° de Guías x planta]]</f>
        <v>19200</v>
      </c>
      <c r="N42">
        <v>8</v>
      </c>
      <c r="O42">
        <f>+TablaGeneral[[#This Row],[N° de Guías x planta]]*TablaGeneral[[#This Row],[N° de Yemas x Guias]]</f>
        <v>96</v>
      </c>
      <c r="P42">
        <v>0.7</v>
      </c>
      <c r="Q42">
        <f>+TablaGeneral[[#This Row],[N° de Yemas x Planta]]*TablaGeneral[[#This Row],[% de Brotación]]</f>
        <v>67.199999999999989</v>
      </c>
      <c r="R42">
        <v>0.8</v>
      </c>
      <c r="S42">
        <v>1.5</v>
      </c>
      <c r="T42">
        <f>+TablaGeneral[[#This Row],[N° de Brotes x Planta]]*TablaGeneral[[#This Row],[% de Fertilidad]]*TablaGeneral[[#This Row],[Cantidad de Racimos x Brote]]</f>
        <v>80.639999999999986</v>
      </c>
      <c r="U42">
        <v>0.3427</v>
      </c>
      <c r="V42">
        <f>+TablaGeneral[[#This Row],[Cantidad de Racimos x Planta]]*TablaGeneral[[#This Row],[Peso del Racimo]]</f>
        <v>27.635327999999994</v>
      </c>
      <c r="W42">
        <f>+TablaGeneral[[#This Row],[Plantas]]*TablaGeneral[[#This Row],[Kg x Planta]]</f>
        <v>99045.015551999983</v>
      </c>
      <c r="X42">
        <f>+TablaGeneral[[#This Row],[Kg x Cuartel]]/TablaGeneral[[#This Row],[Has]]</f>
        <v>45020.461614545442</v>
      </c>
      <c r="Y42" t="s">
        <v>42</v>
      </c>
      <c r="Z42">
        <v>130</v>
      </c>
      <c r="AA42">
        <f>+TablaGeneral[[#This Row],[Rendimiento Poda]]*1.5</f>
        <v>195</v>
      </c>
      <c r="AB42">
        <v>203</v>
      </c>
      <c r="AC42">
        <v>500</v>
      </c>
      <c r="AD42">
        <v>500</v>
      </c>
      <c r="AE42">
        <v>500</v>
      </c>
      <c r="AF42">
        <v>300</v>
      </c>
      <c r="AG42">
        <f>+IFERROR(TablaGeneral[[#This Row],[Plantas]]/TablaGeneral[[#This Row],[Rendimiento Poda]],0)</f>
        <v>27.569230769230771</v>
      </c>
      <c r="AH42">
        <f>+TablaGeneral[[#This Row],[Plantas]]/TablaGeneral[[#This Row],[Rendimiento Atada]]</f>
        <v>18.379487179487178</v>
      </c>
      <c r="AI42">
        <f>+IFERROR(TablaGeneral[[#This Row],[Plantas]]/TablaGeneral[[#This Row],[Rendimiento Desbrote de troncos]],0)</f>
        <v>17.655172413793103</v>
      </c>
      <c r="AJ42" s="2">
        <f>+IFERROR(TablaGeneral[[#This Row],[Plantas]]/TablaGeneral[[#This Row],[Rendimiento Acomodo de brotes ]],0)</f>
        <v>7.1680000000000001</v>
      </c>
      <c r="AK42">
        <f>+IFERROR(TablaGeneral[[#This Row],[Plantas]]/TablaGeneral[[#This Row],[Rendimiento Desniete, deshoje ]],0)</f>
        <v>7.1680000000000001</v>
      </c>
      <c r="AL42">
        <f>+IFERROR(TablaGeneral[[#This Row],[Plantas]]/TablaGeneral[[#This Row],[Rendimiento Desbrote con criterio de Poda]],0)</f>
        <v>7.1680000000000001</v>
      </c>
      <c r="AM42">
        <f>+IFERROR(TablaGeneral[[#This Row],[Plantas]]/TablaGeneral[[#This Row],[Rendimiento Raleo de Racimos]],0)</f>
        <v>11.946666666666667</v>
      </c>
      <c r="AN42">
        <f t="shared" si="55"/>
        <v>1.0510263929618768</v>
      </c>
      <c r="AO42">
        <f t="shared" si="56"/>
        <v>0.27660723933009185</v>
      </c>
      <c r="AP42">
        <f t="shared" si="57"/>
        <v>0.22137121680049412</v>
      </c>
      <c r="AQ42">
        <f t="shared" si="58"/>
        <v>0.27660723933009185</v>
      </c>
      <c r="AR42">
        <f t="shared" si="59"/>
        <v>1.3277147487844407</v>
      </c>
      <c r="AS42">
        <f t="shared" si="60"/>
        <v>3.9831516242678848</v>
      </c>
      <c r="AT42">
        <f t="shared" si="61"/>
        <v>4.9789326135367507</v>
      </c>
      <c r="AU42">
        <f t="shared" si="62"/>
        <v>2.7107568033642426</v>
      </c>
      <c r="AW42">
        <f t="shared" si="63"/>
        <v>0.16596434359805509</v>
      </c>
      <c r="AX42">
        <f t="shared" si="64"/>
        <v>5.2555403865696304</v>
      </c>
      <c r="AY42">
        <f t="shared" si="65"/>
        <v>1.3277122894886975</v>
      </c>
      <c r="AZ42">
        <f t="shared" si="66"/>
        <v>6.0853545686852133</v>
      </c>
      <c r="BA42">
        <f t="shared" si="67"/>
        <v>0.66385737439222037</v>
      </c>
      <c r="BC42">
        <f t="shared" si="68"/>
        <v>1.023447338437244</v>
      </c>
      <c r="BD42">
        <f t="shared" si="69"/>
        <v>2.4906184850590689</v>
      </c>
      <c r="BF42">
        <f t="shared" si="70"/>
        <v>0.91288843606724401</v>
      </c>
      <c r="BG42">
        <f t="shared" si="71"/>
        <v>1.7156534226902824</v>
      </c>
      <c r="BH42">
        <f t="shared" si="72"/>
        <v>2.4906184850590689</v>
      </c>
      <c r="BI42">
        <f t="shared" si="73"/>
        <v>0.55325717814140163</v>
      </c>
      <c r="BJ42">
        <f t="shared" si="74"/>
        <v>1.8813648293963254</v>
      </c>
      <c r="BK42">
        <f t="shared" si="75"/>
        <v>0.60859229071149601</v>
      </c>
      <c r="BL42">
        <f t="shared" si="76"/>
        <v>3.4852625130065253</v>
      </c>
      <c r="BM42">
        <f t="shared" si="77"/>
        <v>1.6600277906438166</v>
      </c>
      <c r="BN42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239.01060925936616</v>
      </c>
      <c r="BO42" s="1">
        <f>+TablaGeneral[[#This Row],[Combustible]]/100</f>
        <v>2.3901060925936615</v>
      </c>
      <c r="BP42" s="1">
        <f>+TablaGeneral[[#This Row],[Combustible]]/150</f>
        <v>1.5934040617291076</v>
      </c>
      <c r="BQ42" s="1">
        <f>+TablaGeneral[[#This Row],[Combustible]]/200</f>
        <v>1.1950530462968307</v>
      </c>
      <c r="BR42">
        <f t="shared" si="78"/>
        <v>2.7675675675675677</v>
      </c>
      <c r="BS42">
        <f t="shared" si="79"/>
        <v>3.5983935742971886</v>
      </c>
      <c r="BT42">
        <f t="shared" si="80"/>
        <v>8.2962962962962958</v>
      </c>
      <c r="BU42">
        <f t="shared" si="81"/>
        <v>0.99610894941634243</v>
      </c>
      <c r="BW42">
        <f t="shared" si="48"/>
        <v>0.99583217560433457</v>
      </c>
      <c r="BX42">
        <f t="shared" si="84"/>
        <v>1.4387796065837013</v>
      </c>
      <c r="BY42">
        <f t="shared" si="82"/>
        <v>2.9328968903436987</v>
      </c>
      <c r="BZ42">
        <f t="shared" si="83"/>
        <v>1.936250675310643</v>
      </c>
      <c r="CA42">
        <f t="shared" si="49"/>
        <v>2.4347826086956523</v>
      </c>
      <c r="CB42">
        <f t="shared" si="50"/>
        <v>0.99583217560433457</v>
      </c>
      <c r="CC42">
        <f t="shared" si="51"/>
        <v>0.33194405853477815</v>
      </c>
      <c r="CF42">
        <f t="shared" si="52"/>
        <v>5.4220877458396366</v>
      </c>
      <c r="CG42">
        <f t="shared" si="53"/>
        <v>0.49791608780216728</v>
      </c>
      <c r="CH42">
        <f t="shared" si="54"/>
        <v>0.44257841442331441</v>
      </c>
      <c r="CI42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9.6270969465339498</v>
      </c>
      <c r="CJ42" s="59">
        <f>+TablaGeneral[[#This Row],[Tracto elevador]]+TablaGeneral[[#This Row],[Tractor con uñas]]+TablaGeneral[[#This Row],[Tractor con acoplado]]</f>
        <v>11.894689870593485</v>
      </c>
      <c r="CK42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2.3792741088091831</v>
      </c>
      <c r="CL42" s="60">
        <f>+SUM(BR42:BV42)+TablaGeneral[[#This Row],[Cosecha DOV]]+TablaGeneral[[#This Row],[Corte DOV]]</f>
        <v>15.658366387577395</v>
      </c>
      <c r="CM42" s="60">
        <f>+SUM(TablaGeneral[[#This Row],[Colocación de malla]:[Descarga y carga de bines con Autoelevador]])</f>
        <v>17.428900438742257</v>
      </c>
      <c r="CN42" s="59"/>
      <c r="CO42" s="59"/>
      <c r="CP42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42" t="str">
        <f>+TablaGeneral[[#This Row],[Variedad]]&amp;" "&amp;TablaGeneral[[#This Row],[Año de plantación]]</f>
        <v xml:space="preserve">Flame </v>
      </c>
      <c r="CR42" t="str">
        <f>+IF(TablaGeneral[[#This Row],[Finca]]="El Espejo I","El Espejo I y II",IF(TablaGeneral[[#This Row],[Finca]]="El Espejo II","El Espejo I y II",TablaGeneral[[#This Row],[Finca]]))</f>
        <v>La Chimbera</v>
      </c>
    </row>
    <row r="43" spans="1:96">
      <c r="A43" t="s">
        <v>12</v>
      </c>
      <c r="B43">
        <v>20</v>
      </c>
      <c r="C43">
        <v>4.4000000000000004</v>
      </c>
      <c r="D43" t="s">
        <v>10</v>
      </c>
      <c r="E43">
        <v>35000</v>
      </c>
      <c r="F43" s="2">
        <f>+TablaGeneral[[#This Row],[Has]]*TablaGeneral[[#This Row],[Kg x Has]]</f>
        <v>154000</v>
      </c>
      <c r="G43" s="2">
        <f>+TablaGeneral[[#This Row],[Kg 2026]]/4</f>
        <v>38500</v>
      </c>
      <c r="H43">
        <v>7040</v>
      </c>
      <c r="J43" t="s">
        <v>20</v>
      </c>
      <c r="K43">
        <f>10000/IF(LEN(TablaGeneral[[#This Row],[Marco de plantación]])&gt;3,(MID(TablaGeneral[[#This Row],[Marco de plantación]],1,3)*MID(TablaGeneral[[#This Row],[Marco de plantación]],5,3)),(3*2))</f>
        <v>1600</v>
      </c>
      <c r="L43">
        <v>11</v>
      </c>
      <c r="M43">
        <f>+TablaGeneral[[#This Row],[Plantas x Has]]*TablaGeneral[[#This Row],[N° de Guías x planta]]</f>
        <v>17600</v>
      </c>
      <c r="N43">
        <v>9</v>
      </c>
      <c r="O43">
        <f>+TablaGeneral[[#This Row],[N° de Guías x planta]]*TablaGeneral[[#This Row],[N° de Yemas x Guias]]</f>
        <v>99</v>
      </c>
      <c r="P43">
        <v>0.7</v>
      </c>
      <c r="Q43">
        <f>+TablaGeneral[[#This Row],[N° de Yemas x Planta]]*TablaGeneral[[#This Row],[% de Brotación]]</f>
        <v>69.3</v>
      </c>
      <c r="R43">
        <v>0.65</v>
      </c>
      <c r="S43">
        <v>1.5</v>
      </c>
      <c r="T43">
        <f>+TablaGeneral[[#This Row],[N° de Brotes x Planta]]*TablaGeneral[[#This Row],[% de Fertilidad]]*TablaGeneral[[#This Row],[Cantidad de Racimos x Brote]]</f>
        <v>67.567499999999995</v>
      </c>
      <c r="U43">
        <v>0.32379999999999998</v>
      </c>
      <c r="V43">
        <f>+TablaGeneral[[#This Row],[Cantidad de Racimos x Planta]]*TablaGeneral[[#This Row],[Peso del Racimo]]</f>
        <v>21.878356499999995</v>
      </c>
      <c r="W43">
        <f>+TablaGeneral[[#This Row],[Plantas]]*TablaGeneral[[#This Row],[Kg x Planta]]</f>
        <v>154023.62975999998</v>
      </c>
      <c r="X43">
        <f>+TablaGeneral[[#This Row],[Kg x Cuartel]]/TablaGeneral[[#This Row],[Has]]</f>
        <v>35005.370399999993</v>
      </c>
      <c r="Y43" t="s">
        <v>42</v>
      </c>
      <c r="Z43">
        <v>180</v>
      </c>
      <c r="AA43">
        <f>+TablaGeneral[[#This Row],[Rendimiento Poda]]*1.5</f>
        <v>270</v>
      </c>
      <c r="AB43">
        <v>203</v>
      </c>
      <c r="AC43">
        <v>500</v>
      </c>
      <c r="AD43">
        <v>500</v>
      </c>
      <c r="AE43">
        <v>500</v>
      </c>
      <c r="AF43">
        <v>300</v>
      </c>
      <c r="AG43">
        <f>+IFERROR(TablaGeneral[[#This Row],[Plantas]]/TablaGeneral[[#This Row],[Rendimiento Poda]],0)</f>
        <v>39.111111111111114</v>
      </c>
      <c r="AH43">
        <f>+TablaGeneral[[#This Row],[Plantas]]/TablaGeneral[[#This Row],[Rendimiento Atada]]</f>
        <v>26.074074074074073</v>
      </c>
      <c r="AI43">
        <f>+IFERROR(TablaGeneral[[#This Row],[Plantas]]/TablaGeneral[[#This Row],[Rendimiento Desbrote de troncos]],0)</f>
        <v>34.679802955665025</v>
      </c>
      <c r="AJ43" s="2">
        <f>+IFERROR(TablaGeneral[[#This Row],[Plantas]]/TablaGeneral[[#This Row],[Rendimiento Acomodo de brotes ]],0)</f>
        <v>14.08</v>
      </c>
      <c r="AK43">
        <f>+IFERROR(TablaGeneral[[#This Row],[Plantas]]/TablaGeneral[[#This Row],[Rendimiento Desniete, deshoje ]],0)</f>
        <v>14.08</v>
      </c>
      <c r="AL43">
        <f>+IFERROR(TablaGeneral[[#This Row],[Plantas]]/TablaGeneral[[#This Row],[Rendimiento Desbrote con criterio de Poda]],0)</f>
        <v>14.08</v>
      </c>
      <c r="AM43">
        <f>+IFERROR(TablaGeneral[[#This Row],[Plantas]]/TablaGeneral[[#This Row],[Rendimiento Raleo de Racimos]],0)</f>
        <v>23.466666666666665</v>
      </c>
      <c r="AN43">
        <f t="shared" si="55"/>
        <v>2.064516129032258</v>
      </c>
      <c r="AO43">
        <f t="shared" si="56"/>
        <v>0.543335648684109</v>
      </c>
      <c r="AP43">
        <f t="shared" si="57"/>
        <v>0.43483631871525635</v>
      </c>
      <c r="AQ43">
        <f t="shared" si="58"/>
        <v>0.543335648684109</v>
      </c>
      <c r="AR43">
        <f t="shared" si="59"/>
        <v>2.6080111136837232</v>
      </c>
      <c r="AS43">
        <f t="shared" si="60"/>
        <v>7.8240478333833456</v>
      </c>
      <c r="AT43">
        <f t="shared" si="61"/>
        <v>9.7800462051614758</v>
      </c>
      <c r="AU43">
        <f t="shared" si="62"/>
        <v>5.3247008637511906</v>
      </c>
      <c r="AW43">
        <f t="shared" si="63"/>
        <v>0.3260013892104654</v>
      </c>
      <c r="AX43">
        <f t="shared" si="64"/>
        <v>10.323382902190346</v>
      </c>
      <c r="AY43">
        <f t="shared" si="65"/>
        <v>2.6080062829242268</v>
      </c>
      <c r="AZ43">
        <f t="shared" si="66"/>
        <v>11.953375045631669</v>
      </c>
      <c r="BA43">
        <f t="shared" si="67"/>
        <v>1.3040055568418616</v>
      </c>
      <c r="BC43">
        <f t="shared" si="68"/>
        <v>2.0103429862160147</v>
      </c>
      <c r="BD43">
        <f t="shared" si="69"/>
        <v>4.8922863099374565</v>
      </c>
      <c r="BF43">
        <f t="shared" si="70"/>
        <v>1.7931737137035151</v>
      </c>
      <c r="BG43">
        <f t="shared" si="71"/>
        <v>3.3700335088559119</v>
      </c>
      <c r="BH43">
        <f t="shared" si="72"/>
        <v>4.8922863099374565</v>
      </c>
      <c r="BI43">
        <f t="shared" si="73"/>
        <v>1.0867551713491819</v>
      </c>
      <c r="BJ43">
        <f t="shared" si="74"/>
        <v>3.6955380577427821</v>
      </c>
      <c r="BK43">
        <f t="shared" si="75"/>
        <v>1.1954491424690101</v>
      </c>
      <c r="BL43">
        <f t="shared" si="76"/>
        <v>6.8460513648342465</v>
      </c>
      <c r="BM43">
        <f t="shared" si="77"/>
        <v>3.2607688744789254</v>
      </c>
      <c r="BN43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469.48512533089786</v>
      </c>
      <c r="BO43" s="1">
        <f>+TablaGeneral[[#This Row],[Combustible]]/100</f>
        <v>4.694851253308979</v>
      </c>
      <c r="BP43" s="1">
        <f>+TablaGeneral[[#This Row],[Combustible]]/150</f>
        <v>3.1299008355393192</v>
      </c>
      <c r="BQ43" s="1">
        <f>+TablaGeneral[[#This Row],[Combustible]]/200</f>
        <v>2.3474256266544895</v>
      </c>
      <c r="BR43">
        <f t="shared" si="78"/>
        <v>5.4362934362934361</v>
      </c>
      <c r="BS43">
        <f t="shared" si="79"/>
        <v>7.0682730923694779</v>
      </c>
      <c r="BT43">
        <f t="shared" si="80"/>
        <v>16.296296296296298</v>
      </c>
      <c r="BU43">
        <f t="shared" si="81"/>
        <v>1.9566425792106725</v>
      </c>
      <c r="BW43">
        <f t="shared" si="48"/>
        <v>1.956098916365657</v>
      </c>
      <c r="BX43">
        <f t="shared" si="84"/>
        <v>2.8261742272179848</v>
      </c>
      <c r="BY43">
        <f t="shared" si="82"/>
        <v>5.7610474631751227</v>
      </c>
      <c r="BZ43">
        <f t="shared" si="83"/>
        <v>3.803349540788763</v>
      </c>
      <c r="CA43">
        <f t="shared" si="49"/>
        <v>4.7826086956521738</v>
      </c>
      <c r="CB43">
        <f t="shared" si="50"/>
        <v>1.956098916365657</v>
      </c>
      <c r="CC43">
        <f t="shared" si="51"/>
        <v>0.65203297212188571</v>
      </c>
      <c r="CF43">
        <f t="shared" si="52"/>
        <v>10.650529500756429</v>
      </c>
      <c r="CG43">
        <f t="shared" si="53"/>
        <v>0.97804945818282851</v>
      </c>
      <c r="CH43">
        <f t="shared" si="54"/>
        <v>0.869350456902939</v>
      </c>
      <c r="CI43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18.910369002120259</v>
      </c>
      <c r="CJ43" s="59">
        <f>+TablaGeneral[[#This Row],[Tracto elevador]]+TablaGeneral[[#This Row],[Tractor con uñas]]+TablaGeneral[[#This Row],[Tractor con acoplado]]</f>
        <v>23.364569388665775</v>
      </c>
      <c r="CK43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4.6735741423037522</v>
      </c>
      <c r="CL43" s="60">
        <f>+SUM(BR43:BV43)+TablaGeneral[[#This Row],[Cosecha DOV]]+TablaGeneral[[#This Row],[Corte DOV]]</f>
        <v>30.757505404169883</v>
      </c>
      <c r="CM43" s="60">
        <f>+SUM(TablaGeneral[[#This Row],[Colocación de malla]:[Descarga y carga de bines con Autoelevador]])</f>
        <v>34.235340147529442</v>
      </c>
      <c r="CN43" s="59"/>
      <c r="CO43" s="59"/>
      <c r="CP43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43" t="str">
        <f>+TablaGeneral[[#This Row],[Variedad]]&amp;" "&amp;TablaGeneral[[#This Row],[Año de plantación]]</f>
        <v xml:space="preserve">Fiesta </v>
      </c>
      <c r="CR43" t="str">
        <f>+IF(TablaGeneral[[#This Row],[Finca]]="El Espejo I","El Espejo I y II",IF(TablaGeneral[[#This Row],[Finca]]="El Espejo II","El Espejo I y II",TablaGeneral[[#This Row],[Finca]]))</f>
        <v>La Chimbera</v>
      </c>
    </row>
    <row r="44" spans="1:96">
      <c r="A44" t="s">
        <v>12</v>
      </c>
      <c r="B44">
        <v>21</v>
      </c>
      <c r="C44">
        <v>2.2000000000000002</v>
      </c>
      <c r="D44" t="s">
        <v>6</v>
      </c>
      <c r="E44">
        <v>45000</v>
      </c>
      <c r="F44" s="2">
        <f>+TablaGeneral[[#This Row],[Has]]*TablaGeneral[[#This Row],[Kg x Has]]</f>
        <v>99000.000000000015</v>
      </c>
      <c r="G44" s="2">
        <f>+TablaGeneral[[#This Row],[Kg 2026]]/4</f>
        <v>24750.000000000004</v>
      </c>
      <c r="H44">
        <v>3584</v>
      </c>
      <c r="J44" t="s">
        <v>20</v>
      </c>
      <c r="K44">
        <f>10000/IF(LEN(TablaGeneral[[#This Row],[Marco de plantación]])&gt;3,(MID(TablaGeneral[[#This Row],[Marco de plantación]],1,3)*MID(TablaGeneral[[#This Row],[Marco de plantación]],5,3)),(3*2))</f>
        <v>1600</v>
      </c>
      <c r="L44">
        <v>12</v>
      </c>
      <c r="M44">
        <f>+TablaGeneral[[#This Row],[Plantas x Has]]*TablaGeneral[[#This Row],[N° de Guías x planta]]</f>
        <v>19200</v>
      </c>
      <c r="N44">
        <v>8</v>
      </c>
      <c r="O44">
        <f>+TablaGeneral[[#This Row],[N° de Guías x planta]]*TablaGeneral[[#This Row],[N° de Yemas x Guias]]</f>
        <v>96</v>
      </c>
      <c r="P44">
        <v>0.7</v>
      </c>
      <c r="Q44">
        <f>+TablaGeneral[[#This Row],[N° de Yemas x Planta]]*TablaGeneral[[#This Row],[% de Brotación]]</f>
        <v>67.199999999999989</v>
      </c>
      <c r="R44">
        <v>0.8</v>
      </c>
      <c r="S44">
        <v>1.5</v>
      </c>
      <c r="T44">
        <f>+TablaGeneral[[#This Row],[N° de Brotes x Planta]]*TablaGeneral[[#This Row],[% de Fertilidad]]*TablaGeneral[[#This Row],[Cantidad de Racimos x Brote]]</f>
        <v>80.639999999999986</v>
      </c>
      <c r="U44">
        <v>0.34260000000000002</v>
      </c>
      <c r="V44">
        <f>+TablaGeneral[[#This Row],[Cantidad de Racimos x Planta]]*TablaGeneral[[#This Row],[Peso del Racimo]]</f>
        <v>27.627263999999997</v>
      </c>
      <c r="W44">
        <f>+TablaGeneral[[#This Row],[Plantas]]*TablaGeneral[[#This Row],[Kg x Planta]]</f>
        <v>99016.114175999988</v>
      </c>
      <c r="X44">
        <f>+TablaGeneral[[#This Row],[Kg x Cuartel]]/TablaGeneral[[#This Row],[Has]]</f>
        <v>45007.324625454537</v>
      </c>
      <c r="Y44" t="s">
        <v>42</v>
      </c>
      <c r="Z44">
        <v>130</v>
      </c>
      <c r="AA44">
        <f>+TablaGeneral[[#This Row],[Rendimiento Poda]]*1.5</f>
        <v>195</v>
      </c>
      <c r="AB44">
        <v>203</v>
      </c>
      <c r="AC44">
        <v>500</v>
      </c>
      <c r="AD44">
        <v>500</v>
      </c>
      <c r="AE44">
        <v>500</v>
      </c>
      <c r="AF44">
        <v>300</v>
      </c>
      <c r="AG44">
        <f>+IFERROR(TablaGeneral[[#This Row],[Plantas]]/TablaGeneral[[#This Row],[Rendimiento Poda]],0)</f>
        <v>27.569230769230771</v>
      </c>
      <c r="AH44">
        <f>+TablaGeneral[[#This Row],[Plantas]]/TablaGeneral[[#This Row],[Rendimiento Atada]]</f>
        <v>18.379487179487178</v>
      </c>
      <c r="AI44">
        <f>+IFERROR(TablaGeneral[[#This Row],[Plantas]]/TablaGeneral[[#This Row],[Rendimiento Desbrote de troncos]],0)</f>
        <v>17.655172413793103</v>
      </c>
      <c r="AJ44" s="2">
        <f>+IFERROR(TablaGeneral[[#This Row],[Plantas]]/TablaGeneral[[#This Row],[Rendimiento Acomodo de brotes ]],0)</f>
        <v>7.1680000000000001</v>
      </c>
      <c r="AK44">
        <f>+IFERROR(TablaGeneral[[#This Row],[Plantas]]/TablaGeneral[[#This Row],[Rendimiento Desniete, deshoje ]],0)</f>
        <v>7.1680000000000001</v>
      </c>
      <c r="AL44">
        <f>+IFERROR(TablaGeneral[[#This Row],[Plantas]]/TablaGeneral[[#This Row],[Rendimiento Desbrote con criterio de Poda]],0)</f>
        <v>7.1680000000000001</v>
      </c>
      <c r="AM44">
        <f>+IFERROR(TablaGeneral[[#This Row],[Plantas]]/TablaGeneral[[#This Row],[Rendimiento Raleo de Racimos]],0)</f>
        <v>11.946666666666667</v>
      </c>
      <c r="AN44">
        <f t="shared" si="55"/>
        <v>1.0510263929618768</v>
      </c>
      <c r="AO44">
        <f t="shared" si="56"/>
        <v>0.27660723933009185</v>
      </c>
      <c r="AP44">
        <f t="shared" si="57"/>
        <v>0.22137121680049412</v>
      </c>
      <c r="AQ44">
        <f t="shared" si="58"/>
        <v>0.27660723933009185</v>
      </c>
      <c r="AR44">
        <f t="shared" si="59"/>
        <v>1.3277147487844407</v>
      </c>
      <c r="AS44">
        <f t="shared" si="60"/>
        <v>3.9831516242678848</v>
      </c>
      <c r="AT44">
        <f t="shared" si="61"/>
        <v>4.9789326135367507</v>
      </c>
      <c r="AU44">
        <f t="shared" si="62"/>
        <v>2.7107568033642426</v>
      </c>
      <c r="AW44">
        <f t="shared" si="63"/>
        <v>0.16596434359805509</v>
      </c>
      <c r="AX44">
        <f t="shared" si="64"/>
        <v>5.2555403865696304</v>
      </c>
      <c r="AY44">
        <f t="shared" si="65"/>
        <v>1.3277122894886975</v>
      </c>
      <c r="AZ44">
        <f t="shared" si="66"/>
        <v>6.0853545686852133</v>
      </c>
      <c r="BA44">
        <f t="shared" si="67"/>
        <v>0.66385737439222037</v>
      </c>
      <c r="BC44">
        <f t="shared" si="68"/>
        <v>1.023447338437244</v>
      </c>
      <c r="BD44">
        <f t="shared" si="69"/>
        <v>2.4906184850590689</v>
      </c>
      <c r="BF44">
        <f t="shared" si="70"/>
        <v>0.91288843606724401</v>
      </c>
      <c r="BG44">
        <f t="shared" si="71"/>
        <v>1.7156534226902824</v>
      </c>
      <c r="BH44">
        <f t="shared" si="72"/>
        <v>2.4906184850590689</v>
      </c>
      <c r="BI44">
        <f t="shared" si="73"/>
        <v>0.55325717814140163</v>
      </c>
      <c r="BJ44">
        <f t="shared" si="74"/>
        <v>1.8813648293963254</v>
      </c>
      <c r="BK44">
        <f t="shared" si="75"/>
        <v>0.60859229071149601</v>
      </c>
      <c r="BL44">
        <f t="shared" si="76"/>
        <v>3.4852625130065253</v>
      </c>
      <c r="BM44">
        <f t="shared" si="77"/>
        <v>1.6600277906438166</v>
      </c>
      <c r="BN44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239.01060925936616</v>
      </c>
      <c r="BO44" s="1">
        <f>+TablaGeneral[[#This Row],[Combustible]]/100</f>
        <v>2.3901060925936615</v>
      </c>
      <c r="BP44" s="1">
        <f>+TablaGeneral[[#This Row],[Combustible]]/150</f>
        <v>1.5934040617291076</v>
      </c>
      <c r="BQ44" s="1">
        <f>+TablaGeneral[[#This Row],[Combustible]]/200</f>
        <v>1.1950530462968307</v>
      </c>
      <c r="BR44">
        <f t="shared" si="78"/>
        <v>2.7675675675675677</v>
      </c>
      <c r="BS44">
        <f t="shared" si="79"/>
        <v>3.5983935742971886</v>
      </c>
      <c r="BT44">
        <f t="shared" si="80"/>
        <v>8.2962962962962958</v>
      </c>
      <c r="BU44">
        <f t="shared" si="81"/>
        <v>0.99610894941634243</v>
      </c>
      <c r="BW44">
        <f t="shared" ref="BW44:BW50" si="85">+H44/3599</f>
        <v>0.99583217560433457</v>
      </c>
      <c r="BX44">
        <f t="shared" si="84"/>
        <v>1.4387796065837013</v>
      </c>
      <c r="BY44">
        <f t="shared" si="82"/>
        <v>2.9328968903436987</v>
      </c>
      <c r="BZ44">
        <f t="shared" si="83"/>
        <v>1.936250675310643</v>
      </c>
      <c r="CA44">
        <f t="shared" si="49"/>
        <v>2.4347826086956523</v>
      </c>
      <c r="CB44">
        <f t="shared" si="50"/>
        <v>0.99583217560433457</v>
      </c>
      <c r="CC44">
        <f t="shared" si="51"/>
        <v>0.33194405853477815</v>
      </c>
      <c r="CF44">
        <f t="shared" si="52"/>
        <v>5.4220877458396366</v>
      </c>
      <c r="CG44">
        <f t="shared" si="53"/>
        <v>0.49791608780216728</v>
      </c>
      <c r="CH44">
        <f t="shared" si="54"/>
        <v>0.44257841442331441</v>
      </c>
      <c r="CI44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9.6270969465339498</v>
      </c>
      <c r="CJ44" s="59">
        <f>+TablaGeneral[[#This Row],[Tracto elevador]]+TablaGeneral[[#This Row],[Tractor con uñas]]+TablaGeneral[[#This Row],[Tractor con acoplado]]</f>
        <v>11.894689870593485</v>
      </c>
      <c r="CK44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2.3792741088091831</v>
      </c>
      <c r="CL44" s="60">
        <f>+SUM(BR44:BV44)+TablaGeneral[[#This Row],[Cosecha DOV]]+TablaGeneral[[#This Row],[Corte DOV]]</f>
        <v>15.658366387577395</v>
      </c>
      <c r="CM44" s="60">
        <f>+SUM(TablaGeneral[[#This Row],[Colocación de malla]:[Descarga y carga de bines con Autoelevador]])</f>
        <v>17.428900438742257</v>
      </c>
      <c r="CN44" s="59"/>
      <c r="CO44" s="59"/>
      <c r="CP44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44" t="str">
        <f>+TablaGeneral[[#This Row],[Variedad]]&amp;" "&amp;TablaGeneral[[#This Row],[Año de plantación]]</f>
        <v xml:space="preserve">Flame </v>
      </c>
      <c r="CR44" t="str">
        <f>+IF(TablaGeneral[[#This Row],[Finca]]="El Espejo I","El Espejo I y II",IF(TablaGeneral[[#This Row],[Finca]]="El Espejo II","El Espejo I y II",TablaGeneral[[#This Row],[Finca]]))</f>
        <v>La Chimbera</v>
      </c>
    </row>
    <row r="45" spans="1:96">
      <c r="A45" t="s">
        <v>12</v>
      </c>
      <c r="B45">
        <v>22</v>
      </c>
      <c r="C45">
        <v>2.6</v>
      </c>
      <c r="D45" t="s">
        <v>10</v>
      </c>
      <c r="E45">
        <v>45000</v>
      </c>
      <c r="F45" s="2">
        <f>+TablaGeneral[[#This Row],[Has]]*TablaGeneral[[#This Row],[Kg x Has]]</f>
        <v>117000</v>
      </c>
      <c r="G45" s="2">
        <f>+TablaGeneral[[#This Row],[Kg 2026]]/4</f>
        <v>29250</v>
      </c>
      <c r="H45">
        <v>4205</v>
      </c>
      <c r="J45" t="s">
        <v>20</v>
      </c>
      <c r="K45">
        <f>10000/IF(LEN(TablaGeneral[[#This Row],[Marco de plantación]])&gt;3,(MID(TablaGeneral[[#This Row],[Marco de plantación]],1,3)*MID(TablaGeneral[[#This Row],[Marco de plantación]],5,3)),(3*2))</f>
        <v>1600</v>
      </c>
      <c r="L45">
        <v>12</v>
      </c>
      <c r="M45">
        <f>+TablaGeneral[[#This Row],[Plantas x Has]]*TablaGeneral[[#This Row],[N° de Guías x planta]]</f>
        <v>19200</v>
      </c>
      <c r="N45">
        <v>8</v>
      </c>
      <c r="O45">
        <f>+TablaGeneral[[#This Row],[N° de Guías x planta]]*TablaGeneral[[#This Row],[N° de Yemas x Guias]]</f>
        <v>96</v>
      </c>
      <c r="P45">
        <v>0.8</v>
      </c>
      <c r="Q45">
        <f>+TablaGeneral[[#This Row],[N° de Yemas x Planta]]*TablaGeneral[[#This Row],[% de Brotación]]</f>
        <v>76.800000000000011</v>
      </c>
      <c r="R45">
        <v>0.8</v>
      </c>
      <c r="S45">
        <v>1</v>
      </c>
      <c r="T45">
        <f>+TablaGeneral[[#This Row],[N° de Brotes x Planta]]*TablaGeneral[[#This Row],[% de Fertilidad]]*TablaGeneral[[#This Row],[Cantidad de Racimos x Brote]]</f>
        <v>61.440000000000012</v>
      </c>
      <c r="U45">
        <v>0.45300000000000001</v>
      </c>
      <c r="V45">
        <f>+TablaGeneral[[#This Row],[Cantidad de Racimos x Planta]]*TablaGeneral[[#This Row],[Peso del Racimo]]</f>
        <v>27.832320000000006</v>
      </c>
      <c r="W45">
        <f>+TablaGeneral[[#This Row],[Plantas]]*TablaGeneral[[#This Row],[Kg x Planta]]</f>
        <v>117034.90560000003</v>
      </c>
      <c r="X45">
        <f>+TablaGeneral[[#This Row],[Kg x Cuartel]]/TablaGeneral[[#This Row],[Has]]</f>
        <v>45013.425230769237</v>
      </c>
      <c r="Y45" t="s">
        <v>42</v>
      </c>
      <c r="Z45">
        <v>130</v>
      </c>
      <c r="AA45">
        <f>+TablaGeneral[[#This Row],[Rendimiento Poda]]*1.5</f>
        <v>195</v>
      </c>
      <c r="AB45">
        <v>203</v>
      </c>
      <c r="AC45">
        <v>500</v>
      </c>
      <c r="AD45">
        <v>500</v>
      </c>
      <c r="AE45">
        <v>500</v>
      </c>
      <c r="AF45">
        <v>300</v>
      </c>
      <c r="AG45">
        <f>+IFERROR(TablaGeneral[[#This Row],[Plantas]]/TablaGeneral[[#This Row],[Rendimiento Poda]],0)</f>
        <v>32.346153846153847</v>
      </c>
      <c r="AH45">
        <f>+TablaGeneral[[#This Row],[Plantas]]/TablaGeneral[[#This Row],[Rendimiento Atada]]</f>
        <v>21.564102564102566</v>
      </c>
      <c r="AI45">
        <f>+IFERROR(TablaGeneral[[#This Row],[Plantas]]/TablaGeneral[[#This Row],[Rendimiento Desbrote de troncos]],0)</f>
        <v>20.714285714285715</v>
      </c>
      <c r="AJ45" s="2">
        <f>+IFERROR(TablaGeneral[[#This Row],[Plantas]]/TablaGeneral[[#This Row],[Rendimiento Acomodo de brotes ]],0)</f>
        <v>8.41</v>
      </c>
      <c r="AK45">
        <f>+IFERROR(TablaGeneral[[#This Row],[Plantas]]/TablaGeneral[[#This Row],[Rendimiento Desniete, deshoje ]],0)</f>
        <v>8.41</v>
      </c>
      <c r="AL45">
        <f>+IFERROR(TablaGeneral[[#This Row],[Plantas]]/TablaGeneral[[#This Row],[Rendimiento Desbrote con criterio de Poda]],0)</f>
        <v>8.41</v>
      </c>
      <c r="AM45">
        <f>+IFERROR(TablaGeneral[[#This Row],[Plantas]]/TablaGeneral[[#This Row],[Rendimiento Raleo de Racimos]],0)</f>
        <v>14.016666666666667</v>
      </c>
      <c r="AN45">
        <f t="shared" si="55"/>
        <v>1.2331378299120235</v>
      </c>
      <c r="AO45">
        <f t="shared" si="56"/>
        <v>0.32453500038589178</v>
      </c>
      <c r="AP45">
        <f t="shared" si="57"/>
        <v>0.25972822730080297</v>
      </c>
      <c r="AQ45">
        <f t="shared" si="58"/>
        <v>0.32453500038589178</v>
      </c>
      <c r="AR45">
        <f t="shared" si="59"/>
        <v>1.5577680018522806</v>
      </c>
      <c r="AS45">
        <f t="shared" si="60"/>
        <v>4.6733126618433189</v>
      </c>
      <c r="AT45">
        <f t="shared" si="61"/>
        <v>5.841632712031819</v>
      </c>
      <c r="AU45">
        <f t="shared" si="62"/>
        <v>3.1804498767150222</v>
      </c>
      <c r="AW45">
        <f t="shared" si="63"/>
        <v>0.19472100023153507</v>
      </c>
      <c r="AX45">
        <f t="shared" si="64"/>
        <v>6.1661683385952282</v>
      </c>
      <c r="AY45">
        <f t="shared" si="65"/>
        <v>1.5577651164341442</v>
      </c>
      <c r="AZ45">
        <f t="shared" si="66"/>
        <v>7.1397644981365298</v>
      </c>
      <c r="BA45">
        <f t="shared" si="67"/>
        <v>0.7788840009261403</v>
      </c>
      <c r="BC45">
        <f t="shared" si="68"/>
        <v>1.2007801501474917</v>
      </c>
      <c r="BD45">
        <f t="shared" si="69"/>
        <v>2.922168172341904</v>
      </c>
      <c r="BF45">
        <f t="shared" si="70"/>
        <v>1.0710646968925115</v>
      </c>
      <c r="BG45">
        <f t="shared" si="71"/>
        <v>2.0129248444231691</v>
      </c>
      <c r="BH45">
        <f t="shared" si="72"/>
        <v>2.922168172341904</v>
      </c>
      <c r="BI45">
        <f t="shared" si="73"/>
        <v>0.64912009879592469</v>
      </c>
      <c r="BJ45">
        <f t="shared" si="74"/>
        <v>2.2073490813648293</v>
      </c>
      <c r="BK45">
        <f t="shared" si="75"/>
        <v>0.71404313126167429</v>
      </c>
      <c r="BL45">
        <f t="shared" si="76"/>
        <v>4.0891542598193187</v>
      </c>
      <c r="BM45">
        <f t="shared" si="77"/>
        <v>1.9476609541454377</v>
      </c>
      <c r="BN45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280.42399886596945</v>
      </c>
      <c r="BO45" s="1">
        <f>+TablaGeneral[[#This Row],[Combustible]]/100</f>
        <v>2.8042399886596945</v>
      </c>
      <c r="BP45" s="1">
        <f>+TablaGeneral[[#This Row],[Combustible]]/150</f>
        <v>1.8694933257731297</v>
      </c>
      <c r="BQ45" s="1">
        <f>+TablaGeneral[[#This Row],[Combustible]]/200</f>
        <v>1.4021199943298472</v>
      </c>
      <c r="BR45">
        <f t="shared" si="78"/>
        <v>3.2471042471042471</v>
      </c>
      <c r="BS45">
        <f t="shared" si="79"/>
        <v>4.2218875502008029</v>
      </c>
      <c r="BT45">
        <f t="shared" si="80"/>
        <v>9.7337962962962958</v>
      </c>
      <c r="BU45">
        <f t="shared" si="81"/>
        <v>1.1687048360200112</v>
      </c>
      <c r="BW45">
        <f t="shared" si="85"/>
        <v>1.1683801055848846</v>
      </c>
      <c r="BX45">
        <f t="shared" si="84"/>
        <v>1.6880770774789242</v>
      </c>
      <c r="BY45">
        <f t="shared" si="82"/>
        <v>3.4410801963993451</v>
      </c>
      <c r="BZ45">
        <f t="shared" si="83"/>
        <v>2.2717450027012425</v>
      </c>
      <c r="CA45">
        <f t="shared" si="49"/>
        <v>2.8566576086956523</v>
      </c>
      <c r="CB45">
        <f t="shared" si="50"/>
        <v>1.1683801055848846</v>
      </c>
      <c r="CC45">
        <f t="shared" si="51"/>
        <v>0.38946003519496158</v>
      </c>
      <c r="CF45">
        <f t="shared" si="52"/>
        <v>6.3615733736762481</v>
      </c>
      <c r="CG45">
        <f t="shared" si="53"/>
        <v>0.58419005279244229</v>
      </c>
      <c r="CH45">
        <f t="shared" si="54"/>
        <v>0.51926401580637194</v>
      </c>
      <c r="CI45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11.295184894022112</v>
      </c>
      <c r="CJ45" s="59">
        <f>+TablaGeneral[[#This Row],[Tracto elevador]]+TablaGeneral[[#This Row],[Tractor con uñas]]+TablaGeneral[[#This Row],[Tractor con acoplado]]</f>
        <v>13.955683846497099</v>
      </c>
      <c r="CK45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2.7915311460777383</v>
      </c>
      <c r="CL45" s="60">
        <f>+SUM(BR45:BV45)+TablaGeneral[[#This Row],[Cosecha DOV]]+TablaGeneral[[#This Row],[Corte DOV]]</f>
        <v>18.371492929621358</v>
      </c>
      <c r="CM45" s="60">
        <f>+SUM(TablaGeneral[[#This Row],[Colocación de malla]:[Descarga y carga de bines con Autoelevador]])</f>
        <v>20.448807573914959</v>
      </c>
      <c r="CN45" s="59"/>
      <c r="CO45" s="59"/>
      <c r="CP45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45" t="str">
        <f>+TablaGeneral[[#This Row],[Variedad]]&amp;" "&amp;TablaGeneral[[#This Row],[Año de plantación]]</f>
        <v xml:space="preserve">Fiesta </v>
      </c>
      <c r="CR45" t="str">
        <f>+IF(TablaGeneral[[#This Row],[Finca]]="El Espejo I","El Espejo I y II",IF(TablaGeneral[[#This Row],[Finca]]="El Espejo II","El Espejo I y II",TablaGeneral[[#This Row],[Finca]]))</f>
        <v>La Chimbera</v>
      </c>
    </row>
    <row r="46" spans="1:96">
      <c r="A46" t="s">
        <v>12</v>
      </c>
      <c r="B46">
        <v>23</v>
      </c>
      <c r="C46">
        <v>2.8</v>
      </c>
      <c r="D46" t="s">
        <v>10</v>
      </c>
      <c r="E46">
        <v>30000</v>
      </c>
      <c r="F46" s="2">
        <f>+TablaGeneral[[#This Row],[Has]]*TablaGeneral[[#This Row],[Kg x Has]]</f>
        <v>84000</v>
      </c>
      <c r="G46" s="2">
        <f>+TablaGeneral[[#This Row],[Kg 2026]]/4</f>
        <v>21000</v>
      </c>
      <c r="H46">
        <v>4544</v>
      </c>
      <c r="J46" t="s">
        <v>20</v>
      </c>
      <c r="K46">
        <f>10000/IF(LEN(TablaGeneral[[#This Row],[Marco de plantación]])&gt;3,(MID(TablaGeneral[[#This Row],[Marco de plantación]],1,3)*MID(TablaGeneral[[#This Row],[Marco de plantación]],5,3)),(3*2))</f>
        <v>1600</v>
      </c>
      <c r="L46">
        <v>11</v>
      </c>
      <c r="M46">
        <f>+TablaGeneral[[#This Row],[Plantas x Has]]*TablaGeneral[[#This Row],[N° de Guías x planta]]</f>
        <v>17600</v>
      </c>
      <c r="N46">
        <v>9</v>
      </c>
      <c r="O46">
        <f>+TablaGeneral[[#This Row],[N° de Guías x planta]]*TablaGeneral[[#This Row],[N° de Yemas x Guias]]</f>
        <v>99</v>
      </c>
      <c r="P46">
        <v>0.8</v>
      </c>
      <c r="Q46">
        <f>+TablaGeneral[[#This Row],[N° de Yemas x Planta]]*TablaGeneral[[#This Row],[% de Brotación]]</f>
        <v>79.2</v>
      </c>
      <c r="R46">
        <v>0.7</v>
      </c>
      <c r="S46">
        <v>1</v>
      </c>
      <c r="T46">
        <f>+TablaGeneral[[#This Row],[N° de Brotes x Planta]]*TablaGeneral[[#This Row],[% de Fertilidad]]*TablaGeneral[[#This Row],[Cantidad de Racimos x Brote]]</f>
        <v>55.44</v>
      </c>
      <c r="U46">
        <v>0.33400000000000002</v>
      </c>
      <c r="V46">
        <f>+TablaGeneral[[#This Row],[Cantidad de Racimos x Planta]]*TablaGeneral[[#This Row],[Peso del Racimo]]</f>
        <v>18.516960000000001</v>
      </c>
      <c r="W46">
        <f>+TablaGeneral[[#This Row],[Plantas]]*TablaGeneral[[#This Row],[Kg x Planta]]</f>
        <v>84141.06624</v>
      </c>
      <c r="X46">
        <f>+TablaGeneral[[#This Row],[Kg x Cuartel]]/TablaGeneral[[#This Row],[Has]]</f>
        <v>30050.380800000003</v>
      </c>
      <c r="Y46" t="s">
        <v>42</v>
      </c>
      <c r="Z46">
        <v>180</v>
      </c>
      <c r="AA46">
        <f>+TablaGeneral[[#This Row],[Rendimiento Poda]]*1.5</f>
        <v>270</v>
      </c>
      <c r="AB46">
        <v>203</v>
      </c>
      <c r="AC46">
        <v>500</v>
      </c>
      <c r="AD46">
        <v>500</v>
      </c>
      <c r="AE46">
        <v>500</v>
      </c>
      <c r="AF46">
        <v>300</v>
      </c>
      <c r="AG46">
        <f>+IFERROR(TablaGeneral[[#This Row],[Plantas]]/TablaGeneral[[#This Row],[Rendimiento Poda]],0)</f>
        <v>25.244444444444444</v>
      </c>
      <c r="AH46">
        <f>+TablaGeneral[[#This Row],[Plantas]]/TablaGeneral[[#This Row],[Rendimiento Atada]]</f>
        <v>16.829629629629629</v>
      </c>
      <c r="AI46">
        <f>+IFERROR(TablaGeneral[[#This Row],[Plantas]]/TablaGeneral[[#This Row],[Rendimiento Desbrote de troncos]],0)</f>
        <v>22.384236453201972</v>
      </c>
      <c r="AJ46" s="2">
        <f>+IFERROR(TablaGeneral[[#This Row],[Plantas]]/TablaGeneral[[#This Row],[Rendimiento Acomodo de brotes ]],0)</f>
        <v>9.0879999999999992</v>
      </c>
      <c r="AK46">
        <f>+IFERROR(TablaGeneral[[#This Row],[Plantas]]/TablaGeneral[[#This Row],[Rendimiento Desniete, deshoje ]],0)</f>
        <v>9.0879999999999992</v>
      </c>
      <c r="AL46">
        <f>+IFERROR(TablaGeneral[[#This Row],[Plantas]]/TablaGeneral[[#This Row],[Rendimiento Desbrote con criterio de Poda]],0)</f>
        <v>9.0879999999999992</v>
      </c>
      <c r="AM46">
        <f>+IFERROR(TablaGeneral[[#This Row],[Plantas]]/TablaGeneral[[#This Row],[Rendimiento Raleo de Racimos]],0)</f>
        <v>15.146666666666667</v>
      </c>
      <c r="AN46">
        <f t="shared" si="55"/>
        <v>1.3325513196480938</v>
      </c>
      <c r="AO46">
        <f t="shared" si="56"/>
        <v>0.35069846415065214</v>
      </c>
      <c r="AP46">
        <f t="shared" si="57"/>
        <v>0.28066707844348365</v>
      </c>
      <c r="AQ46">
        <f t="shared" si="58"/>
        <v>0.35069846415065214</v>
      </c>
      <c r="AR46">
        <f t="shared" si="59"/>
        <v>1.6833526279231303</v>
      </c>
      <c r="AS46">
        <f t="shared" si="60"/>
        <v>5.050067237911068</v>
      </c>
      <c r="AT46">
        <f t="shared" si="61"/>
        <v>6.3125752778769524</v>
      </c>
      <c r="AU46">
        <f t="shared" si="62"/>
        <v>3.4368523756939506</v>
      </c>
      <c r="AW46">
        <f t="shared" si="63"/>
        <v>0.21041907849039129</v>
      </c>
      <c r="AX46">
        <f t="shared" si="64"/>
        <v>6.6632744186864965</v>
      </c>
      <c r="AY46">
        <f t="shared" si="65"/>
        <v>1.6833495098874556</v>
      </c>
      <c r="AZ46">
        <f t="shared" si="66"/>
        <v>7.7153602567258952</v>
      </c>
      <c r="BA46">
        <f t="shared" si="67"/>
        <v>0.84167631396156517</v>
      </c>
      <c r="BC46">
        <f t="shared" si="68"/>
        <v>1.2975850183757913</v>
      </c>
      <c r="BD46">
        <f t="shared" si="69"/>
        <v>3.1577484364141766</v>
      </c>
      <c r="BF46">
        <f t="shared" si="70"/>
        <v>1.1574121242995414</v>
      </c>
      <c r="BG46">
        <f t="shared" si="71"/>
        <v>2.1752034466251797</v>
      </c>
      <c r="BH46">
        <f t="shared" si="72"/>
        <v>3.1577484364141766</v>
      </c>
      <c r="BI46">
        <f t="shared" si="73"/>
        <v>0.70145106514356281</v>
      </c>
      <c r="BJ46">
        <f t="shared" si="74"/>
        <v>2.3853018372703412</v>
      </c>
      <c r="BK46">
        <f t="shared" si="75"/>
        <v>0.77160808286636107</v>
      </c>
      <c r="BL46">
        <f t="shared" si="76"/>
        <v>4.4188149718475591</v>
      </c>
      <c r="BM46">
        <f t="shared" si="77"/>
        <v>2.1046780917091246</v>
      </c>
      <c r="BN46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303.03130816812495</v>
      </c>
      <c r="BO46" s="1">
        <f>+TablaGeneral[[#This Row],[Combustible]]/100</f>
        <v>3.0303130816812494</v>
      </c>
      <c r="BP46" s="1">
        <f>+TablaGeneral[[#This Row],[Combustible]]/150</f>
        <v>2.0202087211208331</v>
      </c>
      <c r="BQ46" s="1">
        <f>+TablaGeneral[[#This Row],[Combustible]]/200</f>
        <v>1.5151565408406247</v>
      </c>
      <c r="BR46">
        <f t="shared" si="78"/>
        <v>3.5088803088803089</v>
      </c>
      <c r="BS46">
        <f t="shared" si="79"/>
        <v>4.5622489959839356</v>
      </c>
      <c r="BT46">
        <f t="shared" si="80"/>
        <v>10.518518518518519</v>
      </c>
      <c r="BU46">
        <f t="shared" si="81"/>
        <v>1.2629238465814341</v>
      </c>
      <c r="BW46">
        <f t="shared" si="85"/>
        <v>1.2625729369269241</v>
      </c>
      <c r="BX46">
        <f t="shared" si="84"/>
        <v>1.8241670012043356</v>
      </c>
      <c r="BY46">
        <f t="shared" si="82"/>
        <v>3.7184942716857612</v>
      </c>
      <c r="BZ46">
        <f t="shared" si="83"/>
        <v>2.4548892490545651</v>
      </c>
      <c r="CA46">
        <f t="shared" si="49"/>
        <v>3.0869565217391304</v>
      </c>
      <c r="CB46">
        <f t="shared" si="50"/>
        <v>1.2625729369269241</v>
      </c>
      <c r="CC46">
        <f t="shared" si="51"/>
        <v>0.42085764564230804</v>
      </c>
      <c r="CF46">
        <f t="shared" si="52"/>
        <v>6.8744326777609679</v>
      </c>
      <c r="CG46">
        <f t="shared" si="53"/>
        <v>0.63128646846346204</v>
      </c>
      <c r="CH46">
        <f t="shared" si="54"/>
        <v>0.56112620400098789</v>
      </c>
      <c r="CI46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12.205783628641257</v>
      </c>
      <c r="CJ46" s="59">
        <f>+TablaGeneral[[#This Row],[Tracto elevador]]+TablaGeneral[[#This Row],[Tractor con uñas]]+TablaGeneral[[#This Row],[Tractor con acoplado]]</f>
        <v>15.080767514502455</v>
      </c>
      <c r="CK46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3.0165796736687853</v>
      </c>
      <c r="CL46" s="60">
        <f>+SUM(BR46:BV46)+TablaGeneral[[#This Row],[Cosecha DOV]]+TablaGeneral[[#This Row],[Corte DOV]]</f>
        <v>19.852571669964195</v>
      </c>
      <c r="CM46" s="60">
        <f>+SUM(TablaGeneral[[#This Row],[Colocación de malla]:[Descarga y carga de bines con Autoelevador]])</f>
        <v>22.097355913405366</v>
      </c>
      <c r="CN46" s="59"/>
      <c r="CO46" s="59"/>
      <c r="CP46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46" t="str">
        <f>+TablaGeneral[[#This Row],[Variedad]]&amp;" "&amp;TablaGeneral[[#This Row],[Año de plantación]]</f>
        <v xml:space="preserve">Fiesta </v>
      </c>
      <c r="CR46" t="str">
        <f>+IF(TablaGeneral[[#This Row],[Finca]]="El Espejo I","El Espejo I y II",IF(TablaGeneral[[#This Row],[Finca]]="El Espejo II","El Espejo I y II",TablaGeneral[[#This Row],[Finca]]))</f>
        <v>La Chimbera</v>
      </c>
    </row>
    <row r="47" spans="1:96">
      <c r="A47" t="s">
        <v>12</v>
      </c>
      <c r="B47">
        <v>24</v>
      </c>
      <c r="C47">
        <v>2.8</v>
      </c>
      <c r="D47" t="s">
        <v>7</v>
      </c>
      <c r="E47">
        <v>40000</v>
      </c>
      <c r="F47" s="2">
        <f>+TablaGeneral[[#This Row],[Has]]*TablaGeneral[[#This Row],[Kg x Has]]</f>
        <v>112000</v>
      </c>
      <c r="G47" s="2">
        <f>+TablaGeneral[[#This Row],[Kg 2026]]/4</f>
        <v>28000</v>
      </c>
      <c r="H47">
        <v>4536</v>
      </c>
      <c r="J47" t="s">
        <v>20</v>
      </c>
      <c r="K47">
        <f>10000/IF(LEN(TablaGeneral[[#This Row],[Marco de plantación]])&gt;3,(MID(TablaGeneral[[#This Row],[Marco de plantación]],1,3)*MID(TablaGeneral[[#This Row],[Marco de plantación]],5,3)),(3*2))</f>
        <v>1600</v>
      </c>
      <c r="L47">
        <v>11</v>
      </c>
      <c r="M47">
        <f>+TablaGeneral[[#This Row],[Plantas x Has]]*TablaGeneral[[#This Row],[N° de Guías x planta]]</f>
        <v>17600</v>
      </c>
      <c r="N47">
        <v>8</v>
      </c>
      <c r="O47">
        <f>+TablaGeneral[[#This Row],[N° de Guías x planta]]*TablaGeneral[[#This Row],[N° de Yemas x Guias]]</f>
        <v>88</v>
      </c>
      <c r="P47">
        <v>0.8</v>
      </c>
      <c r="Q47">
        <f>+TablaGeneral[[#This Row],[N° de Yemas x Planta]]*TablaGeneral[[#This Row],[% de Brotación]]</f>
        <v>70.400000000000006</v>
      </c>
      <c r="R47">
        <v>0.7</v>
      </c>
      <c r="S47">
        <v>1.5</v>
      </c>
      <c r="T47">
        <f>+TablaGeneral[[#This Row],[N° de Brotes x Planta]]*TablaGeneral[[#This Row],[% de Fertilidad]]*TablaGeneral[[#This Row],[Cantidad de Racimos x Brote]]</f>
        <v>73.92</v>
      </c>
      <c r="U47">
        <v>0.33410000000000001</v>
      </c>
      <c r="V47">
        <f>+TablaGeneral[[#This Row],[Cantidad de Racimos x Planta]]*TablaGeneral[[#This Row],[Peso del Racimo]]</f>
        <v>24.696672</v>
      </c>
      <c r="W47">
        <f>+TablaGeneral[[#This Row],[Plantas]]*TablaGeneral[[#This Row],[Kg x Planta]]</f>
        <v>112024.104192</v>
      </c>
      <c r="X47">
        <f>+TablaGeneral[[#This Row],[Kg x Cuartel]]/TablaGeneral[[#This Row],[Has]]</f>
        <v>40008.608639999999</v>
      </c>
      <c r="Y47" t="s">
        <v>42</v>
      </c>
      <c r="Z47">
        <v>130</v>
      </c>
      <c r="AA47">
        <f>+TablaGeneral[[#This Row],[Rendimiento Poda]]*1.5</f>
        <v>195</v>
      </c>
      <c r="AB47">
        <v>203</v>
      </c>
      <c r="AC47">
        <v>500</v>
      </c>
      <c r="AD47">
        <v>500</v>
      </c>
      <c r="AE47">
        <v>500</v>
      </c>
      <c r="AF47">
        <v>300</v>
      </c>
      <c r="AG47">
        <f>+IFERROR(TablaGeneral[[#This Row],[Plantas]]/TablaGeneral[[#This Row],[Rendimiento Poda]],0)</f>
        <v>34.892307692307689</v>
      </c>
      <c r="AH47">
        <f>+TablaGeneral[[#This Row],[Plantas]]/TablaGeneral[[#This Row],[Rendimiento Atada]]</f>
        <v>23.261538461538461</v>
      </c>
      <c r="AI47">
        <f>+IFERROR(TablaGeneral[[#This Row],[Plantas]]/TablaGeneral[[#This Row],[Rendimiento Desbrote de troncos]],0)</f>
        <v>22.344827586206897</v>
      </c>
      <c r="AJ47" s="2">
        <f>+IFERROR(TablaGeneral[[#This Row],[Plantas]]/TablaGeneral[[#This Row],[Rendimiento Acomodo de brotes ]],0)</f>
        <v>9.0719999999999992</v>
      </c>
      <c r="AK47">
        <f>+IFERROR(TablaGeneral[[#This Row],[Plantas]]/TablaGeneral[[#This Row],[Rendimiento Desniete, deshoje ]],0)</f>
        <v>9.0719999999999992</v>
      </c>
      <c r="AL47">
        <f>+IFERROR(TablaGeneral[[#This Row],[Plantas]]/TablaGeneral[[#This Row],[Rendimiento Desbrote con criterio de Poda]],0)</f>
        <v>9.0719999999999992</v>
      </c>
      <c r="AM47">
        <f>+IFERROR(TablaGeneral[[#This Row],[Plantas]]/TablaGeneral[[#This Row],[Rendimiento Raleo de Racimos]],0)</f>
        <v>15.12</v>
      </c>
      <c r="AN47">
        <f t="shared" si="55"/>
        <v>1.3302052785923755</v>
      </c>
      <c r="AO47">
        <f t="shared" si="56"/>
        <v>0.35008103727714751</v>
      </c>
      <c r="AP47">
        <f t="shared" si="57"/>
        <v>0.28017294626312539</v>
      </c>
      <c r="AQ47">
        <f t="shared" si="58"/>
        <v>0.35008103727714751</v>
      </c>
      <c r="AR47">
        <f t="shared" si="59"/>
        <v>1.6803889789303079</v>
      </c>
      <c r="AS47">
        <f t="shared" si="60"/>
        <v>5.0411762744640418</v>
      </c>
      <c r="AT47">
        <f t="shared" si="61"/>
        <v>6.3014615890074506</v>
      </c>
      <c r="AU47">
        <f t="shared" si="62"/>
        <v>3.4308015792578694</v>
      </c>
      <c r="AW47">
        <f t="shared" si="63"/>
        <v>0.21004862236628849</v>
      </c>
      <c r="AX47">
        <f t="shared" si="64"/>
        <v>6.6515433017521888</v>
      </c>
      <c r="AY47">
        <f t="shared" si="65"/>
        <v>1.6803858663841327</v>
      </c>
      <c r="AZ47">
        <f t="shared" si="66"/>
        <v>7.7017768759922234</v>
      </c>
      <c r="BA47">
        <f t="shared" si="67"/>
        <v>0.84019448946515396</v>
      </c>
      <c r="BC47">
        <f t="shared" si="68"/>
        <v>1.2953005377096369</v>
      </c>
      <c r="BD47">
        <f t="shared" si="69"/>
        <v>3.1521890201528842</v>
      </c>
      <c r="BF47">
        <f t="shared" si="70"/>
        <v>1.1553744268976056</v>
      </c>
      <c r="BG47">
        <f t="shared" si="71"/>
        <v>2.1713738630923887</v>
      </c>
      <c r="BH47">
        <f t="shared" si="72"/>
        <v>3.1521890201528842</v>
      </c>
      <c r="BI47">
        <f t="shared" si="73"/>
        <v>0.7002161160852115</v>
      </c>
      <c r="BJ47">
        <f t="shared" si="74"/>
        <v>2.3811023622047243</v>
      </c>
      <c r="BK47">
        <f t="shared" si="75"/>
        <v>0.77024961793173718</v>
      </c>
      <c r="BL47">
        <f t="shared" si="76"/>
        <v>4.4110353680238834</v>
      </c>
      <c r="BM47">
        <f t="shared" si="77"/>
        <v>2.1009726725335804</v>
      </c>
      <c r="BN47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302.49780234388533</v>
      </c>
      <c r="BO47" s="1">
        <f>+TablaGeneral[[#This Row],[Combustible]]/100</f>
        <v>3.0249780234388535</v>
      </c>
      <c r="BP47" s="1">
        <f>+TablaGeneral[[#This Row],[Combustible]]/150</f>
        <v>2.016652015625902</v>
      </c>
      <c r="BQ47" s="1">
        <f>+TablaGeneral[[#This Row],[Combustible]]/200</f>
        <v>1.5124890117194267</v>
      </c>
      <c r="BR47">
        <f t="shared" si="78"/>
        <v>3.5027027027027029</v>
      </c>
      <c r="BS47">
        <f t="shared" si="79"/>
        <v>4.5542168674698793</v>
      </c>
      <c r="BT47">
        <f t="shared" si="80"/>
        <v>10.5</v>
      </c>
      <c r="BU47">
        <f t="shared" si="81"/>
        <v>1.2607003891050583</v>
      </c>
      <c r="BW47">
        <f t="shared" si="85"/>
        <v>1.2603500972492359</v>
      </c>
      <c r="BX47">
        <f t="shared" si="84"/>
        <v>1.8209554395824969</v>
      </c>
      <c r="BY47">
        <f t="shared" si="82"/>
        <v>3.7119476268412437</v>
      </c>
      <c r="BZ47">
        <f t="shared" si="83"/>
        <v>2.4505672609400326</v>
      </c>
      <c r="CA47">
        <f t="shared" si="49"/>
        <v>3.0815217391304346</v>
      </c>
      <c r="CB47">
        <f t="shared" si="50"/>
        <v>1.2603500972492359</v>
      </c>
      <c r="CC47">
        <f t="shared" si="51"/>
        <v>0.42011669908307864</v>
      </c>
      <c r="CF47">
        <f t="shared" si="52"/>
        <v>6.8623298033282909</v>
      </c>
      <c r="CG47">
        <f t="shared" si="53"/>
        <v>0.63017504862461793</v>
      </c>
      <c r="CH47">
        <f t="shared" si="54"/>
        <v>0.56013830575450729</v>
      </c>
      <c r="CI47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12.184294572957029</v>
      </c>
      <c r="CJ47" s="59">
        <f>+TablaGeneral[[#This Row],[Tracto elevador]]+TablaGeneral[[#This Row],[Tractor con uñas]]+TablaGeneral[[#This Row],[Tractor con acoplado]]</f>
        <v>15.054216867469879</v>
      </c>
      <c r="CK47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3.0112687939616221</v>
      </c>
      <c r="CL47" s="60">
        <f>+SUM(BR47:BV47)+TablaGeneral[[#This Row],[Cosecha DOV]]+TablaGeneral[[#This Row],[Corte DOV]]</f>
        <v>19.817619959277639</v>
      </c>
      <c r="CM47" s="60">
        <f>+SUM(TablaGeneral[[#This Row],[Colocación de malla]:[Descarga y carga de bines con Autoelevador]])</f>
        <v>22.058452117783172</v>
      </c>
      <c r="CN47" s="59"/>
      <c r="CO47" s="59"/>
      <c r="CP47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47" t="str">
        <f>+TablaGeneral[[#This Row],[Variedad]]&amp;" "&amp;TablaGeneral[[#This Row],[Año de plantación]]</f>
        <v xml:space="preserve">Arizul </v>
      </c>
      <c r="CR47" t="str">
        <f>+IF(TablaGeneral[[#This Row],[Finca]]="El Espejo I","El Espejo I y II",IF(TablaGeneral[[#This Row],[Finca]]="El Espejo II","El Espejo I y II",TablaGeneral[[#This Row],[Finca]]))</f>
        <v>La Chimbera</v>
      </c>
    </row>
    <row r="48" spans="1:96">
      <c r="A48" t="s">
        <v>12</v>
      </c>
      <c r="B48">
        <v>25</v>
      </c>
      <c r="C48">
        <v>2.8</v>
      </c>
      <c r="D48" t="s">
        <v>7</v>
      </c>
      <c r="E48">
        <v>40000</v>
      </c>
      <c r="F48" s="2">
        <f>+TablaGeneral[[#This Row],[Has]]*TablaGeneral[[#This Row],[Kg x Has]]</f>
        <v>112000</v>
      </c>
      <c r="G48" s="2">
        <f>+TablaGeneral[[#This Row],[Kg 2026]]/4</f>
        <v>28000</v>
      </c>
      <c r="H48">
        <v>4544</v>
      </c>
      <c r="J48" t="s">
        <v>20</v>
      </c>
      <c r="K48">
        <f>10000/IF(LEN(TablaGeneral[[#This Row],[Marco de plantación]])&gt;3,(MID(TablaGeneral[[#This Row],[Marco de plantación]],1,3)*MID(TablaGeneral[[#This Row],[Marco de plantación]],5,3)),(3*2))</f>
        <v>1600</v>
      </c>
      <c r="L48">
        <v>10</v>
      </c>
      <c r="M48">
        <f>+TablaGeneral[[#This Row],[Plantas x Has]]*TablaGeneral[[#This Row],[N° de Guías x planta]]</f>
        <v>16000</v>
      </c>
      <c r="N48">
        <v>9</v>
      </c>
      <c r="O48">
        <f>+TablaGeneral[[#This Row],[N° de Guías x planta]]*TablaGeneral[[#This Row],[N° de Yemas x Guias]]</f>
        <v>90</v>
      </c>
      <c r="P48">
        <v>0.7</v>
      </c>
      <c r="Q48">
        <f>+TablaGeneral[[#This Row],[N° de Yemas x Planta]]*TablaGeneral[[#This Row],[% de Brotación]]</f>
        <v>62.999999999999993</v>
      </c>
      <c r="R48">
        <v>0.7</v>
      </c>
      <c r="S48">
        <v>1.5</v>
      </c>
      <c r="T48">
        <f>+TablaGeneral[[#This Row],[N° de Brotes x Planta]]*TablaGeneral[[#This Row],[% de Fertilidad]]*TablaGeneral[[#This Row],[Cantidad de Racimos x Brote]]</f>
        <v>66.149999999999991</v>
      </c>
      <c r="U48">
        <v>0.37269999999999998</v>
      </c>
      <c r="V48">
        <f>+TablaGeneral[[#This Row],[Cantidad de Racimos x Planta]]*TablaGeneral[[#This Row],[Peso del Racimo]]</f>
        <v>24.654104999999994</v>
      </c>
      <c r="W48">
        <f>+TablaGeneral[[#This Row],[Plantas]]*TablaGeneral[[#This Row],[Kg x Planta]]</f>
        <v>112028.25311999998</v>
      </c>
      <c r="X48">
        <f>+TablaGeneral[[#This Row],[Kg x Cuartel]]/TablaGeneral[[#This Row],[Has]]</f>
        <v>40010.090399999994</v>
      </c>
      <c r="Y48" t="s">
        <v>42</v>
      </c>
      <c r="Z48">
        <v>140</v>
      </c>
      <c r="AA48">
        <f>+TablaGeneral[[#This Row],[Rendimiento Poda]]*1.5</f>
        <v>210</v>
      </c>
      <c r="AB48">
        <v>203</v>
      </c>
      <c r="AC48">
        <v>500</v>
      </c>
      <c r="AD48">
        <v>500</v>
      </c>
      <c r="AE48">
        <v>500</v>
      </c>
      <c r="AF48">
        <v>300</v>
      </c>
      <c r="AG48">
        <f>+IFERROR(TablaGeneral[[#This Row],[Plantas]]/TablaGeneral[[#This Row],[Rendimiento Poda]],0)</f>
        <v>32.457142857142856</v>
      </c>
      <c r="AH48">
        <f>+TablaGeneral[[#This Row],[Plantas]]/TablaGeneral[[#This Row],[Rendimiento Atada]]</f>
        <v>21.638095238095239</v>
      </c>
      <c r="AI48">
        <f>+IFERROR(TablaGeneral[[#This Row],[Plantas]]/TablaGeneral[[#This Row],[Rendimiento Desbrote de troncos]],0)</f>
        <v>22.384236453201972</v>
      </c>
      <c r="AJ48" s="2">
        <f>+IFERROR(TablaGeneral[[#This Row],[Plantas]]/TablaGeneral[[#This Row],[Rendimiento Acomodo de brotes ]],0)</f>
        <v>9.0879999999999992</v>
      </c>
      <c r="AK48">
        <f>+IFERROR(TablaGeneral[[#This Row],[Plantas]]/TablaGeneral[[#This Row],[Rendimiento Desniete, deshoje ]],0)</f>
        <v>9.0879999999999992</v>
      </c>
      <c r="AL48">
        <f>+IFERROR(TablaGeneral[[#This Row],[Plantas]]/TablaGeneral[[#This Row],[Rendimiento Desbrote con criterio de Poda]],0)</f>
        <v>9.0879999999999992</v>
      </c>
      <c r="AM48">
        <f>+IFERROR(TablaGeneral[[#This Row],[Plantas]]/TablaGeneral[[#This Row],[Rendimiento Raleo de Racimos]],0)</f>
        <v>15.146666666666667</v>
      </c>
      <c r="AN48">
        <f t="shared" si="55"/>
        <v>1.3325513196480938</v>
      </c>
      <c r="AO48">
        <f t="shared" si="56"/>
        <v>0.35069846415065214</v>
      </c>
      <c r="AP48">
        <f t="shared" si="57"/>
        <v>0.28066707844348365</v>
      </c>
      <c r="AQ48">
        <f t="shared" si="58"/>
        <v>0.35069846415065214</v>
      </c>
      <c r="AR48">
        <f t="shared" si="59"/>
        <v>1.6833526279231303</v>
      </c>
      <c r="AS48">
        <f t="shared" si="60"/>
        <v>5.050067237911068</v>
      </c>
      <c r="AT48">
        <f t="shared" si="61"/>
        <v>6.3125752778769524</v>
      </c>
      <c r="AU48">
        <f t="shared" si="62"/>
        <v>3.4368523756939506</v>
      </c>
      <c r="AW48">
        <f t="shared" si="63"/>
        <v>0.21041907849039129</v>
      </c>
      <c r="AX48">
        <f t="shared" si="64"/>
        <v>6.6632744186864965</v>
      </c>
      <c r="AY48">
        <f t="shared" si="65"/>
        <v>1.6833495098874556</v>
      </c>
      <c r="AZ48">
        <f t="shared" si="66"/>
        <v>7.7153602567258952</v>
      </c>
      <c r="BA48">
        <f t="shared" si="67"/>
        <v>0.84167631396156517</v>
      </c>
      <c r="BC48">
        <f t="shared" si="68"/>
        <v>1.2975850183757913</v>
      </c>
      <c r="BD48">
        <f t="shared" si="69"/>
        <v>3.1577484364141766</v>
      </c>
      <c r="BF48">
        <f t="shared" si="70"/>
        <v>1.1574121242995414</v>
      </c>
      <c r="BG48">
        <f t="shared" si="71"/>
        <v>2.1752034466251797</v>
      </c>
      <c r="BH48">
        <f t="shared" si="72"/>
        <v>3.1577484364141766</v>
      </c>
      <c r="BI48">
        <f t="shared" si="73"/>
        <v>0.70145106514356281</v>
      </c>
      <c r="BJ48">
        <f t="shared" si="74"/>
        <v>2.3853018372703412</v>
      </c>
      <c r="BK48">
        <f t="shared" si="75"/>
        <v>0.77160808286636107</v>
      </c>
      <c r="BL48">
        <f t="shared" si="76"/>
        <v>4.4188149718475591</v>
      </c>
      <c r="BM48">
        <f t="shared" si="77"/>
        <v>2.1046780917091246</v>
      </c>
      <c r="BN48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303.03130816812495</v>
      </c>
      <c r="BO48" s="1">
        <f>+TablaGeneral[[#This Row],[Combustible]]/100</f>
        <v>3.0303130816812494</v>
      </c>
      <c r="BP48" s="1">
        <f>+TablaGeneral[[#This Row],[Combustible]]/150</f>
        <v>2.0202087211208331</v>
      </c>
      <c r="BQ48" s="1">
        <f>+TablaGeneral[[#This Row],[Combustible]]/200</f>
        <v>1.5151565408406247</v>
      </c>
      <c r="BR48">
        <f t="shared" si="78"/>
        <v>3.5088803088803089</v>
      </c>
      <c r="BS48">
        <f t="shared" si="79"/>
        <v>4.5622489959839356</v>
      </c>
      <c r="BT48">
        <f t="shared" si="80"/>
        <v>10.518518518518519</v>
      </c>
      <c r="BU48">
        <f t="shared" si="81"/>
        <v>1.2629238465814341</v>
      </c>
      <c r="BW48">
        <f t="shared" si="85"/>
        <v>1.2625729369269241</v>
      </c>
      <c r="BX48">
        <f t="shared" si="84"/>
        <v>1.8241670012043356</v>
      </c>
      <c r="BY48">
        <f t="shared" si="82"/>
        <v>3.7184942716857612</v>
      </c>
      <c r="BZ48">
        <f t="shared" si="83"/>
        <v>2.4548892490545651</v>
      </c>
      <c r="CA48">
        <f t="shared" si="49"/>
        <v>3.0869565217391304</v>
      </c>
      <c r="CB48">
        <f t="shared" si="50"/>
        <v>1.2625729369269241</v>
      </c>
      <c r="CC48">
        <f t="shared" si="51"/>
        <v>0.42085764564230804</v>
      </c>
      <c r="CF48">
        <f t="shared" si="52"/>
        <v>6.8744326777609679</v>
      </c>
      <c r="CG48">
        <f t="shared" si="53"/>
        <v>0.63128646846346204</v>
      </c>
      <c r="CH48">
        <f t="shared" si="54"/>
        <v>0.56112620400098789</v>
      </c>
      <c r="CI48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12.205783628641257</v>
      </c>
      <c r="CJ48" s="59">
        <f>+TablaGeneral[[#This Row],[Tracto elevador]]+TablaGeneral[[#This Row],[Tractor con uñas]]+TablaGeneral[[#This Row],[Tractor con acoplado]]</f>
        <v>15.080767514502455</v>
      </c>
      <c r="CK48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3.0165796736687853</v>
      </c>
      <c r="CL48" s="60">
        <f>+SUM(BR48:BV48)+TablaGeneral[[#This Row],[Cosecha DOV]]+TablaGeneral[[#This Row],[Corte DOV]]</f>
        <v>19.852571669964195</v>
      </c>
      <c r="CM48" s="60">
        <f>+SUM(TablaGeneral[[#This Row],[Colocación de malla]:[Descarga y carga de bines con Autoelevador]])</f>
        <v>22.097355913405366</v>
      </c>
      <c r="CN48" s="59"/>
      <c r="CO48" s="59"/>
      <c r="CP48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48" t="str">
        <f>+TablaGeneral[[#This Row],[Variedad]]&amp;" "&amp;TablaGeneral[[#This Row],[Año de plantación]]</f>
        <v xml:space="preserve">Arizul </v>
      </c>
      <c r="CR48" t="str">
        <f>+IF(TablaGeneral[[#This Row],[Finca]]="El Espejo I","El Espejo I y II",IF(TablaGeneral[[#This Row],[Finca]]="El Espejo II","El Espejo I y II",TablaGeneral[[#This Row],[Finca]]))</f>
        <v>La Chimbera</v>
      </c>
    </row>
    <row r="49" spans="1:96">
      <c r="A49" t="s">
        <v>12</v>
      </c>
      <c r="B49">
        <v>26</v>
      </c>
      <c r="C49">
        <v>2.9</v>
      </c>
      <c r="D49" t="s">
        <v>7</v>
      </c>
      <c r="E49">
        <v>45000</v>
      </c>
      <c r="F49" s="2">
        <f>+TablaGeneral[[#This Row],[Has]]*TablaGeneral[[#This Row],[Kg x Has]]</f>
        <v>130500</v>
      </c>
      <c r="G49" s="2">
        <f>+TablaGeneral[[#This Row],[Kg 2026]]/4</f>
        <v>32625</v>
      </c>
      <c r="H49">
        <v>4608</v>
      </c>
      <c r="J49" t="s">
        <v>20</v>
      </c>
      <c r="K49">
        <f>10000/IF(LEN(TablaGeneral[[#This Row],[Marco de plantación]])&gt;3,(MID(TablaGeneral[[#This Row],[Marco de plantación]],1,3)*MID(TablaGeneral[[#This Row],[Marco de plantación]],5,3)),(3*2))</f>
        <v>1600</v>
      </c>
      <c r="L49">
        <v>10</v>
      </c>
      <c r="M49">
        <f>+TablaGeneral[[#This Row],[Plantas x Has]]*TablaGeneral[[#This Row],[N° de Guías x planta]]</f>
        <v>16000</v>
      </c>
      <c r="N49">
        <v>9</v>
      </c>
      <c r="O49">
        <f>+TablaGeneral[[#This Row],[N° de Guías x planta]]*TablaGeneral[[#This Row],[N° de Yemas x Guias]]</f>
        <v>90</v>
      </c>
      <c r="P49">
        <v>0.7</v>
      </c>
      <c r="Q49">
        <f>+TablaGeneral[[#This Row],[N° de Yemas x Planta]]*TablaGeneral[[#This Row],[% de Brotación]]</f>
        <v>62.999999999999993</v>
      </c>
      <c r="R49">
        <v>0.84</v>
      </c>
      <c r="S49">
        <v>1.5</v>
      </c>
      <c r="T49">
        <f>+TablaGeneral[[#This Row],[N° de Brotes x Planta]]*TablaGeneral[[#This Row],[% de Fertilidad]]*TablaGeneral[[#This Row],[Cantidad de Racimos x Brote]]</f>
        <v>79.38</v>
      </c>
      <c r="U49">
        <v>0.35680000000000001</v>
      </c>
      <c r="V49">
        <f>+TablaGeneral[[#This Row],[Cantidad de Racimos x Planta]]*TablaGeneral[[#This Row],[Peso del Racimo]]</f>
        <v>28.322783999999999</v>
      </c>
      <c r="W49">
        <f>+TablaGeneral[[#This Row],[Plantas]]*TablaGeneral[[#This Row],[Kg x Planta]]</f>
        <v>130511.388672</v>
      </c>
      <c r="X49">
        <f>+TablaGeneral[[#This Row],[Kg x Cuartel]]/TablaGeneral[[#This Row],[Has]]</f>
        <v>45003.927128275864</v>
      </c>
      <c r="Y49" t="s">
        <v>42</v>
      </c>
      <c r="Z49">
        <v>140</v>
      </c>
      <c r="AA49">
        <f>+TablaGeneral[[#This Row],[Rendimiento Poda]]*1.5</f>
        <v>210</v>
      </c>
      <c r="AB49">
        <v>203</v>
      </c>
      <c r="AC49">
        <v>500</v>
      </c>
      <c r="AD49">
        <v>500</v>
      </c>
      <c r="AE49">
        <v>500</v>
      </c>
      <c r="AF49">
        <v>300</v>
      </c>
      <c r="AG49">
        <f>+IFERROR(TablaGeneral[[#This Row],[Plantas]]/TablaGeneral[[#This Row],[Rendimiento Poda]],0)</f>
        <v>32.914285714285711</v>
      </c>
      <c r="AH49">
        <f>+TablaGeneral[[#This Row],[Plantas]]/TablaGeneral[[#This Row],[Rendimiento Atada]]</f>
        <v>21.942857142857143</v>
      </c>
      <c r="AI49">
        <f>+IFERROR(TablaGeneral[[#This Row],[Plantas]]/TablaGeneral[[#This Row],[Rendimiento Desbrote de troncos]],0)</f>
        <v>22.699507389162562</v>
      </c>
      <c r="AJ49" s="2">
        <f>+IFERROR(TablaGeneral[[#This Row],[Plantas]]/TablaGeneral[[#This Row],[Rendimiento Acomodo de brotes ]],0)</f>
        <v>9.2159999999999993</v>
      </c>
      <c r="AK49">
        <f>+IFERROR(TablaGeneral[[#This Row],[Plantas]]/TablaGeneral[[#This Row],[Rendimiento Desniete, deshoje ]],0)</f>
        <v>9.2159999999999993</v>
      </c>
      <c r="AL49">
        <f>+IFERROR(TablaGeneral[[#This Row],[Plantas]]/TablaGeneral[[#This Row],[Rendimiento Desbrote con criterio de Poda]],0)</f>
        <v>9.2159999999999993</v>
      </c>
      <c r="AM49">
        <f>+IFERROR(TablaGeneral[[#This Row],[Plantas]]/TablaGeneral[[#This Row],[Rendimiento Raleo de Racimos]],0)</f>
        <v>15.36</v>
      </c>
      <c r="AN49">
        <f t="shared" si="55"/>
        <v>1.3513196480938416</v>
      </c>
      <c r="AO49">
        <f t="shared" si="56"/>
        <v>0.35563787913868949</v>
      </c>
      <c r="AP49">
        <f t="shared" si="57"/>
        <v>0.2846201358863496</v>
      </c>
      <c r="AQ49">
        <f t="shared" si="58"/>
        <v>0.35563787913868949</v>
      </c>
      <c r="AR49">
        <f t="shared" si="59"/>
        <v>1.7070618198657097</v>
      </c>
      <c r="AS49">
        <f t="shared" si="60"/>
        <v>5.1211949454872805</v>
      </c>
      <c r="AT49">
        <f t="shared" si="61"/>
        <v>6.401484788832966</v>
      </c>
      <c r="AU49">
        <f t="shared" si="62"/>
        <v>3.4852587471825975</v>
      </c>
      <c r="AW49">
        <f t="shared" si="63"/>
        <v>0.21338272748321371</v>
      </c>
      <c r="AX49">
        <f t="shared" si="64"/>
        <v>6.7571233541609539</v>
      </c>
      <c r="AY49">
        <f t="shared" si="65"/>
        <v>1.7070586579140394</v>
      </c>
      <c r="AZ49">
        <f t="shared" si="66"/>
        <v>7.8240273025952742</v>
      </c>
      <c r="BA49">
        <f t="shared" si="67"/>
        <v>0.85353090993285485</v>
      </c>
      <c r="BC49">
        <f t="shared" si="68"/>
        <v>1.315860863705028</v>
      </c>
      <c r="BD49">
        <f t="shared" si="69"/>
        <v>3.2022237665045172</v>
      </c>
      <c r="BF49">
        <f t="shared" si="70"/>
        <v>1.173713703515028</v>
      </c>
      <c r="BG49">
        <f t="shared" si="71"/>
        <v>2.205840114887506</v>
      </c>
      <c r="BH49">
        <f t="shared" si="72"/>
        <v>3.2022237665045172</v>
      </c>
      <c r="BI49">
        <f t="shared" si="73"/>
        <v>0.71133065761037362</v>
      </c>
      <c r="BJ49">
        <f t="shared" si="74"/>
        <v>2.4188976377952756</v>
      </c>
      <c r="BK49">
        <f t="shared" si="75"/>
        <v>0.78247580234335201</v>
      </c>
      <c r="BL49">
        <f t="shared" si="76"/>
        <v>4.4810518024369612</v>
      </c>
      <c r="BM49">
        <f t="shared" si="77"/>
        <v>2.1343214451134784</v>
      </c>
      <c r="BN49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307.29935476204224</v>
      </c>
      <c r="BO49" s="1">
        <f>+TablaGeneral[[#This Row],[Combustible]]/100</f>
        <v>3.0729935476204222</v>
      </c>
      <c r="BP49" s="1">
        <f>+TablaGeneral[[#This Row],[Combustible]]/150</f>
        <v>2.0486623650802818</v>
      </c>
      <c r="BQ49" s="1">
        <f>+TablaGeneral[[#This Row],[Combustible]]/200</f>
        <v>1.5364967738102111</v>
      </c>
      <c r="BR49">
        <f t="shared" si="78"/>
        <v>3.5583011583011581</v>
      </c>
      <c r="BS49">
        <f t="shared" si="79"/>
        <v>4.6265060240963853</v>
      </c>
      <c r="BT49">
        <f t="shared" si="80"/>
        <v>10.666666666666666</v>
      </c>
      <c r="BU49">
        <f t="shared" si="81"/>
        <v>1.2807115063924401</v>
      </c>
      <c r="BW49">
        <f t="shared" si="85"/>
        <v>1.28035565434843</v>
      </c>
      <c r="BX49">
        <f t="shared" si="84"/>
        <v>1.8498594941790445</v>
      </c>
      <c r="BY49">
        <f t="shared" si="82"/>
        <v>3.7708674304418985</v>
      </c>
      <c r="BZ49">
        <f t="shared" si="83"/>
        <v>2.4894651539708268</v>
      </c>
      <c r="CA49">
        <f t="shared" si="49"/>
        <v>3.1304347826086958</v>
      </c>
      <c r="CB49">
        <f t="shared" si="50"/>
        <v>1.28035565434843</v>
      </c>
      <c r="CC49">
        <f t="shared" si="51"/>
        <v>0.42678521811614339</v>
      </c>
      <c r="CF49">
        <f t="shared" si="52"/>
        <v>6.97125567322239</v>
      </c>
      <c r="CG49">
        <f t="shared" si="53"/>
        <v>0.64017782717421501</v>
      </c>
      <c r="CH49">
        <f t="shared" si="54"/>
        <v>0.56902938997283281</v>
      </c>
      <c r="CI49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12.377696074115077</v>
      </c>
      <c r="CJ49" s="59">
        <f>+TablaGeneral[[#This Row],[Tracto elevador]]+TablaGeneral[[#This Row],[Tractor con uñas]]+TablaGeneral[[#This Row],[Tractor con acoplado]]</f>
        <v>15.293172690763051</v>
      </c>
      <c r="CK49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3.0590667113260923</v>
      </c>
      <c r="CL49" s="60">
        <f>+SUM(BR49:BV49)+TablaGeneral[[#This Row],[Cosecha DOV]]+TablaGeneral[[#This Row],[Corte DOV]]</f>
        <v>20.132185355456649</v>
      </c>
      <c r="CM49" s="60">
        <f>+SUM(TablaGeneral[[#This Row],[Colocación de malla]:[Descarga y carga de bines con Autoelevador]])</f>
        <v>22.408586278382906</v>
      </c>
      <c r="CN49" s="59"/>
      <c r="CO49" s="59"/>
      <c r="CP49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49" t="str">
        <f>+TablaGeneral[[#This Row],[Variedad]]&amp;" "&amp;TablaGeneral[[#This Row],[Año de plantación]]</f>
        <v xml:space="preserve">Arizul </v>
      </c>
      <c r="CR49" t="str">
        <f>+IF(TablaGeneral[[#This Row],[Finca]]="El Espejo I","El Espejo I y II",IF(TablaGeneral[[#This Row],[Finca]]="El Espejo II","El Espejo I y II",TablaGeneral[[#This Row],[Finca]]))</f>
        <v>La Chimbera</v>
      </c>
    </row>
    <row r="50" spans="1:96">
      <c r="A50" t="s">
        <v>12</v>
      </c>
      <c r="B50">
        <v>27</v>
      </c>
      <c r="C50">
        <v>2.9</v>
      </c>
      <c r="D50" t="s">
        <v>7</v>
      </c>
      <c r="E50">
        <v>40000</v>
      </c>
      <c r="F50" s="2">
        <f>+TablaGeneral[[#This Row],[Has]]*TablaGeneral[[#This Row],[Kg x Has]]</f>
        <v>116000</v>
      </c>
      <c r="G50" s="2">
        <f>+TablaGeneral[[#This Row],[Kg 2026]]/4</f>
        <v>29000</v>
      </c>
      <c r="H50">
        <v>4576</v>
      </c>
      <c r="J50" t="s">
        <v>20</v>
      </c>
      <c r="K50">
        <f>10000/IF(LEN(TablaGeneral[[#This Row],[Marco de plantación]])&gt;3,(MID(TablaGeneral[[#This Row],[Marco de plantación]],1,3)*MID(TablaGeneral[[#This Row],[Marco de plantación]],5,3)),(3*2))</f>
        <v>1600</v>
      </c>
      <c r="L50">
        <v>10</v>
      </c>
      <c r="M50">
        <f>+TablaGeneral[[#This Row],[Plantas x Has]]*TablaGeneral[[#This Row],[N° de Guías x planta]]</f>
        <v>16000</v>
      </c>
      <c r="N50">
        <v>9</v>
      </c>
      <c r="O50">
        <f>+TablaGeneral[[#This Row],[N° de Guías x planta]]*TablaGeneral[[#This Row],[N° de Yemas x Guias]]</f>
        <v>90</v>
      </c>
      <c r="P50">
        <v>0.7</v>
      </c>
      <c r="Q50">
        <f>+TablaGeneral[[#This Row],[N° de Yemas x Planta]]*TablaGeneral[[#This Row],[% de Brotación]]</f>
        <v>62.999999999999993</v>
      </c>
      <c r="R50">
        <v>0.79</v>
      </c>
      <c r="S50">
        <v>1.5</v>
      </c>
      <c r="T50">
        <f>+TablaGeneral[[#This Row],[N° de Brotes x Planta]]*TablaGeneral[[#This Row],[% de Fertilidad]]*TablaGeneral[[#This Row],[Cantidad de Racimos x Brote]]</f>
        <v>74.655000000000001</v>
      </c>
      <c r="U50">
        <v>0.33960000000000001</v>
      </c>
      <c r="V50">
        <f>+TablaGeneral[[#This Row],[Cantidad de Racimos x Planta]]*TablaGeneral[[#This Row],[Peso del Racimo]]</f>
        <v>25.352838000000002</v>
      </c>
      <c r="W50">
        <f>+TablaGeneral[[#This Row],[Plantas]]*TablaGeneral[[#This Row],[Kg x Planta]]</f>
        <v>116014.58668800001</v>
      </c>
      <c r="X50">
        <f>+TablaGeneral[[#This Row],[Kg x Cuartel]]/TablaGeneral[[#This Row],[Has]]</f>
        <v>40005.029892413797</v>
      </c>
      <c r="Y50" t="s">
        <v>42</v>
      </c>
      <c r="Z50">
        <v>140</v>
      </c>
      <c r="AA50">
        <f>+TablaGeneral[[#This Row],[Rendimiento Poda]]*1.5</f>
        <v>210</v>
      </c>
      <c r="AB50">
        <v>203</v>
      </c>
      <c r="AC50">
        <v>500</v>
      </c>
      <c r="AD50">
        <v>500</v>
      </c>
      <c r="AE50">
        <v>500</v>
      </c>
      <c r="AF50">
        <v>300</v>
      </c>
      <c r="AG50">
        <f>+IFERROR(TablaGeneral[[#This Row],[Plantas]]/TablaGeneral[[#This Row],[Rendimiento Poda]],0)</f>
        <v>32.685714285714283</v>
      </c>
      <c r="AH50">
        <f>+TablaGeneral[[#This Row],[Plantas]]/TablaGeneral[[#This Row],[Rendimiento Atada]]</f>
        <v>21.790476190476191</v>
      </c>
      <c r="AI50">
        <f>+IFERROR(TablaGeneral[[#This Row],[Plantas]]/TablaGeneral[[#This Row],[Rendimiento Desbrote de troncos]],0)</f>
        <v>22.541871921182267</v>
      </c>
      <c r="AJ50" s="2">
        <f>+IFERROR(TablaGeneral[[#This Row],[Plantas]]/TablaGeneral[[#This Row],[Rendimiento Acomodo de brotes ]],0)</f>
        <v>9.1519999999999992</v>
      </c>
      <c r="AK50">
        <f>+IFERROR(TablaGeneral[[#This Row],[Plantas]]/TablaGeneral[[#This Row],[Rendimiento Desniete, deshoje ]],0)</f>
        <v>9.1519999999999992</v>
      </c>
      <c r="AL50">
        <f>+IFERROR(TablaGeneral[[#This Row],[Plantas]]/TablaGeneral[[#This Row],[Rendimiento Desbrote con criterio de Poda]],0)</f>
        <v>9.1519999999999992</v>
      </c>
      <c r="AM50">
        <f>+IFERROR(TablaGeneral[[#This Row],[Plantas]]/TablaGeneral[[#This Row],[Rendimiento Raleo de Racimos]],0)</f>
        <v>15.253333333333334</v>
      </c>
      <c r="AN50">
        <f t="shared" si="55"/>
        <v>1.3419354838709678</v>
      </c>
      <c r="AO50">
        <f t="shared" si="56"/>
        <v>0.35316817164467085</v>
      </c>
      <c r="AP50">
        <f t="shared" si="57"/>
        <v>0.2826436071649166</v>
      </c>
      <c r="AQ50">
        <f t="shared" si="58"/>
        <v>0.35316817164467085</v>
      </c>
      <c r="AR50">
        <f t="shared" si="59"/>
        <v>1.69520722389442</v>
      </c>
      <c r="AS50">
        <f t="shared" si="60"/>
        <v>5.0856310916991747</v>
      </c>
      <c r="AT50">
        <f t="shared" si="61"/>
        <v>6.3570300333549588</v>
      </c>
      <c r="AU50">
        <f t="shared" si="62"/>
        <v>3.4610555614382741</v>
      </c>
      <c r="AW50">
        <f t="shared" si="63"/>
        <v>0.2119009029868025</v>
      </c>
      <c r="AX50">
        <f t="shared" si="64"/>
        <v>6.7101988864237248</v>
      </c>
      <c r="AY50">
        <f t="shared" si="65"/>
        <v>1.6952040839007476</v>
      </c>
      <c r="AZ50">
        <f t="shared" si="66"/>
        <v>7.7696937796605852</v>
      </c>
      <c r="BA50">
        <f t="shared" si="67"/>
        <v>0.84760361194721001</v>
      </c>
      <c r="BC50">
        <f t="shared" si="68"/>
        <v>1.3067229410404098</v>
      </c>
      <c r="BD50">
        <f t="shared" si="69"/>
        <v>3.1799861014593467</v>
      </c>
      <c r="BF50">
        <f t="shared" si="70"/>
        <v>1.1655629139072847</v>
      </c>
      <c r="BG50">
        <f t="shared" si="71"/>
        <v>2.1905217807563426</v>
      </c>
      <c r="BH50">
        <f t="shared" si="72"/>
        <v>3.1799861014593467</v>
      </c>
      <c r="BI50">
        <f t="shared" si="73"/>
        <v>0.70639086137696816</v>
      </c>
      <c r="BJ50">
        <f t="shared" si="74"/>
        <v>2.4020997375328084</v>
      </c>
      <c r="BK50">
        <f t="shared" si="75"/>
        <v>0.77704194260485648</v>
      </c>
      <c r="BL50">
        <f t="shared" si="76"/>
        <v>4.4499333871422602</v>
      </c>
      <c r="BM50">
        <f t="shared" si="77"/>
        <v>2.1194997684113015</v>
      </c>
      <c r="BN50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305.16533146508363</v>
      </c>
      <c r="BO50" s="1">
        <f>+TablaGeneral[[#This Row],[Combustible]]/100</f>
        <v>3.0516533146508364</v>
      </c>
      <c r="BP50" s="1">
        <f>+TablaGeneral[[#This Row],[Combustible]]/150</f>
        <v>2.0344355431005576</v>
      </c>
      <c r="BQ50" s="1">
        <f>+TablaGeneral[[#This Row],[Combustible]]/200</f>
        <v>1.5258266573254182</v>
      </c>
      <c r="BR50">
        <f t="shared" si="78"/>
        <v>3.5335907335907337</v>
      </c>
      <c r="BS50">
        <f t="shared" si="79"/>
        <v>4.5943775100401609</v>
      </c>
      <c r="BT50">
        <f t="shared" si="80"/>
        <v>10.592592592592593</v>
      </c>
      <c r="BU50">
        <f t="shared" si="81"/>
        <v>1.2718176764869371</v>
      </c>
      <c r="BW50">
        <f t="shared" si="85"/>
        <v>1.2714642956376772</v>
      </c>
      <c r="BX50">
        <f t="shared" si="84"/>
        <v>1.8370132476916901</v>
      </c>
      <c r="BY50">
        <f t="shared" si="82"/>
        <v>3.7446808510638299</v>
      </c>
      <c r="BZ50">
        <f t="shared" si="83"/>
        <v>2.4721772015126957</v>
      </c>
      <c r="CA50">
        <f>+H50/1472</f>
        <v>3.1086956521739131</v>
      </c>
      <c r="CB50">
        <f>+H50/3599</f>
        <v>1.2714642956376772</v>
      </c>
      <c r="CC50">
        <f>+H50/10797</f>
        <v>0.42382143187922572</v>
      </c>
      <c r="CF50">
        <f>+H50/661</f>
        <v>6.9228441754916794</v>
      </c>
      <c r="CG50">
        <f>+H50/7198</f>
        <v>0.63573214781883858</v>
      </c>
      <c r="CH50">
        <f>+H50/8098</f>
        <v>0.5650777969869103</v>
      </c>
      <c r="CI50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12.291739851378168</v>
      </c>
      <c r="CJ50" s="59">
        <f>+TablaGeneral[[#This Row],[Tracto elevador]]+TablaGeneral[[#This Row],[Tractor con uñas]]+TablaGeneral[[#This Row],[Tractor con acoplado]]</f>
        <v>15.186970102632754</v>
      </c>
      <c r="CK50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3.0378231924974388</v>
      </c>
      <c r="CL50" s="60">
        <f>+SUM(BR50:BV50)+TablaGeneral[[#This Row],[Cosecha DOV]]+TablaGeneral[[#This Row],[Corte DOV]]</f>
        <v>19.992378512710424</v>
      </c>
      <c r="CM50" s="60">
        <f>+SUM(TablaGeneral[[#This Row],[Colocación de malla]:[Descarga y carga de bines con Autoelevador]])</f>
        <v>22.252971095894136</v>
      </c>
      <c r="CN50" s="59"/>
      <c r="CO50" s="59"/>
      <c r="CP50" s="65" t="str">
        <f>+IF(TablaGeneral[[#This Row],[Finca]]="Puente Alto","Fincas Viejas",IF(TablaGeneral[[#This Row],[Finca]]="Camino Truncado","Fincas Viejas",IF(TablaGeneral[[#This Row],[Finca]]="La Chimbera","Fincas Viejas","El Espejo")))</f>
        <v>Fincas Viejas</v>
      </c>
      <c r="CQ50" t="str">
        <f>+TablaGeneral[[#This Row],[Variedad]]&amp;" "&amp;TablaGeneral[[#This Row],[Año de plantación]]</f>
        <v xml:space="preserve">Arizul </v>
      </c>
      <c r="CR50" t="str">
        <f>+IF(TablaGeneral[[#This Row],[Finca]]="El Espejo I","El Espejo I y II",IF(TablaGeneral[[#This Row],[Finca]]="El Espejo II","El Espejo I y II",TablaGeneral[[#This Row],[Finca]]))</f>
        <v>La Chimbera</v>
      </c>
    </row>
    <row r="51" spans="1:96">
      <c r="A51" t="s">
        <v>13</v>
      </c>
      <c r="B51">
        <v>1</v>
      </c>
      <c r="C51">
        <v>3.13</v>
      </c>
      <c r="D51" t="s">
        <v>6</v>
      </c>
      <c r="E51">
        <v>40000</v>
      </c>
      <c r="F51" s="2">
        <f>+TablaGeneral[[#This Row],[Has]]*TablaGeneral[[#This Row],[Kg x Has]]</f>
        <v>125200</v>
      </c>
      <c r="G51" s="2">
        <f>+TablaGeneral[[#This Row],[Kg 2026]]/4</f>
        <v>31300</v>
      </c>
      <c r="H51">
        <v>6808</v>
      </c>
      <c r="I51">
        <v>2019</v>
      </c>
      <c r="J51" t="s">
        <v>161</v>
      </c>
      <c r="K51">
        <f>10000/IF(LEN(TablaGeneral[[#This Row],[Marco de plantación]])&gt;3,(MID(TablaGeneral[[#This Row],[Marco de plantación]],1,3)*MID(TablaGeneral[[#This Row],[Marco de plantación]],5,3)),(3*2))</f>
        <v>2222.2222222222222</v>
      </c>
      <c r="L51">
        <v>5</v>
      </c>
      <c r="M51">
        <f>+TablaGeneral[[#This Row],[Plantas x Has]]*TablaGeneral[[#This Row],[N° de Guías x planta]]</f>
        <v>11111.111111111111</v>
      </c>
      <c r="N51">
        <v>10</v>
      </c>
      <c r="O51">
        <f>+TablaGeneral[[#This Row],[N° de Guías x planta]]*TablaGeneral[[#This Row],[N° de Yemas x Guias]]</f>
        <v>50</v>
      </c>
      <c r="P51">
        <v>0.7</v>
      </c>
      <c r="Q51">
        <f>+TablaGeneral[[#This Row],[N° de Yemas x Planta]]*TablaGeneral[[#This Row],[% de Brotación]]</f>
        <v>35</v>
      </c>
      <c r="R51">
        <v>0.88</v>
      </c>
      <c r="S51">
        <v>1.5</v>
      </c>
      <c r="T51">
        <f>+TablaGeneral[[#This Row],[N° de Brotes x Planta]]*TablaGeneral[[#This Row],[% de Fertilidad]]*TablaGeneral[[#This Row],[Cantidad de Racimos x Brote]]</f>
        <v>46.2</v>
      </c>
      <c r="U51">
        <v>0.39829999999999999</v>
      </c>
      <c r="V51" s="2">
        <f>+TablaGeneral[[#This Row],[Cantidad de Racimos x Planta]]*TablaGeneral[[#This Row],[Peso del Racimo]]</f>
        <v>18.40146</v>
      </c>
      <c r="W51" s="2">
        <f>+TablaGeneral[[#This Row],[Plantas]]*TablaGeneral[[#This Row],[Kg x Planta]]</f>
        <v>125277.13968000001</v>
      </c>
      <c r="X51" s="2">
        <f>+TablaGeneral[[#This Row],[Kg x Cuartel]]/TablaGeneral[[#This Row],[Has]]</f>
        <v>40024.645265175721</v>
      </c>
      <c r="Y51" t="s">
        <v>162</v>
      </c>
      <c r="Z51">
        <v>120</v>
      </c>
      <c r="AA51">
        <f>+TablaGeneral[[#This Row],[Rendimiento Poda]]</f>
        <v>120</v>
      </c>
      <c r="AB51">
        <v>500</v>
      </c>
      <c r="AC51">
        <v>500</v>
      </c>
      <c r="AD51">
        <v>1000</v>
      </c>
      <c r="AE51">
        <v>500</v>
      </c>
      <c r="AF51">
        <v>100</v>
      </c>
      <c r="AG51">
        <f>+IFERROR(TablaGeneral[[#This Row],[Plantas]]/TablaGeneral[[#This Row],[Rendimiento Poda]],0)</f>
        <v>56.733333333333334</v>
      </c>
      <c r="AH51">
        <f>+TablaGeneral[[#This Row],[Plantas]]/TablaGeneral[[#This Row],[Rendimiento Atada]]</f>
        <v>56.733333333333334</v>
      </c>
      <c r="AI51">
        <f>+IFERROR(TablaGeneral[[#This Row],[Plantas]]/TablaGeneral[[#This Row],[Rendimiento Desbrote de troncos]],0)</f>
        <v>13.616</v>
      </c>
      <c r="AJ51" s="2">
        <f>+IFERROR(TablaGeneral[[#This Row],[Plantas]]/TablaGeneral[[#This Row],[Rendimiento Acomodo de brotes ]],0)</f>
        <v>13.616</v>
      </c>
      <c r="AK51">
        <f>+IFERROR(TablaGeneral[[#This Row],[Plantas]]/TablaGeneral[[#This Row],[Rendimiento Desniete, deshoje ]],0)</f>
        <v>6.8079999999999998</v>
      </c>
      <c r="AL51">
        <f>+IFERROR(TablaGeneral[[#This Row],[Plantas]]/TablaGeneral[[#This Row],[Rendimiento Desbrote con criterio de Poda]],0)</f>
        <v>13.616</v>
      </c>
      <c r="AM51">
        <f>+IFERROR(TablaGeneral[[#This Row],[Plantas]]/TablaGeneral[[#This Row],[Rendimiento Raleo de Racimos]],0)</f>
        <v>68.08</v>
      </c>
      <c r="AN51">
        <f>+H51/83753.7</f>
        <v>8.1285961097838075E-2</v>
      </c>
      <c r="AR51">
        <f>+H51/7563.4</f>
        <v>0.90012428272998923</v>
      </c>
      <c r="AS51">
        <f>+H51/2111.291667</f>
        <v>3.224566319476692</v>
      </c>
      <c r="AT51">
        <f>+H51/175.085</f>
        <v>38.883970642830626</v>
      </c>
      <c r="AU51">
        <f>+H51/919</f>
        <v>7.4080522306855281</v>
      </c>
      <c r="AV51">
        <f>+H51/1282.8</f>
        <v>5.3071406298721548</v>
      </c>
      <c r="AW51">
        <f>+H51/16001.36842</f>
        <v>0.42546361169278046</v>
      </c>
      <c r="AX51">
        <f>+H51/741.52</f>
        <v>9.1811414392059554</v>
      </c>
      <c r="AY51">
        <f>+H51/430.14</f>
        <v>15.827405030920167</v>
      </c>
      <c r="BA51">
        <f>+H51/1070.514085</f>
        <v>6.359561350376814</v>
      </c>
      <c r="BC51">
        <f>+H51/3040.26</f>
        <v>2.2392821666567988</v>
      </c>
      <c r="BD51">
        <f>+H51/9500.81</f>
        <v>0.71657048188522876</v>
      </c>
      <c r="BE51">
        <f>+H51/350</f>
        <v>19.451428571428572</v>
      </c>
      <c r="BF51">
        <f>+H51/3269.1</f>
        <v>2.0825303600379308</v>
      </c>
      <c r="BG51">
        <f>+H51/1063.03</f>
        <v>6.4043347788867671</v>
      </c>
      <c r="BH51">
        <f>+H51/1264</f>
        <v>5.3860759493670889</v>
      </c>
      <c r="BI51">
        <f>+H51/1798.97</f>
        <v>3.7843877329805387</v>
      </c>
      <c r="BJ51">
        <f>+H51/660.926</f>
        <v>10.30069932186054</v>
      </c>
      <c r="BK51">
        <f>+H51/9500</f>
        <v>0.7166315789473684</v>
      </c>
      <c r="BL51">
        <f>+H51/1305</f>
        <v>5.2168582375478927</v>
      </c>
      <c r="BM51">
        <f>+H51/2923</f>
        <v>2.3291139240506329</v>
      </c>
      <c r="BN51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154.22180843536933</v>
      </c>
      <c r="BO51" s="1">
        <f>+TablaGeneral[[#This Row],[Combustible]]/100</f>
        <v>1.5422180843536932</v>
      </c>
      <c r="BP51" s="1">
        <f>+TablaGeneral[[#This Row],[Combustible]]/150</f>
        <v>1.0281453895691288</v>
      </c>
      <c r="BQ51" s="1">
        <f>+TablaGeneral[[#This Row],[Combustible]]/200</f>
        <v>0.77110904217684662</v>
      </c>
      <c r="BR51">
        <f>+H51/6422</f>
        <v>1.0601058860168171</v>
      </c>
      <c r="BS51">
        <f>+H51/3211.25</f>
        <v>2.1200467107824057</v>
      </c>
      <c r="BT51">
        <f>+H51/3211.25</f>
        <v>2.1200467107824057</v>
      </c>
      <c r="BV51">
        <f>+H51/4281.667</f>
        <v>1.5900349093005131</v>
      </c>
      <c r="CI51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9.5920525126716072</v>
      </c>
      <c r="CJ51" s="59">
        <f>+TablaGeneral[[#This Row],[Tracto elevador]]+TablaGeneral[[#This Row],[Tractor con uñas]]+TablaGeneral[[#This Row],[Tractor con acoplado]]</f>
        <v>5.8301283308653247</v>
      </c>
      <c r="CK51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0</v>
      </c>
      <c r="CL51" s="60">
        <f>+SUM(BR51:BV51)+TablaGeneral[[#This Row],[Cosecha DOV]]+TablaGeneral[[#This Row],[Corte DOV]]</f>
        <v>15.243405346637886</v>
      </c>
      <c r="CM51" s="60">
        <f>+SUM(TablaGeneral[[#This Row],[Colocación de malla]:[Descarga y carga de bines con Autoelevador]])</f>
        <v>0</v>
      </c>
      <c r="CN51" s="65">
        <f>+H51/1116</f>
        <v>6.1003584229390677</v>
      </c>
      <c r="CO51" s="65">
        <f>+H51/3022</f>
        <v>2.2528127068166777</v>
      </c>
      <c r="CP51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51" t="str">
        <f>+TablaGeneral[[#This Row],[Variedad]]&amp;" "&amp;TablaGeneral[[#This Row],[Año de plantación]]</f>
        <v>Flame 2019</v>
      </c>
      <c r="CR51" t="str">
        <f>+IF(TablaGeneral[[#This Row],[Finca]]="El Espejo I","El Espejo I y II",IF(TablaGeneral[[#This Row],[Finca]]="El Espejo II","El Espejo I y II",TablaGeneral[[#This Row],[Finca]]))</f>
        <v>El Espejo I y II</v>
      </c>
    </row>
    <row r="52" spans="1:96">
      <c r="A52" t="s">
        <v>13</v>
      </c>
      <c r="B52">
        <v>2</v>
      </c>
      <c r="C52">
        <v>2.85</v>
      </c>
      <c r="D52" t="s">
        <v>6</v>
      </c>
      <c r="E52">
        <v>40000</v>
      </c>
      <c r="F52" s="2">
        <f>+TablaGeneral[[#This Row],[Has]]*TablaGeneral[[#This Row],[Kg x Has]]</f>
        <v>114000</v>
      </c>
      <c r="G52" s="2">
        <f>+TablaGeneral[[#This Row],[Kg 2026]]/4</f>
        <v>28500</v>
      </c>
      <c r="H52">
        <v>6237</v>
      </c>
      <c r="I52">
        <v>2019</v>
      </c>
      <c r="J52" t="s">
        <v>161</v>
      </c>
      <c r="K52">
        <f>10000/IF(LEN(TablaGeneral[[#This Row],[Marco de plantación]])&gt;3,(MID(TablaGeneral[[#This Row],[Marco de plantación]],1,3)*MID(TablaGeneral[[#This Row],[Marco de plantación]],5,3)),(3*2))</f>
        <v>2222.2222222222222</v>
      </c>
      <c r="L52">
        <v>5</v>
      </c>
      <c r="M52">
        <f>+TablaGeneral[[#This Row],[Plantas x Has]]*TablaGeneral[[#This Row],[N° de Guías x planta]]</f>
        <v>11111.111111111111</v>
      </c>
      <c r="N52">
        <v>10</v>
      </c>
      <c r="O52">
        <f>+TablaGeneral[[#This Row],[N° de Guías x planta]]*TablaGeneral[[#This Row],[N° de Yemas x Guias]]</f>
        <v>50</v>
      </c>
      <c r="P52">
        <v>0.7</v>
      </c>
      <c r="Q52">
        <f>+TablaGeneral[[#This Row],[N° de Yemas x Planta]]*TablaGeneral[[#This Row],[% de Brotación]]</f>
        <v>35</v>
      </c>
      <c r="R52">
        <v>0.9</v>
      </c>
      <c r="S52">
        <v>1.5</v>
      </c>
      <c r="T52">
        <f>+TablaGeneral[[#This Row],[N° de Brotes x Planta]]*TablaGeneral[[#This Row],[% de Fertilidad]]*TablaGeneral[[#This Row],[Cantidad de Racimos x Brote]]</f>
        <v>47.25</v>
      </c>
      <c r="U52">
        <v>0.38690000000000002</v>
      </c>
      <c r="V52" s="2">
        <f>+TablaGeneral[[#This Row],[Cantidad de Racimos x Planta]]*TablaGeneral[[#This Row],[Peso del Racimo]]</f>
        <v>18.281025</v>
      </c>
      <c r="W52" s="2">
        <f>+TablaGeneral[[#This Row],[Plantas]]*TablaGeneral[[#This Row],[Kg x Planta]]</f>
        <v>114018.75292499999</v>
      </c>
      <c r="X52" s="2">
        <f>+TablaGeneral[[#This Row],[Kg x Cuartel]]/TablaGeneral[[#This Row],[Has]]</f>
        <v>40006.579973684209</v>
      </c>
      <c r="Y52" t="s">
        <v>162</v>
      </c>
      <c r="Z52">
        <v>120</v>
      </c>
      <c r="AA52">
        <f>+TablaGeneral[[#This Row],[Rendimiento Poda]]</f>
        <v>120</v>
      </c>
      <c r="AB52">
        <v>500</v>
      </c>
      <c r="AC52">
        <v>500</v>
      </c>
      <c r="AD52">
        <v>1000</v>
      </c>
      <c r="AE52">
        <v>500</v>
      </c>
      <c r="AF52">
        <v>100</v>
      </c>
      <c r="AG52">
        <f>+IFERROR(TablaGeneral[[#This Row],[Plantas]]/TablaGeneral[[#This Row],[Rendimiento Poda]],0)</f>
        <v>51.975000000000001</v>
      </c>
      <c r="AH52">
        <f>+TablaGeneral[[#This Row],[Plantas]]/TablaGeneral[[#This Row],[Rendimiento Atada]]</f>
        <v>51.975000000000001</v>
      </c>
      <c r="AI52">
        <f>+IFERROR(TablaGeneral[[#This Row],[Plantas]]/TablaGeneral[[#This Row],[Rendimiento Desbrote de troncos]],0)</f>
        <v>12.474</v>
      </c>
      <c r="AJ52" s="2">
        <f>+IFERROR(TablaGeneral[[#This Row],[Plantas]]/TablaGeneral[[#This Row],[Rendimiento Acomodo de brotes ]],0)</f>
        <v>12.474</v>
      </c>
      <c r="AK52">
        <f>+IFERROR(TablaGeneral[[#This Row],[Plantas]]/TablaGeneral[[#This Row],[Rendimiento Desniete, deshoje ]],0)</f>
        <v>6.2370000000000001</v>
      </c>
      <c r="AL52">
        <f>+IFERROR(TablaGeneral[[#This Row],[Plantas]]/TablaGeneral[[#This Row],[Rendimiento Desbrote con criterio de Poda]],0)</f>
        <v>12.474</v>
      </c>
      <c r="AM52">
        <f>+IFERROR(TablaGeneral[[#This Row],[Plantas]]/TablaGeneral[[#This Row],[Rendimiento Raleo de Racimos]],0)</f>
        <v>62.37</v>
      </c>
      <c r="AN52">
        <f>+H52/83753.7</f>
        <v>7.44683518459483E-2</v>
      </c>
      <c r="AR52">
        <f t="shared" ref="AR52:AR83" si="86">+H52/7563.4</f>
        <v>0.82462913504508562</v>
      </c>
      <c r="AS52">
        <f t="shared" ref="AS52:AS83" si="87">+H52/2111.291667</f>
        <v>2.9541157659483153</v>
      </c>
      <c r="AT52">
        <f t="shared" ref="AT52:AT83" si="88">+H52/197</f>
        <v>31.659898477157359</v>
      </c>
      <c r="AU52">
        <f t="shared" ref="AU52:AU83" si="89">+H52/919</f>
        <v>6.7867247007616971</v>
      </c>
      <c r="AV52">
        <f t="shared" ref="AV52:AV83" si="90">+H52/1282.8</f>
        <v>4.8620205799812908</v>
      </c>
      <c r="AW52">
        <f t="shared" ref="AW52:AW83" si="91">+H52/16001.36842</f>
        <v>0.38977916364980486</v>
      </c>
      <c r="AX52">
        <f t="shared" ref="AX52:AX83" si="92">+H52/741.52</f>
        <v>8.4111015211996989</v>
      </c>
      <c r="AY52">
        <f t="shared" ref="AY52:AY83" si="93">+H52/430.14</f>
        <v>14.499930255265728</v>
      </c>
      <c r="BA52">
        <f t="shared" ref="BA52:BA83" si="94">+H52/1070.514085</f>
        <v>5.8261727588572549</v>
      </c>
      <c r="BC52">
        <f t="shared" ref="BC52:BC83" si="95">+H52/3040.26</f>
        <v>2.0514692822324405</v>
      </c>
      <c r="BD52">
        <f t="shared" ref="BD52:BD83" si="96">+H52/9500.81</f>
        <v>0.65647034305496066</v>
      </c>
      <c r="BE52">
        <f t="shared" ref="BE52:BE83" si="97">+H52/350</f>
        <v>17.82</v>
      </c>
      <c r="BF52">
        <f t="shared" ref="BF52:BF83" si="98">+H52/3269.1</f>
        <v>1.9078645498761126</v>
      </c>
      <c r="BG52">
        <f t="shared" ref="BG52:BG83" si="99">+H52/1063.03</f>
        <v>5.8671909541593372</v>
      </c>
      <c r="BH52">
        <f t="shared" ref="BH52:BH83" si="100">+H52/1264</f>
        <v>4.9343354430379751</v>
      </c>
      <c r="BI52">
        <f t="shared" ref="BI52:BI83" si="101">+H52/1798.97</f>
        <v>3.4669838852232111</v>
      </c>
      <c r="BJ52">
        <f t="shared" ref="BJ52:BJ83" si="102">+H52/660.926</f>
        <v>9.4367599398419788</v>
      </c>
      <c r="BK52">
        <f t="shared" ref="BK52:BK83" si="103">+H52/9500</f>
        <v>0.65652631578947374</v>
      </c>
      <c r="BL52">
        <f t="shared" ref="BL52:BL83" si="104">+H52/1305</f>
        <v>4.7793103448275858</v>
      </c>
      <c r="BM52">
        <f t="shared" ref="BM52:BM83" si="105">+H52/2923</f>
        <v>2.1337666780704754</v>
      </c>
      <c r="BN52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141.28692996642164</v>
      </c>
      <c r="BO52" s="1">
        <f>+TablaGeneral[[#This Row],[Combustible]]/100</f>
        <v>1.4128692996642165</v>
      </c>
      <c r="BP52" s="1">
        <f>+TablaGeneral[[#This Row],[Combustible]]/150</f>
        <v>0.94191286644281091</v>
      </c>
      <c r="BQ52" s="1">
        <f>+TablaGeneral[[#This Row],[Combustible]]/200</f>
        <v>0.70643464983210824</v>
      </c>
      <c r="BR52">
        <f>+H52/6422</f>
        <v>0.97119277483649957</v>
      </c>
      <c r="BS52">
        <f>+H52/3211.25</f>
        <v>1.9422343324250682</v>
      </c>
      <c r="BT52">
        <f>+H52/3211.25</f>
        <v>1.9422343324250682</v>
      </c>
      <c r="BV52">
        <f>+H52/4281.667</f>
        <v>1.4566756359147033</v>
      </c>
      <c r="CI52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8.7875486958773248</v>
      </c>
      <c r="CJ52" s="59">
        <f>+TablaGeneral[[#This Row],[Tracto elevador]]+TablaGeneral[[#This Row],[Tractor con uñas]]+TablaGeneral[[#This Row],[Tractor con acoplado]]</f>
        <v>5.3411443007648396</v>
      </c>
      <c r="CK52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0</v>
      </c>
      <c r="CL52" s="60">
        <f>+SUM(BR52:BV52)+TablaGeneral[[#This Row],[Cosecha DOV]]+TablaGeneral[[#This Row],[Corte DOV]]</f>
        <v>13.964911743093493</v>
      </c>
      <c r="CM52" s="60">
        <f>+SUM(TablaGeneral[[#This Row],[Colocación de malla]:[Descarga y carga de bines con Autoelevador]])</f>
        <v>0</v>
      </c>
      <c r="CN52" s="65">
        <f>+H52/1116</f>
        <v>5.588709677419355</v>
      </c>
      <c r="CO52" s="65">
        <f>+H52/3022</f>
        <v>2.0638649900727994</v>
      </c>
      <c r="CP52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52" t="str">
        <f>+TablaGeneral[[#This Row],[Variedad]]&amp;" "&amp;TablaGeneral[[#This Row],[Año de plantación]]</f>
        <v>Flame 2019</v>
      </c>
      <c r="CR52" t="str">
        <f>+IF(TablaGeneral[[#This Row],[Finca]]="El Espejo I","El Espejo I y II",IF(TablaGeneral[[#This Row],[Finca]]="El Espejo II","El Espejo I y II",TablaGeneral[[#This Row],[Finca]]))</f>
        <v>El Espejo I y II</v>
      </c>
    </row>
    <row r="53" spans="1:96">
      <c r="A53" t="s">
        <v>13</v>
      </c>
      <c r="B53">
        <v>3</v>
      </c>
      <c r="C53">
        <v>6.31</v>
      </c>
      <c r="D53" t="s">
        <v>6</v>
      </c>
      <c r="E53">
        <v>12000</v>
      </c>
      <c r="F53" s="2">
        <f>+TablaGeneral[[#This Row],[Has]]*TablaGeneral[[#This Row],[Kg x Has]]</f>
        <v>75720</v>
      </c>
      <c r="G53" s="2">
        <f>+TablaGeneral[[#This Row],[Kg 2026]]/4</f>
        <v>18930</v>
      </c>
      <c r="H53">
        <v>13708</v>
      </c>
      <c r="I53">
        <v>2020</v>
      </c>
      <c r="J53" t="s">
        <v>161</v>
      </c>
      <c r="K53">
        <f>10000/IF(LEN(TablaGeneral[[#This Row],[Marco de plantación]])&gt;3,(MID(TablaGeneral[[#This Row],[Marco de plantación]],1,3)*MID(TablaGeneral[[#This Row],[Marco de plantación]],5,3)),(3*2))</f>
        <v>2222.2222222222222</v>
      </c>
      <c r="L53">
        <v>3</v>
      </c>
      <c r="M53">
        <f>+TablaGeneral[[#This Row],[Plantas x Has]]*TablaGeneral[[#This Row],[N° de Guías x planta]]</f>
        <v>6666.6666666666661</v>
      </c>
      <c r="N53">
        <v>5</v>
      </c>
      <c r="O53">
        <f>+TablaGeneral[[#This Row],[N° de Guías x planta]]*TablaGeneral[[#This Row],[N° de Yemas x Guias]]</f>
        <v>15</v>
      </c>
      <c r="P53">
        <v>0.8</v>
      </c>
      <c r="Q53">
        <f>+TablaGeneral[[#This Row],[N° de Yemas x Planta]]*TablaGeneral[[#This Row],[% de Brotación]]</f>
        <v>12</v>
      </c>
      <c r="R53">
        <v>0.8</v>
      </c>
      <c r="S53">
        <v>1.5</v>
      </c>
      <c r="T53">
        <f>+TablaGeneral[[#This Row],[N° de Brotes x Planta]]*TablaGeneral[[#This Row],[% de Fertilidad]]*TablaGeneral[[#This Row],[Cantidad de Racimos x Brote]]</f>
        <v>14.400000000000002</v>
      </c>
      <c r="U53">
        <v>0.38390000000000002</v>
      </c>
      <c r="V53" s="2">
        <f>+TablaGeneral[[#This Row],[Cantidad de Racimos x Planta]]*TablaGeneral[[#This Row],[Peso del Racimo]]</f>
        <v>5.5281600000000015</v>
      </c>
      <c r="W53" s="2">
        <f>+TablaGeneral[[#This Row],[Plantas]]*TablaGeneral[[#This Row],[Kg x Planta]]</f>
        <v>75780.017280000015</v>
      </c>
      <c r="X53" s="2">
        <f>+TablaGeneral[[#This Row],[Kg x Cuartel]]/TablaGeneral[[#This Row],[Has]]</f>
        <v>12009.511454833601</v>
      </c>
      <c r="Y53" t="s">
        <v>163</v>
      </c>
      <c r="Z53">
        <v>680</v>
      </c>
      <c r="AA53">
        <f>+TablaGeneral[[#This Row],[Rendimiento Poda]]*1.5</f>
        <v>1020</v>
      </c>
      <c r="AB53">
        <v>81</v>
      </c>
      <c r="AC53">
        <v>269</v>
      </c>
      <c r="AE53">
        <v>200</v>
      </c>
      <c r="AG53">
        <f>+IFERROR(TablaGeneral[[#This Row],[Plantas]]/TablaGeneral[[#This Row],[Rendimiento Poda]],0)</f>
        <v>20.158823529411766</v>
      </c>
      <c r="AH53">
        <f>+TablaGeneral[[#This Row],[Plantas]]/TablaGeneral[[#This Row],[Rendimiento Atada]]</f>
        <v>13.43921568627451</v>
      </c>
      <c r="AI53">
        <f>+IFERROR(TablaGeneral[[#This Row],[Plantas]]/TablaGeneral[[#This Row],[Rendimiento Desbrote de troncos]],0)</f>
        <v>169.23456790123456</v>
      </c>
      <c r="AJ53" s="2">
        <f>+IFERROR(TablaGeneral[[#This Row],[Plantas]]/TablaGeneral[[#This Row],[Rendimiento Acomodo de brotes ]],0)</f>
        <v>50.959107806691449</v>
      </c>
      <c r="AK53">
        <f>+IFERROR(TablaGeneral[[#This Row],[Plantas]]/TablaGeneral[[#This Row],[Rendimiento Desniete, deshoje ]],0)</f>
        <v>0</v>
      </c>
      <c r="AL53">
        <f>+IFERROR(TablaGeneral[[#This Row],[Plantas]]/TablaGeneral[[#This Row],[Rendimiento Desbrote con criterio de Poda]],0)</f>
        <v>68.540000000000006</v>
      </c>
      <c r="AM53">
        <f>+IFERROR(TablaGeneral[[#This Row],[Plantas]]/TablaGeneral[[#This Row],[Rendimiento Raleo de Racimos]],0)</f>
        <v>0</v>
      </c>
      <c r="AN53">
        <f>+H53/83753.7</f>
        <v>0.16367038112943069</v>
      </c>
      <c r="AR53">
        <f t="shared" si="86"/>
        <v>1.8124124071184917</v>
      </c>
      <c r="AS53">
        <f t="shared" si="87"/>
        <v>6.4927078594868535</v>
      </c>
      <c r="AT53">
        <f t="shared" si="88"/>
        <v>69.583756345177662</v>
      </c>
      <c r="AU53">
        <f t="shared" si="89"/>
        <v>14.916213275299238</v>
      </c>
      <c r="AV53">
        <f t="shared" si="90"/>
        <v>10.685999376364204</v>
      </c>
      <c r="AW53">
        <f t="shared" si="91"/>
        <v>0.85667673165167957</v>
      </c>
      <c r="AX53">
        <f t="shared" si="92"/>
        <v>18.486352357320101</v>
      </c>
      <c r="AY53">
        <f t="shared" si="93"/>
        <v>31.868693913609523</v>
      </c>
      <c r="BA53">
        <f t="shared" si="94"/>
        <v>12.805062719001963</v>
      </c>
      <c r="BC53">
        <f t="shared" si="95"/>
        <v>4.5088249031332843</v>
      </c>
      <c r="BD53">
        <f t="shared" si="96"/>
        <v>1.4428243486607986</v>
      </c>
      <c r="BE53">
        <f t="shared" si="97"/>
        <v>39.165714285714287</v>
      </c>
      <c r="BF53">
        <f t="shared" si="98"/>
        <v>4.1932030222385368</v>
      </c>
      <c r="BG53">
        <f t="shared" si="99"/>
        <v>12.895214622353086</v>
      </c>
      <c r="BH53">
        <f t="shared" si="100"/>
        <v>10.844936708860759</v>
      </c>
      <c r="BI53">
        <f t="shared" si="101"/>
        <v>7.6199158407310845</v>
      </c>
      <c r="BJ53">
        <f t="shared" si="102"/>
        <v>20.740597283205684</v>
      </c>
      <c r="BK53">
        <f t="shared" si="103"/>
        <v>1.4429473684210525</v>
      </c>
      <c r="BL53">
        <f t="shared" si="104"/>
        <v>10.504214559386973</v>
      </c>
      <c r="BM53">
        <f t="shared" si="105"/>
        <v>4.6897023605884369</v>
      </c>
      <c r="BN53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599.76059029461373</v>
      </c>
      <c r="BO53" s="1">
        <f>+TablaGeneral[[#This Row],[Combustible]]/100</f>
        <v>5.9976059029461375</v>
      </c>
      <c r="BP53" s="1">
        <f>+TablaGeneral[[#This Row],[Combustible]]/150</f>
        <v>3.998403935297425</v>
      </c>
      <c r="BQ53" s="1">
        <f>+TablaGeneral[[#This Row],[Combustible]]/200</f>
        <v>2.9988029514730687</v>
      </c>
      <c r="BR53">
        <f>+H53/1683.071</f>
        <v>8.1446356095494483</v>
      </c>
      <c r="BS53">
        <f>+H53/1683.071</f>
        <v>8.1446356095494483</v>
      </c>
      <c r="BT53">
        <f>+H53/826.78</f>
        <v>16.579985002056169</v>
      </c>
      <c r="BU53">
        <f>+H53/6732.286</f>
        <v>2.0361582974936003</v>
      </c>
      <c r="BV53">
        <f>+H53/1683.071</f>
        <v>8.1446356095494483</v>
      </c>
      <c r="BW53">
        <f>+F53/26645.3</f>
        <v>2.8417769738002576</v>
      </c>
      <c r="BX53">
        <f>+F53/15923.3</f>
        <v>4.7552956987559112</v>
      </c>
      <c r="BY53">
        <f>+F53/7925</f>
        <v>9.5545741324921138</v>
      </c>
      <c r="BZ53">
        <f>+F53/13208</f>
        <v>5.7328891580860084</v>
      </c>
      <c r="CA53">
        <f>+F53/10585.1</f>
        <v>7.15345154982003</v>
      </c>
      <c r="CB53">
        <f>+F53/26645.3</f>
        <v>2.8417769738002576</v>
      </c>
      <c r="CC53">
        <f>+F53/70246.8</f>
        <v>1.0779138693862211</v>
      </c>
      <c r="CF53">
        <f>+F53/3992.41</f>
        <v>18.965987962158195</v>
      </c>
      <c r="CG53">
        <f>+F53/48294</f>
        <v>1.5678966331221269</v>
      </c>
      <c r="CH53">
        <f>+F53/51514.3</f>
        <v>1.4698831198327453</v>
      </c>
      <c r="CI53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19.313727356595535</v>
      </c>
      <c r="CJ53" s="59">
        <f>+TablaGeneral[[#This Row],[Tracto elevador]]+TablaGeneral[[#This Row],[Tractor con uñas]]+TablaGeneral[[#This Row],[Tractor con acoplado]]</f>
        <v>32.869256221155062</v>
      </c>
      <c r="CK53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7.7930754517107843</v>
      </c>
      <c r="CL53" s="60">
        <f>+SUM(BR53:BV53)+TablaGeneral[[#This Row],[Cosecha DOV]]+TablaGeneral[[#This Row],[Corte DOV]]</f>
        <v>43.050050128198116</v>
      </c>
      <c r="CM53" s="60">
        <f>+SUM(TablaGeneral[[#This Row],[Colocación de malla]:[Descarga y carga de bines con Autoelevador]])</f>
        <v>55.961446071253867</v>
      </c>
      <c r="CN53" s="64"/>
      <c r="CO53" s="64"/>
      <c r="CP53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53" t="str">
        <f>+TablaGeneral[[#This Row],[Variedad]]&amp;" "&amp;TablaGeneral[[#This Row],[Año de plantación]]</f>
        <v>Flame 2020</v>
      </c>
      <c r="CR53" t="str">
        <f>+IF(TablaGeneral[[#This Row],[Finca]]="El Espejo I","El Espejo I y II",IF(TablaGeneral[[#This Row],[Finca]]="El Espejo II","El Espejo I y II",TablaGeneral[[#This Row],[Finca]]))</f>
        <v>El Espejo I y II</v>
      </c>
    </row>
    <row r="54" spans="1:96">
      <c r="A54" t="s">
        <v>13</v>
      </c>
      <c r="B54">
        <v>4</v>
      </c>
      <c r="C54">
        <v>6.31</v>
      </c>
      <c r="D54" t="s">
        <v>6</v>
      </c>
      <c r="E54">
        <v>40000</v>
      </c>
      <c r="F54" s="2">
        <f>+TablaGeneral[[#This Row],[Has]]*TablaGeneral[[#This Row],[Kg x Has]]</f>
        <v>252399.99999999997</v>
      </c>
      <c r="G54" s="2">
        <f>+TablaGeneral[[#This Row],[Kg 2026]]/4</f>
        <v>63099.999999999993</v>
      </c>
      <c r="H54">
        <v>13708</v>
      </c>
      <c r="I54">
        <v>2019</v>
      </c>
      <c r="J54" t="s">
        <v>161</v>
      </c>
      <c r="K54">
        <f>10000/IF(LEN(TablaGeneral[[#This Row],[Marco de plantación]])&gt;3,(MID(TablaGeneral[[#This Row],[Marco de plantación]],1,3)*MID(TablaGeneral[[#This Row],[Marco de plantación]],5,3)),(3*2))</f>
        <v>2222.2222222222222</v>
      </c>
      <c r="L54">
        <v>4</v>
      </c>
      <c r="M54">
        <f>+TablaGeneral[[#This Row],[Plantas x Has]]*TablaGeneral[[#This Row],[N° de Guías x planta]]</f>
        <v>8888.8888888888887</v>
      </c>
      <c r="N54">
        <v>10</v>
      </c>
      <c r="O54">
        <f>+TablaGeneral[[#This Row],[N° de Guías x planta]]*TablaGeneral[[#This Row],[N° de Yemas x Guias]]</f>
        <v>40</v>
      </c>
      <c r="P54">
        <v>0.9</v>
      </c>
      <c r="Q54">
        <f>+TablaGeneral[[#This Row],[N° de Yemas x Planta]]*TablaGeneral[[#This Row],[% de Brotación]]</f>
        <v>36</v>
      </c>
      <c r="R54">
        <v>0.9</v>
      </c>
      <c r="S54">
        <v>1.5</v>
      </c>
      <c r="T54">
        <f>+TablaGeneral[[#This Row],[N° de Brotes x Planta]]*TablaGeneral[[#This Row],[% de Fertilidad]]*TablaGeneral[[#This Row],[Cantidad de Racimos x Brote]]</f>
        <v>48.599999999999994</v>
      </c>
      <c r="U54">
        <v>0.37890000000000001</v>
      </c>
      <c r="V54" s="2">
        <f>+TablaGeneral[[#This Row],[Cantidad de Racimos x Planta]]*TablaGeneral[[#This Row],[Peso del Racimo]]</f>
        <v>18.414539999999999</v>
      </c>
      <c r="W54" s="2">
        <f>+TablaGeneral[[#This Row],[Plantas]]*TablaGeneral[[#This Row],[Kg x Planta]]</f>
        <v>252426.51431999999</v>
      </c>
      <c r="X54" s="2">
        <f>+TablaGeneral[[#This Row],[Kg x Cuartel]]/TablaGeneral[[#This Row],[Has]]</f>
        <v>40004.201952456417</v>
      </c>
      <c r="Y54" t="s">
        <v>162</v>
      </c>
      <c r="Z54">
        <v>120</v>
      </c>
      <c r="AA54">
        <f>+TablaGeneral[[#This Row],[Rendimiento Poda]]</f>
        <v>120</v>
      </c>
      <c r="AB54">
        <v>500</v>
      </c>
      <c r="AC54">
        <v>500</v>
      </c>
      <c r="AD54">
        <v>1000</v>
      </c>
      <c r="AE54">
        <v>500</v>
      </c>
      <c r="AF54">
        <v>100</v>
      </c>
      <c r="AG54">
        <f>+IFERROR(TablaGeneral[[#This Row],[Plantas]]/TablaGeneral[[#This Row],[Rendimiento Poda]],0)</f>
        <v>114.23333333333333</v>
      </c>
      <c r="AH54">
        <f>+TablaGeneral[[#This Row],[Plantas]]/TablaGeneral[[#This Row],[Rendimiento Atada]]</f>
        <v>114.23333333333333</v>
      </c>
      <c r="AI54">
        <f>+IFERROR(TablaGeneral[[#This Row],[Plantas]]/TablaGeneral[[#This Row],[Rendimiento Desbrote de troncos]],0)</f>
        <v>27.416</v>
      </c>
      <c r="AJ54" s="2">
        <f>+IFERROR(TablaGeneral[[#This Row],[Plantas]]/TablaGeneral[[#This Row],[Rendimiento Acomodo de brotes ]],0)</f>
        <v>27.416</v>
      </c>
      <c r="AK54">
        <f>+IFERROR(TablaGeneral[[#This Row],[Plantas]]/TablaGeneral[[#This Row],[Rendimiento Desniete, deshoje ]],0)</f>
        <v>13.708</v>
      </c>
      <c r="AL54">
        <f>+IFERROR(TablaGeneral[[#This Row],[Plantas]]/TablaGeneral[[#This Row],[Rendimiento Desbrote con criterio de Poda]],0)</f>
        <v>27.416</v>
      </c>
      <c r="AM54">
        <f>+IFERROR(TablaGeneral[[#This Row],[Plantas]]/TablaGeneral[[#This Row],[Rendimiento Raleo de Racimos]],0)</f>
        <v>137.08000000000001</v>
      </c>
      <c r="AN54">
        <f t="shared" ref="AN54:AN83" si="106">+H54/83753.7</f>
        <v>0.16367038112943069</v>
      </c>
      <c r="AR54">
        <f t="shared" si="86"/>
        <v>1.8124124071184917</v>
      </c>
      <c r="AS54">
        <f t="shared" si="87"/>
        <v>6.4927078594868535</v>
      </c>
      <c r="AT54">
        <f t="shared" si="88"/>
        <v>69.583756345177662</v>
      </c>
      <c r="AU54">
        <f t="shared" si="89"/>
        <v>14.916213275299238</v>
      </c>
      <c r="AV54">
        <f t="shared" si="90"/>
        <v>10.685999376364204</v>
      </c>
      <c r="AW54">
        <f t="shared" si="91"/>
        <v>0.85667673165167957</v>
      </c>
      <c r="AX54">
        <f t="shared" si="92"/>
        <v>18.486352357320101</v>
      </c>
      <c r="AY54">
        <f t="shared" si="93"/>
        <v>31.868693913609523</v>
      </c>
      <c r="BA54">
        <f t="shared" si="94"/>
        <v>12.805062719001963</v>
      </c>
      <c r="BC54">
        <f t="shared" si="95"/>
        <v>4.5088249031332843</v>
      </c>
      <c r="BD54">
        <f t="shared" si="96"/>
        <v>1.4428243486607986</v>
      </c>
      <c r="BE54">
        <f t="shared" si="97"/>
        <v>39.165714285714287</v>
      </c>
      <c r="BF54">
        <f t="shared" si="98"/>
        <v>4.1932030222385368</v>
      </c>
      <c r="BG54">
        <f t="shared" si="99"/>
        <v>12.895214622353086</v>
      </c>
      <c r="BH54">
        <f t="shared" si="100"/>
        <v>10.844936708860759</v>
      </c>
      <c r="BI54">
        <f t="shared" si="101"/>
        <v>7.6199158407310845</v>
      </c>
      <c r="BJ54">
        <f t="shared" si="102"/>
        <v>20.740597283205684</v>
      </c>
      <c r="BK54">
        <f t="shared" si="103"/>
        <v>1.4429473684210525</v>
      </c>
      <c r="BL54">
        <f t="shared" si="104"/>
        <v>10.504214559386973</v>
      </c>
      <c r="BM54">
        <f t="shared" si="105"/>
        <v>4.6897023605884369</v>
      </c>
      <c r="BN54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310.52769536310853</v>
      </c>
      <c r="BO54" s="1">
        <f>+TablaGeneral[[#This Row],[Combustible]]/100</f>
        <v>3.1052769536310851</v>
      </c>
      <c r="BP54" s="1">
        <f>+TablaGeneral[[#This Row],[Combustible]]/150</f>
        <v>2.0701846357540568</v>
      </c>
      <c r="BQ54" s="1">
        <f>+TablaGeneral[[#This Row],[Combustible]]/200</f>
        <v>1.5526384768155426</v>
      </c>
      <c r="BR54">
        <f>+H54/6422</f>
        <v>2.1345375272500777</v>
      </c>
      <c r="BS54">
        <f>+H54/3211.25</f>
        <v>4.2687427014402495</v>
      </c>
      <c r="BT54">
        <f>+H54/3211.25</f>
        <v>4.2687427014402495</v>
      </c>
      <c r="BV54">
        <f>+H54/4281.667</f>
        <v>3.2015567768348165</v>
      </c>
      <c r="CI54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19.313727356595535</v>
      </c>
      <c r="CJ54" s="59">
        <f>+TablaGeneral[[#This Row],[Tracto elevador]]+TablaGeneral[[#This Row],[Tractor con uñas]]+TablaGeneral[[#This Row],[Tractor con acoplado]]</f>
        <v>11.739042179715316</v>
      </c>
      <c r="CK54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0</v>
      </c>
      <c r="CL54" s="60">
        <f>+SUM(BR54:BV54)+TablaGeneral[[#This Row],[Cosecha DOV]]+TablaGeneral[[#This Row],[Corte DOV]]</f>
        <v>30.692802657419531</v>
      </c>
      <c r="CM54" s="60">
        <f>+SUM(TablaGeneral[[#This Row],[Colocación de malla]:[Descarga y carga de bines con Autoelevador]])</f>
        <v>0</v>
      </c>
      <c r="CN54" s="65">
        <f>+H54/1116</f>
        <v>12.283154121863799</v>
      </c>
      <c r="CO54" s="65">
        <f>+H54/3022</f>
        <v>4.5360688285903379</v>
      </c>
      <c r="CP54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54" t="str">
        <f>+TablaGeneral[[#This Row],[Variedad]]&amp;" "&amp;TablaGeneral[[#This Row],[Año de plantación]]</f>
        <v>Flame 2019</v>
      </c>
      <c r="CR54" t="str">
        <f>+IF(TablaGeneral[[#This Row],[Finca]]="El Espejo I","El Espejo I y II",IF(TablaGeneral[[#This Row],[Finca]]="El Espejo II","El Espejo I y II",TablaGeneral[[#This Row],[Finca]]))</f>
        <v>El Espejo I y II</v>
      </c>
    </row>
    <row r="55" spans="1:96">
      <c r="A55" t="s">
        <v>13</v>
      </c>
      <c r="B55">
        <v>5</v>
      </c>
      <c r="C55">
        <v>4.58</v>
      </c>
      <c r="D55" t="s">
        <v>6</v>
      </c>
      <c r="E55">
        <v>10000</v>
      </c>
      <c r="F55" s="2">
        <f>+TablaGeneral[[#This Row],[Has]]*TablaGeneral[[#This Row],[Kg x Has]]</f>
        <v>45800</v>
      </c>
      <c r="G55" s="2">
        <f>+TablaGeneral[[#This Row],[Kg 2026]]/4</f>
        <v>11450</v>
      </c>
      <c r="H55">
        <v>7494</v>
      </c>
      <c r="I55">
        <v>2020</v>
      </c>
      <c r="J55" t="s">
        <v>161</v>
      </c>
      <c r="K55">
        <f>10000/IF(LEN(TablaGeneral[[#This Row],[Marco de plantación]])&gt;3,(MID(TablaGeneral[[#This Row],[Marco de plantación]],1,3)*MID(TablaGeneral[[#This Row],[Marco de plantación]],5,3)),(3*2))</f>
        <v>2222.2222222222222</v>
      </c>
      <c r="L55">
        <v>4</v>
      </c>
      <c r="M55">
        <f>+TablaGeneral[[#This Row],[Plantas x Has]]*TablaGeneral[[#This Row],[N° de Guías x planta]]</f>
        <v>8888.8888888888887</v>
      </c>
      <c r="N55">
        <v>4</v>
      </c>
      <c r="O55">
        <f>+TablaGeneral[[#This Row],[N° de Guías x planta]]*TablaGeneral[[#This Row],[N° de Yemas x Guias]]</f>
        <v>16</v>
      </c>
      <c r="P55">
        <v>0.79</v>
      </c>
      <c r="Q55">
        <f>+TablaGeneral[[#This Row],[N° de Yemas x Planta]]*TablaGeneral[[#This Row],[% de Brotación]]</f>
        <v>12.64</v>
      </c>
      <c r="R55">
        <v>0.88</v>
      </c>
      <c r="S55">
        <v>1.5</v>
      </c>
      <c r="T55">
        <f>+TablaGeneral[[#This Row],[N° de Brotes x Planta]]*TablaGeneral[[#This Row],[% de Fertilidad]]*TablaGeneral[[#This Row],[Cantidad de Racimos x Brote]]</f>
        <v>16.684800000000003</v>
      </c>
      <c r="U55">
        <v>0.36680000000000001</v>
      </c>
      <c r="V55" s="2">
        <f>+TablaGeneral[[#This Row],[Cantidad de Racimos x Planta]]*TablaGeneral[[#This Row],[Peso del Racimo]]</f>
        <v>6.1199846400000011</v>
      </c>
      <c r="W55" s="2">
        <f>+TablaGeneral[[#This Row],[Plantas]]*TablaGeneral[[#This Row],[Kg x Planta]]</f>
        <v>45863.164892160006</v>
      </c>
      <c r="X55" s="2">
        <f>+TablaGeneral[[#This Row],[Kg x Cuartel]]/TablaGeneral[[#This Row],[Has]]</f>
        <v>10013.791461170307</v>
      </c>
      <c r="Y55" t="s">
        <v>163</v>
      </c>
      <c r="Z55">
        <v>520</v>
      </c>
      <c r="AA55">
        <f>+TablaGeneral[[#This Row],[Rendimiento Poda]]*1.5</f>
        <v>780</v>
      </c>
      <c r="AB55">
        <v>81</v>
      </c>
      <c r="AC55">
        <v>269</v>
      </c>
      <c r="AE55">
        <v>200</v>
      </c>
      <c r="AG55">
        <f>+IFERROR(TablaGeneral[[#This Row],[Plantas]]/TablaGeneral[[#This Row],[Rendimiento Poda]],0)</f>
        <v>14.411538461538461</v>
      </c>
      <c r="AH55">
        <f>+TablaGeneral[[#This Row],[Plantas]]/TablaGeneral[[#This Row],[Rendimiento Atada]]</f>
        <v>9.6076923076923073</v>
      </c>
      <c r="AI55">
        <f>+IFERROR(TablaGeneral[[#This Row],[Plantas]]/TablaGeneral[[#This Row],[Rendimiento Desbrote de troncos]],0)</f>
        <v>92.518518518518519</v>
      </c>
      <c r="AJ55" s="2">
        <f>+IFERROR(TablaGeneral[[#This Row],[Plantas]]/TablaGeneral[[#This Row],[Rendimiento Acomodo de brotes ]],0)</f>
        <v>27.858736059479554</v>
      </c>
      <c r="AK55">
        <f>+IFERROR(TablaGeneral[[#This Row],[Plantas]]/TablaGeneral[[#This Row],[Rendimiento Desniete, deshoje ]],0)</f>
        <v>0</v>
      </c>
      <c r="AL55">
        <f>+IFERROR(TablaGeneral[[#This Row],[Plantas]]/TablaGeneral[[#This Row],[Rendimiento Desbrote con criterio de Poda]],0)</f>
        <v>37.47</v>
      </c>
      <c r="AM55">
        <f>+IFERROR(TablaGeneral[[#This Row],[Plantas]]/TablaGeneral[[#This Row],[Rendimiento Raleo de Racimos]],0)</f>
        <v>0</v>
      </c>
      <c r="AN55">
        <f t="shared" si="106"/>
        <v>8.9476644016921042E-2</v>
      </c>
      <c r="AR55">
        <f t="shared" si="86"/>
        <v>0.99082423248803453</v>
      </c>
      <c r="AS55">
        <f t="shared" si="87"/>
        <v>3.5494858986719056</v>
      </c>
      <c r="AT55">
        <f t="shared" si="88"/>
        <v>38.040609137055839</v>
      </c>
      <c r="AU55">
        <f t="shared" si="89"/>
        <v>8.1545157780195865</v>
      </c>
      <c r="AV55">
        <f t="shared" si="90"/>
        <v>5.8419083255378865</v>
      </c>
      <c r="AW55">
        <f t="shared" si="91"/>
        <v>0.46833494506840434</v>
      </c>
      <c r="AX55">
        <f t="shared" si="92"/>
        <v>10.106268205847449</v>
      </c>
      <c r="AY55">
        <f t="shared" si="93"/>
        <v>17.422234621286094</v>
      </c>
      <c r="BA55">
        <f t="shared" si="94"/>
        <v>7.0003749647067934</v>
      </c>
      <c r="BC55">
        <f t="shared" si="95"/>
        <v>2.4649207633557655</v>
      </c>
      <c r="BD55">
        <f t="shared" si="96"/>
        <v>0.78877485182842311</v>
      </c>
      <c r="BE55">
        <f t="shared" si="97"/>
        <v>21.411428571428573</v>
      </c>
      <c r="BF55">
        <f t="shared" si="98"/>
        <v>2.2923740479030927</v>
      </c>
      <c r="BG55">
        <f t="shared" si="99"/>
        <v>7.0496599343386359</v>
      </c>
      <c r="BH55">
        <f t="shared" si="100"/>
        <v>5.9287974683544302</v>
      </c>
      <c r="BI55">
        <f t="shared" si="101"/>
        <v>4.1657170492003761</v>
      </c>
      <c r="BJ55">
        <f t="shared" si="102"/>
        <v>11.338637003234854</v>
      </c>
      <c r="BK55">
        <f t="shared" si="103"/>
        <v>0.7888421052631579</v>
      </c>
      <c r="BL55">
        <f t="shared" si="104"/>
        <v>5.7425287356321837</v>
      </c>
      <c r="BM55">
        <f t="shared" si="105"/>
        <v>2.5638043106397537</v>
      </c>
      <c r="BN55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332.41534037062388</v>
      </c>
      <c r="BO55" s="1">
        <f>+TablaGeneral[[#This Row],[Combustible]]/100</f>
        <v>3.324153403706239</v>
      </c>
      <c r="BP55" s="1">
        <f>+TablaGeneral[[#This Row],[Combustible]]/150</f>
        <v>2.2161022691374925</v>
      </c>
      <c r="BQ55" s="1">
        <f>+TablaGeneral[[#This Row],[Combustible]]/200</f>
        <v>1.6620767018531195</v>
      </c>
      <c r="BR55">
        <f>+H55/1683.071</f>
        <v>4.452575084473561</v>
      </c>
      <c r="BS55">
        <f>+H55/1683.071</f>
        <v>4.452575084473561</v>
      </c>
      <c r="BT55">
        <f>+H55/826.78</f>
        <v>9.0640799245264763</v>
      </c>
      <c r="BU55">
        <f>+H55/6732.286</f>
        <v>1.1131434404301896</v>
      </c>
      <c r="BV55">
        <f>+H55/1683.071</f>
        <v>4.452575084473561</v>
      </c>
      <c r="BW55">
        <f>+F55/26645.3</f>
        <v>1.7188772503968806</v>
      </c>
      <c r="BX55">
        <f>+F55/15923.3</f>
        <v>2.8762882065903428</v>
      </c>
      <c r="BY55">
        <f>+F55/7925</f>
        <v>5.7791798107255516</v>
      </c>
      <c r="BZ55">
        <f>+F55/13208</f>
        <v>3.467595396729255</v>
      </c>
      <c r="CA55">
        <f>+F55/10585.1</f>
        <v>4.3268367800020782</v>
      </c>
      <c r="CB55">
        <f>+F55/26645.3</f>
        <v>1.7188772503968806</v>
      </c>
      <c r="CC55">
        <f>+F55/70246.8</f>
        <v>0.65198699442536878</v>
      </c>
      <c r="CF55">
        <f>+F55/3992.41</f>
        <v>11.471767679171228</v>
      </c>
      <c r="CG55">
        <f>+F55/48294</f>
        <v>0.94835797407545452</v>
      </c>
      <c r="CH55">
        <f>+F55/51514.3</f>
        <v>0.88907351939170287</v>
      </c>
      <c r="CI55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10.558584243531291</v>
      </c>
      <c r="CJ55" s="59">
        <f>+TablaGeneral[[#This Row],[Tracto elevador]]+TablaGeneral[[#This Row],[Tractor con uñas]]+TablaGeneral[[#This Row],[Tractor con acoplado]]</f>
        <v>17.969230093473598</v>
      </c>
      <c r="CK55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4.7137197000575002</v>
      </c>
      <c r="CL55" s="60">
        <f>+SUM(BR55:BV55)+TablaGeneral[[#This Row],[Cosecha DOV]]+TablaGeneral[[#This Row],[Corte DOV]]</f>
        <v>23.534948618377349</v>
      </c>
      <c r="CM55" s="60">
        <f>+SUM(TablaGeneral[[#This Row],[Colocación de malla]:[Descarga y carga de bines con Autoelevador]])</f>
        <v>33.848840861904741</v>
      </c>
      <c r="CN55" s="64"/>
      <c r="CO55" s="64"/>
      <c r="CP55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55" t="str">
        <f>+TablaGeneral[[#This Row],[Variedad]]&amp;" "&amp;TablaGeneral[[#This Row],[Año de plantación]]</f>
        <v>Flame 2020</v>
      </c>
      <c r="CR55" t="str">
        <f>+IF(TablaGeneral[[#This Row],[Finca]]="El Espejo I","El Espejo I y II",IF(TablaGeneral[[#This Row],[Finca]]="El Espejo II","El Espejo I y II",TablaGeneral[[#This Row],[Finca]]))</f>
        <v>El Espejo I y II</v>
      </c>
    </row>
    <row r="56" spans="1:96">
      <c r="A56" t="s">
        <v>13</v>
      </c>
      <c r="B56">
        <v>6</v>
      </c>
      <c r="C56">
        <v>2.0299999999999998</v>
      </c>
      <c r="D56" t="s">
        <v>6</v>
      </c>
      <c r="E56">
        <v>10000</v>
      </c>
      <c r="F56" s="2">
        <f>+TablaGeneral[[#This Row],[Has]]*TablaGeneral[[#This Row],[Kg x Has]]</f>
        <v>20299.999999999996</v>
      </c>
      <c r="G56" s="2">
        <f>+TablaGeneral[[#This Row],[Kg 2026]]/4</f>
        <v>5074.9999999999991</v>
      </c>
      <c r="H56">
        <v>4418</v>
      </c>
      <c r="I56">
        <v>2020</v>
      </c>
      <c r="J56" t="s">
        <v>161</v>
      </c>
      <c r="K56">
        <f>10000/IF(LEN(TablaGeneral[[#This Row],[Marco de plantación]])&gt;3,(MID(TablaGeneral[[#This Row],[Marco de plantación]],1,3)*MID(TablaGeneral[[#This Row],[Marco de plantación]],5,3)),(3*2))</f>
        <v>2222.2222222222222</v>
      </c>
      <c r="L56">
        <v>5</v>
      </c>
      <c r="M56">
        <f>+TablaGeneral[[#This Row],[Plantas x Has]]*TablaGeneral[[#This Row],[N° de Guías x planta]]</f>
        <v>11111.111111111111</v>
      </c>
      <c r="N56">
        <v>4</v>
      </c>
      <c r="O56">
        <f>+TablaGeneral[[#This Row],[N° de Guías x planta]]*TablaGeneral[[#This Row],[N° de Yemas x Guias]]</f>
        <v>20</v>
      </c>
      <c r="P56">
        <v>0.7</v>
      </c>
      <c r="Q56">
        <f>+TablaGeneral[[#This Row],[N° de Yemas x Planta]]*TablaGeneral[[#This Row],[% de Brotación]]</f>
        <v>14</v>
      </c>
      <c r="R56">
        <v>0.8</v>
      </c>
      <c r="S56">
        <v>1.5</v>
      </c>
      <c r="T56">
        <f>+TablaGeneral[[#This Row],[N° de Brotes x Planta]]*TablaGeneral[[#This Row],[% de Fertilidad]]*TablaGeneral[[#This Row],[Cantidad de Racimos x Brote]]</f>
        <v>16.8</v>
      </c>
      <c r="U56">
        <v>0.27400000000000002</v>
      </c>
      <c r="V56" s="2">
        <f>+TablaGeneral[[#This Row],[Cantidad de Racimos x Planta]]*TablaGeneral[[#This Row],[Peso del Racimo]]</f>
        <v>4.6032000000000002</v>
      </c>
      <c r="W56" s="2">
        <f>+TablaGeneral[[#This Row],[Plantas]]*TablaGeneral[[#This Row],[Kg x Planta]]</f>
        <v>20336.937600000001</v>
      </c>
      <c r="X56" s="2">
        <f>+TablaGeneral[[#This Row],[Kg x Cuartel]]/TablaGeneral[[#This Row],[Has]]</f>
        <v>10018.195862068967</v>
      </c>
      <c r="Y56" t="s">
        <v>163</v>
      </c>
      <c r="Z56">
        <v>350</v>
      </c>
      <c r="AA56">
        <f>+TablaGeneral[[#This Row],[Rendimiento Poda]]*1.5</f>
        <v>525</v>
      </c>
      <c r="AB56">
        <v>81</v>
      </c>
      <c r="AC56">
        <v>269</v>
      </c>
      <c r="AE56">
        <v>200</v>
      </c>
      <c r="AG56">
        <f>+IFERROR(TablaGeneral[[#This Row],[Plantas]]/TablaGeneral[[#This Row],[Rendimiento Poda]],0)</f>
        <v>12.622857142857143</v>
      </c>
      <c r="AH56">
        <f>+TablaGeneral[[#This Row],[Plantas]]/TablaGeneral[[#This Row],[Rendimiento Atada]]</f>
        <v>8.4152380952380952</v>
      </c>
      <c r="AI56">
        <f>+IFERROR(TablaGeneral[[#This Row],[Plantas]]/TablaGeneral[[#This Row],[Rendimiento Desbrote de troncos]],0)</f>
        <v>54.543209876543209</v>
      </c>
      <c r="AJ56" s="2">
        <f>+IFERROR(TablaGeneral[[#This Row],[Plantas]]/TablaGeneral[[#This Row],[Rendimiento Acomodo de brotes ]],0)</f>
        <v>16.423791821561338</v>
      </c>
      <c r="AK56">
        <f>+IFERROR(TablaGeneral[[#This Row],[Plantas]]/TablaGeneral[[#This Row],[Rendimiento Desniete, deshoje ]],0)</f>
        <v>0</v>
      </c>
      <c r="AL56">
        <f>+IFERROR(TablaGeneral[[#This Row],[Plantas]]/TablaGeneral[[#This Row],[Rendimiento Desbrote con criterio de Poda]],0)</f>
        <v>22.09</v>
      </c>
      <c r="AM56">
        <f>+IFERROR(TablaGeneral[[#This Row],[Plantas]]/TablaGeneral[[#This Row],[Rendimiento Raleo de Racimos]],0)</f>
        <v>0</v>
      </c>
      <c r="AN56">
        <f t="shared" si="106"/>
        <v>5.2749908362257431E-2</v>
      </c>
      <c r="AR56">
        <f t="shared" si="86"/>
        <v>0.58412883094904411</v>
      </c>
      <c r="AS56">
        <f t="shared" si="87"/>
        <v>2.0925578730094045</v>
      </c>
      <c r="AT56">
        <f t="shared" si="88"/>
        <v>22.426395939086294</v>
      </c>
      <c r="AU56">
        <f t="shared" si="89"/>
        <v>4.8073993471164309</v>
      </c>
      <c r="AV56">
        <f t="shared" si="90"/>
        <v>3.4440286872466479</v>
      </c>
      <c r="AW56">
        <f t="shared" si="91"/>
        <v>0.27610138608382845</v>
      </c>
      <c r="AX56">
        <f t="shared" si="92"/>
        <v>5.9580321501780125</v>
      </c>
      <c r="AY56">
        <f t="shared" si="93"/>
        <v>10.271074533872692</v>
      </c>
      <c r="BA56">
        <f t="shared" si="94"/>
        <v>4.1269891371863636</v>
      </c>
      <c r="BC56">
        <f t="shared" si="95"/>
        <v>1.4531651898192917</v>
      </c>
      <c r="BD56">
        <f t="shared" si="96"/>
        <v>0.46501298310354594</v>
      </c>
      <c r="BE56">
        <f t="shared" si="97"/>
        <v>12.622857142857143</v>
      </c>
      <c r="BF56">
        <f t="shared" si="98"/>
        <v>1.3514422929858372</v>
      </c>
      <c r="BG56">
        <f t="shared" si="99"/>
        <v>4.1560445142658251</v>
      </c>
      <c r="BH56">
        <f t="shared" si="100"/>
        <v>3.4952531645569622</v>
      </c>
      <c r="BI56">
        <f t="shared" si="101"/>
        <v>2.4558497362379583</v>
      </c>
      <c r="BJ56">
        <f t="shared" si="102"/>
        <v>6.6845607526409907</v>
      </c>
      <c r="BK56">
        <f t="shared" si="103"/>
        <v>0.46505263157894738</v>
      </c>
      <c r="BL56">
        <f t="shared" si="104"/>
        <v>3.38544061302682</v>
      </c>
      <c r="BM56">
        <f t="shared" si="105"/>
        <v>1.511460827916524</v>
      </c>
      <c r="BN56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189.07507865410054</v>
      </c>
      <c r="BO56" s="1">
        <f>+TablaGeneral[[#This Row],[Combustible]]/100</f>
        <v>1.8907507865410054</v>
      </c>
      <c r="BP56" s="1">
        <f>+TablaGeneral[[#This Row],[Combustible]]/150</f>
        <v>1.2605005243606702</v>
      </c>
      <c r="BQ56" s="1">
        <f>+TablaGeneral[[#This Row],[Combustible]]/200</f>
        <v>0.94537539327050268</v>
      </c>
      <c r="BR56">
        <f>+H56/1683.071</f>
        <v>2.6249635339210289</v>
      </c>
      <c r="BS56">
        <f>+H56/1683.071</f>
        <v>2.6249635339210289</v>
      </c>
      <c r="BT56">
        <f>+H56/826.78</f>
        <v>5.3436222453373325</v>
      </c>
      <c r="BU56">
        <f>+H56/6732.286</f>
        <v>0.65624068852689854</v>
      </c>
      <c r="BV56">
        <f>+H56/1683.071</f>
        <v>2.6249635339210289</v>
      </c>
      <c r="BW56">
        <f>+F56/26645.3</f>
        <v>0.76186044067809322</v>
      </c>
      <c r="BX56">
        <f>+F56/15923.3</f>
        <v>1.2748613666765054</v>
      </c>
      <c r="BY56">
        <f>+F56/7925</f>
        <v>2.5615141955835958</v>
      </c>
      <c r="BZ56">
        <f>+F56/13208</f>
        <v>1.5369473046638398</v>
      </c>
      <c r="CA56">
        <f>+F56/10585.1</f>
        <v>1.9177901011799601</v>
      </c>
      <c r="CB56">
        <f>+F56/26645.3</f>
        <v>0.76186044067809322</v>
      </c>
      <c r="CC56">
        <f>+F56/70246.8</f>
        <v>0.2889811350837333</v>
      </c>
      <c r="CF56">
        <f>+F56/3992.41</f>
        <v>5.0846481198073334</v>
      </c>
      <c r="CG56">
        <f>+F56/48294</f>
        <v>0.4203420714788586</v>
      </c>
      <c r="CH56">
        <f>+F56/51514.3</f>
        <v>0.39406533719763243</v>
      </c>
      <c r="CI56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6.2246897768776677</v>
      </c>
      <c r="CJ56" s="59">
        <f>+TablaGeneral[[#This Row],[Tracto elevador]]+TablaGeneral[[#This Row],[Tractor con uñas]]+TablaGeneral[[#This Row],[Tractor con acoplado]]</f>
        <v>10.593549313179391</v>
      </c>
      <c r="CK56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2.0892687753529966</v>
      </c>
      <c r="CL56" s="60">
        <f>+SUM(BR56:BV56)+TablaGeneral[[#This Row],[Cosecha DOV]]+TablaGeneral[[#This Row],[Corte DOV]]</f>
        <v>13.874753535627319</v>
      </c>
      <c r="CM56" s="60">
        <f>+SUM(TablaGeneral[[#This Row],[Colocación de malla]:[Descarga y carga de bines con Autoelevador]])</f>
        <v>15.002870513027647</v>
      </c>
      <c r="CN56" s="64"/>
      <c r="CO56" s="64"/>
      <c r="CP56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56" t="str">
        <f>+TablaGeneral[[#This Row],[Variedad]]&amp;" "&amp;TablaGeneral[[#This Row],[Año de plantación]]</f>
        <v>Flame 2020</v>
      </c>
      <c r="CR56" t="str">
        <f>+IF(TablaGeneral[[#This Row],[Finca]]="El Espejo I","El Espejo I y II",IF(TablaGeneral[[#This Row],[Finca]]="El Espejo II","El Espejo I y II",TablaGeneral[[#This Row],[Finca]]))</f>
        <v>El Espejo I y II</v>
      </c>
    </row>
    <row r="57" spans="1:96">
      <c r="A57" t="s">
        <v>13</v>
      </c>
      <c r="B57">
        <v>7</v>
      </c>
      <c r="C57">
        <v>6.01</v>
      </c>
      <c r="D57" t="s">
        <v>6</v>
      </c>
      <c r="E57">
        <v>40000</v>
      </c>
      <c r="F57" s="2">
        <f>+TablaGeneral[[#This Row],[Has]]*TablaGeneral[[#This Row],[Kg x Has]]</f>
        <v>240400</v>
      </c>
      <c r="G57" s="2">
        <f>+TablaGeneral[[#This Row],[Kg 2026]]/4</f>
        <v>60100</v>
      </c>
      <c r="H57">
        <v>13050</v>
      </c>
      <c r="I57">
        <v>2019</v>
      </c>
      <c r="K57">
        <f>10000/IF(LEN(TablaGeneral[[#This Row],[Marco de plantación]])&gt;3,(MID(TablaGeneral[[#This Row],[Marco de plantación]],1,3)*MID(TablaGeneral[[#This Row],[Marco de plantación]],5,3)),(3*2))</f>
        <v>1666.6666666666667</v>
      </c>
      <c r="L57">
        <v>6</v>
      </c>
      <c r="M57">
        <f>+TablaGeneral[[#This Row],[Plantas x Has]]*TablaGeneral[[#This Row],[N° de Guías x planta]]</f>
        <v>10000</v>
      </c>
      <c r="N57">
        <v>10</v>
      </c>
      <c r="O57">
        <f>+TablaGeneral[[#This Row],[N° de Guías x planta]]*TablaGeneral[[#This Row],[N° de Yemas x Guias]]</f>
        <v>60</v>
      </c>
      <c r="P57">
        <v>0.85</v>
      </c>
      <c r="Q57">
        <f>+TablaGeneral[[#This Row],[N° de Yemas x Planta]]*TablaGeneral[[#This Row],[% de Brotación]]</f>
        <v>51</v>
      </c>
      <c r="R57">
        <v>0.8</v>
      </c>
      <c r="S57">
        <v>1.5</v>
      </c>
      <c r="T57">
        <f>+TablaGeneral[[#This Row],[N° de Brotes x Planta]]*TablaGeneral[[#This Row],[% de Fertilidad]]*TablaGeneral[[#This Row],[Cantidad de Racimos x Brote]]</f>
        <v>61.2</v>
      </c>
      <c r="U57">
        <v>0.30114999999999997</v>
      </c>
      <c r="V57" s="2">
        <f>+TablaGeneral[[#This Row],[Cantidad de Racimos x Planta]]*TablaGeneral[[#This Row],[Peso del Racimo]]</f>
        <v>18.43038</v>
      </c>
      <c r="W57" s="2">
        <f>+TablaGeneral[[#This Row],[Plantas]]*TablaGeneral[[#This Row],[Kg x Planta]]</f>
        <v>240516.459</v>
      </c>
      <c r="X57" s="2">
        <f>+TablaGeneral[[#This Row],[Kg x Cuartel]]/TablaGeneral[[#This Row],[Has]]</f>
        <v>40019.377537437605</v>
      </c>
      <c r="Y57" t="s">
        <v>162</v>
      </c>
      <c r="Z57">
        <v>120</v>
      </c>
      <c r="AA57">
        <f>+TablaGeneral[[#This Row],[Rendimiento Poda]]</f>
        <v>120</v>
      </c>
      <c r="AB57">
        <v>500</v>
      </c>
      <c r="AC57">
        <v>500</v>
      </c>
      <c r="AD57">
        <v>1000</v>
      </c>
      <c r="AE57">
        <v>500</v>
      </c>
      <c r="AF57">
        <v>100</v>
      </c>
      <c r="AG57">
        <f>+IFERROR(TablaGeneral[[#This Row],[Plantas]]/TablaGeneral[[#This Row],[Rendimiento Poda]],0)</f>
        <v>108.75</v>
      </c>
      <c r="AH57">
        <f>+TablaGeneral[[#This Row],[Plantas]]/TablaGeneral[[#This Row],[Rendimiento Atada]]</f>
        <v>108.75</v>
      </c>
      <c r="AI57">
        <f>+IFERROR(TablaGeneral[[#This Row],[Plantas]]/TablaGeneral[[#This Row],[Rendimiento Desbrote de troncos]],0)</f>
        <v>26.1</v>
      </c>
      <c r="AJ57" s="2">
        <f>+IFERROR(TablaGeneral[[#This Row],[Plantas]]/TablaGeneral[[#This Row],[Rendimiento Acomodo de brotes ]],0)</f>
        <v>26.1</v>
      </c>
      <c r="AK57">
        <f>+IFERROR(TablaGeneral[[#This Row],[Plantas]]/TablaGeneral[[#This Row],[Rendimiento Desniete, deshoje ]],0)</f>
        <v>13.05</v>
      </c>
      <c r="AL57">
        <f>+IFERROR(TablaGeneral[[#This Row],[Plantas]]/TablaGeneral[[#This Row],[Rendimiento Desbrote con criterio de Poda]],0)</f>
        <v>26.1</v>
      </c>
      <c r="AM57">
        <f>+IFERROR(TablaGeneral[[#This Row],[Plantas]]/TablaGeneral[[#This Row],[Rendimiento Raleo de Racimos]],0)</f>
        <v>130.5</v>
      </c>
      <c r="AN57">
        <f t="shared" si="106"/>
        <v>0.15581401179888171</v>
      </c>
      <c r="AR57">
        <f t="shared" si="86"/>
        <v>1.7254144961260809</v>
      </c>
      <c r="AS57">
        <f t="shared" si="87"/>
        <v>6.1810503039322615</v>
      </c>
      <c r="AT57">
        <f t="shared" si="88"/>
        <v>66.243654822335031</v>
      </c>
      <c r="AU57">
        <f t="shared" si="89"/>
        <v>14.200217627856366</v>
      </c>
      <c r="AV57">
        <f t="shared" si="90"/>
        <v>10.173058933582787</v>
      </c>
      <c r="AW57">
        <f t="shared" si="91"/>
        <v>0.81555524861791784</v>
      </c>
      <c r="AX57">
        <f t="shared" si="92"/>
        <v>17.598985866868055</v>
      </c>
      <c r="AY57">
        <f t="shared" si="93"/>
        <v>30.338959408564655</v>
      </c>
      <c r="BA57">
        <f t="shared" si="94"/>
        <v>12.190404762399739</v>
      </c>
      <c r="BC57">
        <f t="shared" si="95"/>
        <v>4.2923960450750922</v>
      </c>
      <c r="BD57">
        <f t="shared" si="96"/>
        <v>1.3735670958581427</v>
      </c>
      <c r="BE57">
        <f t="shared" si="97"/>
        <v>37.285714285714285</v>
      </c>
      <c r="BF57">
        <f t="shared" si="98"/>
        <v>3.9919243828576674</v>
      </c>
      <c r="BG57">
        <f t="shared" si="99"/>
        <v>12.276229269164558</v>
      </c>
      <c r="BH57">
        <f t="shared" si="100"/>
        <v>10.324367088607595</v>
      </c>
      <c r="BI57">
        <f t="shared" si="101"/>
        <v>7.2541509863977716</v>
      </c>
      <c r="BJ57">
        <f t="shared" si="102"/>
        <v>19.745024405152769</v>
      </c>
      <c r="BK57">
        <f t="shared" si="103"/>
        <v>1.3736842105263158</v>
      </c>
      <c r="BL57">
        <f t="shared" si="104"/>
        <v>10</v>
      </c>
      <c r="BM57">
        <f t="shared" si="105"/>
        <v>4.4645911734519332</v>
      </c>
      <c r="BN57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295.62200353724586</v>
      </c>
      <c r="BO57" s="1">
        <f>+TablaGeneral[[#This Row],[Combustible]]/100</f>
        <v>2.9562200353724588</v>
      </c>
      <c r="BP57" s="1">
        <f>+TablaGeneral[[#This Row],[Combustible]]/150</f>
        <v>1.9708133569149724</v>
      </c>
      <c r="BQ57" s="1">
        <f>+TablaGeneral[[#This Row],[Combustible]]/200</f>
        <v>1.4781100176862294</v>
      </c>
      <c r="BR57">
        <f>+H57/6422</f>
        <v>2.0320772345063842</v>
      </c>
      <c r="BS57">
        <f>+H57/3211.25</f>
        <v>4.0638380692876606</v>
      </c>
      <c r="BT57">
        <f>+H57/3211.25</f>
        <v>4.0638380692876606</v>
      </c>
      <c r="BV57">
        <f>+H57/4281.667</f>
        <v>3.0478783146844437</v>
      </c>
      <c r="CI57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18.386645900464821</v>
      </c>
      <c r="CJ57" s="59">
        <f>+TablaGeneral[[#This Row],[Tracto elevador]]+TablaGeneral[[#This Row],[Tractor con uñas]]+TablaGeneral[[#This Row],[Tractor con acoplado]]</f>
        <v>11.175554453259764</v>
      </c>
      <c r="CK57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0</v>
      </c>
      <c r="CL57" s="60">
        <f>+SUM(BR57:BV57)+TablaGeneral[[#This Row],[Cosecha DOV]]+TablaGeneral[[#This Row],[Corte DOV]]</f>
        <v>29.219512305173971</v>
      </c>
      <c r="CM57" s="60">
        <f>+SUM(TablaGeneral[[#This Row],[Colocación de malla]:[Descarga y carga de bines con Autoelevador]])</f>
        <v>0</v>
      </c>
      <c r="CN57" s="65">
        <f>+H57/1116</f>
        <v>11.693548387096774</v>
      </c>
      <c r="CO57" s="65">
        <f>+H57/3022</f>
        <v>4.3183322303110518</v>
      </c>
      <c r="CP57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57" t="str">
        <f>+TablaGeneral[[#This Row],[Variedad]]&amp;" "&amp;TablaGeneral[[#This Row],[Año de plantación]]</f>
        <v>Flame 2019</v>
      </c>
      <c r="CR57" t="str">
        <f>+IF(TablaGeneral[[#This Row],[Finca]]="El Espejo I","El Espejo I y II",IF(TablaGeneral[[#This Row],[Finca]]="El Espejo II","El Espejo I y II",TablaGeneral[[#This Row],[Finca]]))</f>
        <v>El Espejo I y II</v>
      </c>
    </row>
    <row r="58" spans="1:96">
      <c r="A58" t="s">
        <v>13</v>
      </c>
      <c r="B58">
        <v>8</v>
      </c>
      <c r="C58">
        <v>4.83</v>
      </c>
      <c r="D58" t="s">
        <v>6</v>
      </c>
      <c r="E58">
        <v>40000</v>
      </c>
      <c r="F58" s="2">
        <f>+TablaGeneral[[#This Row],[Has]]*TablaGeneral[[#This Row],[Kg x Has]]</f>
        <v>193200</v>
      </c>
      <c r="G58" s="2">
        <f>+TablaGeneral[[#This Row],[Kg 2026]]/4</f>
        <v>48300</v>
      </c>
      <c r="H58">
        <v>10585</v>
      </c>
      <c r="I58">
        <v>2019</v>
      </c>
      <c r="K58">
        <f>10000/IF(LEN(TablaGeneral[[#This Row],[Marco de plantación]])&gt;3,(MID(TablaGeneral[[#This Row],[Marco de plantación]],1,3)*MID(TablaGeneral[[#This Row],[Marco de plantación]],5,3)),(3*2))</f>
        <v>1666.6666666666667</v>
      </c>
      <c r="L58">
        <v>5</v>
      </c>
      <c r="M58">
        <f>+TablaGeneral[[#This Row],[Plantas x Has]]*TablaGeneral[[#This Row],[N° de Guías x planta]]</f>
        <v>8333.3333333333339</v>
      </c>
      <c r="N58">
        <v>10</v>
      </c>
      <c r="O58">
        <f>+TablaGeneral[[#This Row],[N° de Guías x planta]]*TablaGeneral[[#This Row],[N° de Yemas x Guias]]</f>
        <v>50</v>
      </c>
      <c r="P58">
        <v>0.85</v>
      </c>
      <c r="Q58">
        <f>+TablaGeneral[[#This Row],[N° de Yemas x Planta]]*TablaGeneral[[#This Row],[% de Brotación]]</f>
        <v>42.5</v>
      </c>
      <c r="R58">
        <v>0.8</v>
      </c>
      <c r="S58">
        <v>1.5</v>
      </c>
      <c r="T58">
        <f>+TablaGeneral[[#This Row],[N° de Brotes x Planta]]*TablaGeneral[[#This Row],[% de Fertilidad]]*TablaGeneral[[#This Row],[Cantidad de Racimos x Brote]]</f>
        <v>51</v>
      </c>
      <c r="U58">
        <v>0.3579</v>
      </c>
      <c r="V58" s="2">
        <f>+TablaGeneral[[#This Row],[Cantidad de Racimos x Planta]]*TablaGeneral[[#This Row],[Peso del Racimo]]</f>
        <v>18.2529</v>
      </c>
      <c r="W58" s="2">
        <f>+TablaGeneral[[#This Row],[Plantas]]*TablaGeneral[[#This Row],[Kg x Planta]]</f>
        <v>193206.94649999999</v>
      </c>
      <c r="X58" s="2">
        <f>+TablaGeneral[[#This Row],[Kg x Cuartel]]/TablaGeneral[[#This Row],[Has]]</f>
        <v>40001.438198757758</v>
      </c>
      <c r="Y58" t="s">
        <v>162</v>
      </c>
      <c r="Z58">
        <v>120</v>
      </c>
      <c r="AA58">
        <f>+TablaGeneral[[#This Row],[Rendimiento Poda]]</f>
        <v>120</v>
      </c>
      <c r="AB58">
        <v>500</v>
      </c>
      <c r="AC58">
        <v>500</v>
      </c>
      <c r="AD58">
        <v>1000</v>
      </c>
      <c r="AE58">
        <v>500</v>
      </c>
      <c r="AF58">
        <v>100</v>
      </c>
      <c r="AG58">
        <f>+IFERROR(TablaGeneral[[#This Row],[Plantas]]/TablaGeneral[[#This Row],[Rendimiento Poda]],0)</f>
        <v>88.208333333333329</v>
      </c>
      <c r="AH58">
        <f>+TablaGeneral[[#This Row],[Plantas]]/TablaGeneral[[#This Row],[Rendimiento Atada]]</f>
        <v>88.208333333333329</v>
      </c>
      <c r="AI58">
        <f>+IFERROR(TablaGeneral[[#This Row],[Plantas]]/TablaGeneral[[#This Row],[Rendimiento Desbrote de troncos]],0)</f>
        <v>21.17</v>
      </c>
      <c r="AJ58" s="2">
        <f>+IFERROR(TablaGeneral[[#This Row],[Plantas]]/TablaGeneral[[#This Row],[Rendimiento Acomodo de brotes ]],0)</f>
        <v>21.17</v>
      </c>
      <c r="AK58">
        <f>+IFERROR(TablaGeneral[[#This Row],[Plantas]]/TablaGeneral[[#This Row],[Rendimiento Desniete, deshoje ]],0)</f>
        <v>10.585000000000001</v>
      </c>
      <c r="AL58">
        <f>+IFERROR(TablaGeneral[[#This Row],[Plantas]]/TablaGeneral[[#This Row],[Rendimiento Desbrote con criterio de Poda]],0)</f>
        <v>21.17</v>
      </c>
      <c r="AM58">
        <f>+IFERROR(TablaGeneral[[#This Row],[Plantas]]/TablaGeneral[[#This Row],[Rendimiento Raleo de Racimos]],0)</f>
        <v>105.85</v>
      </c>
      <c r="AN58">
        <f t="shared" si="106"/>
        <v>0.12638247623687074</v>
      </c>
      <c r="AR58">
        <f t="shared" si="86"/>
        <v>1.3995028690800435</v>
      </c>
      <c r="AS58">
        <f t="shared" si="87"/>
        <v>5.013518579856167</v>
      </c>
      <c r="AT58">
        <f t="shared" si="88"/>
        <v>53.730964467005073</v>
      </c>
      <c r="AU58">
        <f t="shared" si="89"/>
        <v>11.517954298150164</v>
      </c>
      <c r="AV58">
        <f t="shared" si="90"/>
        <v>8.2514811350171495</v>
      </c>
      <c r="AW58">
        <f t="shared" si="91"/>
        <v>0.66150592387897778</v>
      </c>
      <c r="AX58">
        <f t="shared" si="92"/>
        <v>14.274732980904089</v>
      </c>
      <c r="AY58">
        <f t="shared" si="93"/>
        <v>24.608267075835776</v>
      </c>
      <c r="BA58">
        <f t="shared" si="94"/>
        <v>9.8877727517242331</v>
      </c>
      <c r="BC58">
        <f t="shared" si="95"/>
        <v>3.4816101254497966</v>
      </c>
      <c r="BD58">
        <f t="shared" si="96"/>
        <v>1.1141155333071602</v>
      </c>
      <c r="BE58">
        <f t="shared" si="97"/>
        <v>30.242857142857144</v>
      </c>
      <c r="BF58">
        <f t="shared" si="98"/>
        <v>3.237894221651219</v>
      </c>
      <c r="BG58">
        <f t="shared" si="99"/>
        <v>9.9573859627668089</v>
      </c>
      <c r="BH58">
        <f t="shared" si="100"/>
        <v>8.3742088607594933</v>
      </c>
      <c r="BI58">
        <f t="shared" si="101"/>
        <v>5.8839224667448597</v>
      </c>
      <c r="BJ58">
        <f t="shared" si="102"/>
        <v>16.015408684179469</v>
      </c>
      <c r="BK58">
        <f t="shared" si="103"/>
        <v>1.1142105263157895</v>
      </c>
      <c r="BL58">
        <f t="shared" si="104"/>
        <v>8.1111111111111107</v>
      </c>
      <c r="BM58">
        <f t="shared" si="105"/>
        <v>3.6212795073554567</v>
      </c>
      <c r="BN58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239.7822917579883</v>
      </c>
      <c r="BO58" s="1">
        <f>+TablaGeneral[[#This Row],[Combustible]]/100</f>
        <v>2.3978229175798829</v>
      </c>
      <c r="BP58" s="1">
        <f>+TablaGeneral[[#This Row],[Combustible]]/150</f>
        <v>1.5985486117199221</v>
      </c>
      <c r="BQ58" s="1">
        <f>+TablaGeneral[[#This Row],[Combustible]]/200</f>
        <v>1.1989114587899414</v>
      </c>
      <c r="BR58">
        <f>+H58/6422</f>
        <v>1.6482404235440673</v>
      </c>
      <c r="BS58">
        <f>+H58/3211.25</f>
        <v>3.2962242117555469</v>
      </c>
      <c r="BT58">
        <f>+H58/3211.25</f>
        <v>3.2962242117555469</v>
      </c>
      <c r="BV58">
        <f>+H58/4281.667</f>
        <v>2.4721679663551601</v>
      </c>
      <c r="CI58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14.913612785932575</v>
      </c>
      <c r="CJ58" s="59">
        <f>+TablaGeneral[[#This Row],[Tracto elevador]]+TablaGeneral[[#This Row],[Tractor con uñas]]+TablaGeneral[[#This Row],[Tractor con acoplado]]</f>
        <v>9.064616389866254</v>
      </c>
      <c r="CK58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0</v>
      </c>
      <c r="CL58" s="60">
        <f>+SUM(BR58:BV58)+TablaGeneral[[#This Row],[Cosecha DOV]]+TablaGeneral[[#This Row],[Corte DOV]]</f>
        <v>23.70027109197445</v>
      </c>
      <c r="CM58" s="60">
        <f>+SUM(TablaGeneral[[#This Row],[Colocación de malla]:[Descarga y carga de bines con Autoelevador]])</f>
        <v>0</v>
      </c>
      <c r="CN58" s="65">
        <f>+H58/1116</f>
        <v>9.4847670250896066</v>
      </c>
      <c r="CO58" s="65">
        <f>+H58/3022</f>
        <v>3.5026472534745201</v>
      </c>
      <c r="CP58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58" t="str">
        <f>+TablaGeneral[[#This Row],[Variedad]]&amp;" "&amp;TablaGeneral[[#This Row],[Año de plantación]]</f>
        <v>Flame 2019</v>
      </c>
      <c r="CR58" t="str">
        <f>+IF(TablaGeneral[[#This Row],[Finca]]="El Espejo I","El Espejo I y II",IF(TablaGeneral[[#This Row],[Finca]]="El Espejo II","El Espejo I y II",TablaGeneral[[#This Row],[Finca]]))</f>
        <v>El Espejo I y II</v>
      </c>
    </row>
    <row r="59" spans="1:96">
      <c r="A59" t="s">
        <v>13</v>
      </c>
      <c r="B59">
        <v>9</v>
      </c>
      <c r="C59">
        <v>6.73</v>
      </c>
      <c r="D59" t="s">
        <v>6</v>
      </c>
      <c r="E59">
        <v>40000</v>
      </c>
      <c r="F59" s="2">
        <f>+TablaGeneral[[#This Row],[Has]]*TablaGeneral[[#This Row],[Kg x Has]]</f>
        <v>269200</v>
      </c>
      <c r="G59" s="2">
        <f>+TablaGeneral[[#This Row],[Kg 2026]]/4</f>
        <v>67300</v>
      </c>
      <c r="H59">
        <v>14642</v>
      </c>
      <c r="I59">
        <v>2019</v>
      </c>
      <c r="K59">
        <f>10000/IF(LEN(TablaGeneral[[#This Row],[Marco de plantación]])&gt;3,(MID(TablaGeneral[[#This Row],[Marco de plantación]],1,3)*MID(TablaGeneral[[#This Row],[Marco de plantación]],5,3)),(3*2))</f>
        <v>1666.6666666666667</v>
      </c>
      <c r="L59">
        <v>6</v>
      </c>
      <c r="M59">
        <f>+TablaGeneral[[#This Row],[Plantas x Has]]*TablaGeneral[[#This Row],[N° de Guías x planta]]</f>
        <v>10000</v>
      </c>
      <c r="N59">
        <v>10</v>
      </c>
      <c r="O59">
        <f>+TablaGeneral[[#This Row],[N° de Guías x planta]]*TablaGeneral[[#This Row],[N° de Yemas x Guias]]</f>
        <v>60</v>
      </c>
      <c r="P59">
        <v>0.7</v>
      </c>
      <c r="Q59">
        <f>+TablaGeneral[[#This Row],[N° de Yemas x Planta]]*TablaGeneral[[#This Row],[% de Brotación]]</f>
        <v>42</v>
      </c>
      <c r="R59">
        <v>0.8</v>
      </c>
      <c r="S59">
        <v>1.5</v>
      </c>
      <c r="T59">
        <f>+TablaGeneral[[#This Row],[N° de Brotes x Planta]]*TablaGeneral[[#This Row],[% de Fertilidad]]*TablaGeneral[[#This Row],[Cantidad de Racimos x Brote]]</f>
        <v>50.400000000000006</v>
      </c>
      <c r="U59">
        <v>0.3649</v>
      </c>
      <c r="V59" s="2">
        <f>+TablaGeneral[[#This Row],[Cantidad de Racimos x Planta]]*TablaGeneral[[#This Row],[Peso del Racimo]]</f>
        <v>18.390960000000003</v>
      </c>
      <c r="W59" s="2">
        <f>+TablaGeneral[[#This Row],[Plantas]]*TablaGeneral[[#This Row],[Kg x Planta]]</f>
        <v>269280.43632000004</v>
      </c>
      <c r="X59" s="2">
        <f>+TablaGeneral[[#This Row],[Kg x Cuartel]]/TablaGeneral[[#This Row],[Has]]</f>
        <v>40011.951904903421</v>
      </c>
      <c r="Y59" t="s">
        <v>162</v>
      </c>
      <c r="Z59">
        <v>120</v>
      </c>
      <c r="AA59">
        <f>+TablaGeneral[[#This Row],[Rendimiento Poda]]</f>
        <v>120</v>
      </c>
      <c r="AB59">
        <v>500</v>
      </c>
      <c r="AC59">
        <v>500</v>
      </c>
      <c r="AD59">
        <v>1000</v>
      </c>
      <c r="AE59">
        <v>500</v>
      </c>
      <c r="AF59">
        <v>100</v>
      </c>
      <c r="AG59">
        <f>+IFERROR(TablaGeneral[[#This Row],[Plantas]]/TablaGeneral[[#This Row],[Rendimiento Poda]],0)</f>
        <v>122.01666666666667</v>
      </c>
      <c r="AH59">
        <f>+TablaGeneral[[#This Row],[Plantas]]/TablaGeneral[[#This Row],[Rendimiento Atada]]</f>
        <v>122.01666666666667</v>
      </c>
      <c r="AI59">
        <f>+IFERROR(TablaGeneral[[#This Row],[Plantas]]/TablaGeneral[[#This Row],[Rendimiento Desbrote de troncos]],0)</f>
        <v>29.283999999999999</v>
      </c>
      <c r="AJ59" s="2">
        <f>+IFERROR(TablaGeneral[[#This Row],[Plantas]]/TablaGeneral[[#This Row],[Rendimiento Acomodo de brotes ]],0)</f>
        <v>29.283999999999999</v>
      </c>
      <c r="AK59">
        <f>+IFERROR(TablaGeneral[[#This Row],[Plantas]]/TablaGeneral[[#This Row],[Rendimiento Desniete, deshoje ]],0)</f>
        <v>14.641999999999999</v>
      </c>
      <c r="AL59">
        <f>+IFERROR(TablaGeneral[[#This Row],[Plantas]]/TablaGeneral[[#This Row],[Rendimiento Desbrote con criterio de Poda]],0)</f>
        <v>29.283999999999999</v>
      </c>
      <c r="AM59">
        <f>+IFERROR(TablaGeneral[[#This Row],[Plantas]]/TablaGeneral[[#This Row],[Rendimiento Raleo de Racimos]],0)</f>
        <v>146.41999999999999</v>
      </c>
      <c r="AN59">
        <f t="shared" si="106"/>
        <v>0.17482212726124338</v>
      </c>
      <c r="AR59">
        <f t="shared" si="86"/>
        <v>1.9359018430864428</v>
      </c>
      <c r="AS59">
        <f t="shared" si="87"/>
        <v>6.9350910766418519</v>
      </c>
      <c r="AT59">
        <f t="shared" si="88"/>
        <v>74.324873096446694</v>
      </c>
      <c r="AU59">
        <f t="shared" si="89"/>
        <v>15.932535364526659</v>
      </c>
      <c r="AV59">
        <f t="shared" si="90"/>
        <v>11.414094169005301</v>
      </c>
      <c r="AW59">
        <f t="shared" si="91"/>
        <v>0.91504673948379722</v>
      </c>
      <c r="AX59">
        <f t="shared" si="92"/>
        <v>19.745927284496709</v>
      </c>
      <c r="AY59">
        <f t="shared" si="93"/>
        <v>34.040079973961966</v>
      </c>
      <c r="BA59">
        <f t="shared" si="94"/>
        <v>13.677540730349195</v>
      </c>
      <c r="BC59">
        <f t="shared" si="95"/>
        <v>4.8160354706505357</v>
      </c>
      <c r="BD59">
        <f t="shared" si="96"/>
        <v>1.5411317561344771</v>
      </c>
      <c r="BE59">
        <f t="shared" si="97"/>
        <v>41.834285714285713</v>
      </c>
      <c r="BF59">
        <f t="shared" si="98"/>
        <v>4.4789085681074301</v>
      </c>
      <c r="BG59">
        <f t="shared" si="99"/>
        <v>13.773835169280265</v>
      </c>
      <c r="BH59">
        <f t="shared" si="100"/>
        <v>11.583860759493671</v>
      </c>
      <c r="BI59">
        <f t="shared" si="101"/>
        <v>8.1391018193744191</v>
      </c>
      <c r="BJ59">
        <f t="shared" si="102"/>
        <v>22.153766079712401</v>
      </c>
      <c r="BK59">
        <f t="shared" si="103"/>
        <v>1.5412631578947369</v>
      </c>
      <c r="BL59">
        <f t="shared" si="104"/>
        <v>11.219923371647509</v>
      </c>
      <c r="BM59">
        <f t="shared" si="105"/>
        <v>5.0092370851864523</v>
      </c>
      <c r="BN59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331.68562266608069</v>
      </c>
      <c r="BO59" s="1">
        <f>+TablaGeneral[[#This Row],[Combustible]]/100</f>
        <v>3.316856226660807</v>
      </c>
      <c r="BP59" s="1">
        <f>+TablaGeneral[[#This Row],[Combustible]]/150</f>
        <v>2.211237484440538</v>
      </c>
      <c r="BQ59" s="1">
        <f>+TablaGeneral[[#This Row],[Combustible]]/200</f>
        <v>1.6584281133304035</v>
      </c>
      <c r="BR59">
        <f>+H59/6422</f>
        <v>2.2799750856431018</v>
      </c>
      <c r="BS59">
        <f>+H59/3211.25</f>
        <v>4.5595951732191518</v>
      </c>
      <c r="BT59">
        <f>+H59/3211.25</f>
        <v>4.5595951732191518</v>
      </c>
      <c r="BV59">
        <f>+H59/4281.667</f>
        <v>3.4196961136865616</v>
      </c>
      <c r="CI59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20.62967580648321</v>
      </c>
      <c r="CJ59" s="59">
        <f>+TablaGeneral[[#This Row],[Tracto elevador]]+TablaGeneral[[#This Row],[Tractor con uñas]]+TablaGeneral[[#This Row],[Tractor con acoplado]]</f>
        <v>12.538886460124864</v>
      </c>
      <c r="CK59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0</v>
      </c>
      <c r="CL59" s="60">
        <f>+SUM(BR59:BV59)+TablaGeneral[[#This Row],[Cosecha DOV]]+TablaGeneral[[#This Row],[Corte DOV]]</f>
        <v>32.784068902096351</v>
      </c>
      <c r="CM59" s="60">
        <f>+SUM(TablaGeneral[[#This Row],[Colocación de malla]:[Descarga y carga de bines con Autoelevador]])</f>
        <v>0</v>
      </c>
      <c r="CN59" s="65">
        <f>+H59/1116</f>
        <v>13.120071684587813</v>
      </c>
      <c r="CO59" s="65">
        <f>+H59/3022</f>
        <v>4.8451356717405689</v>
      </c>
      <c r="CP59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59" t="str">
        <f>+TablaGeneral[[#This Row],[Variedad]]&amp;" "&amp;TablaGeneral[[#This Row],[Año de plantación]]</f>
        <v>Flame 2019</v>
      </c>
      <c r="CR59" t="str">
        <f>+IF(TablaGeneral[[#This Row],[Finca]]="El Espejo I","El Espejo I y II",IF(TablaGeneral[[#This Row],[Finca]]="El Espejo II","El Espejo I y II",TablaGeneral[[#This Row],[Finca]]))</f>
        <v>El Espejo I y II</v>
      </c>
    </row>
    <row r="60" spans="1:96">
      <c r="A60" t="s">
        <v>13</v>
      </c>
      <c r="B60">
        <v>10</v>
      </c>
      <c r="C60">
        <v>1.64</v>
      </c>
      <c r="D60" t="s">
        <v>6</v>
      </c>
      <c r="E60">
        <v>20000</v>
      </c>
      <c r="F60" s="2">
        <f>+TablaGeneral[[#This Row],[Has]]*TablaGeneral[[#This Row],[Kg x Has]]</f>
        <v>32800</v>
      </c>
      <c r="G60" s="2">
        <f>+TablaGeneral[[#This Row],[Kg 2026]]/4</f>
        <v>8200</v>
      </c>
      <c r="H60">
        <v>2685</v>
      </c>
      <c r="I60">
        <v>2020</v>
      </c>
      <c r="K60">
        <f>10000/IF(LEN(TablaGeneral[[#This Row],[Marco de plantación]])&gt;3,(MID(TablaGeneral[[#This Row],[Marco de plantación]],1,3)*MID(TablaGeneral[[#This Row],[Marco de plantación]],5,3)),(3*2))</f>
        <v>1666.6666666666667</v>
      </c>
      <c r="L60">
        <v>6</v>
      </c>
      <c r="M60">
        <f>+TablaGeneral[[#This Row],[Plantas x Has]]*TablaGeneral[[#This Row],[N° de Guías x planta]]</f>
        <v>10000</v>
      </c>
      <c r="N60">
        <v>6</v>
      </c>
      <c r="O60">
        <f>+TablaGeneral[[#This Row],[N° de Guías x planta]]*TablaGeneral[[#This Row],[N° de Yemas x Guias]]</f>
        <v>36</v>
      </c>
      <c r="P60">
        <v>0.7</v>
      </c>
      <c r="Q60">
        <f>+TablaGeneral[[#This Row],[N° de Yemas x Planta]]*TablaGeneral[[#This Row],[% de Brotación]]</f>
        <v>25.2</v>
      </c>
      <c r="R60">
        <v>0.82</v>
      </c>
      <c r="S60">
        <v>1.5</v>
      </c>
      <c r="T60">
        <f>+TablaGeneral[[#This Row],[N° de Brotes x Planta]]*TablaGeneral[[#This Row],[% de Fertilidad]]*TablaGeneral[[#This Row],[Cantidad de Racimos x Brote]]</f>
        <v>30.995999999999995</v>
      </c>
      <c r="U60">
        <v>0.3952</v>
      </c>
      <c r="V60" s="2">
        <f>+TablaGeneral[[#This Row],[Cantidad de Racimos x Planta]]*TablaGeneral[[#This Row],[Peso del Racimo]]</f>
        <v>12.249619199999998</v>
      </c>
      <c r="W60" s="2">
        <f>+TablaGeneral[[#This Row],[Plantas]]*TablaGeneral[[#This Row],[Kg x Planta]]</f>
        <v>32890.227551999997</v>
      </c>
      <c r="X60" s="2">
        <f>+TablaGeneral[[#This Row],[Kg x Cuartel]]/TablaGeneral[[#This Row],[Has]]</f>
        <v>20055.016799999998</v>
      </c>
      <c r="Y60" t="s">
        <v>163</v>
      </c>
      <c r="Z60">
        <v>520</v>
      </c>
      <c r="AA60">
        <f>+TablaGeneral[[#This Row],[Rendimiento Poda]]*1.5</f>
        <v>780</v>
      </c>
      <c r="AB60">
        <v>81</v>
      </c>
      <c r="AC60">
        <v>269</v>
      </c>
      <c r="AE60">
        <v>200</v>
      </c>
      <c r="AG60">
        <f>+IFERROR(TablaGeneral[[#This Row],[Plantas]]/TablaGeneral[[#This Row],[Rendimiento Poda]],0)</f>
        <v>5.1634615384615383</v>
      </c>
      <c r="AH60">
        <f>+TablaGeneral[[#This Row],[Plantas]]/TablaGeneral[[#This Row],[Rendimiento Atada]]</f>
        <v>3.4423076923076925</v>
      </c>
      <c r="AI60">
        <f>+IFERROR(TablaGeneral[[#This Row],[Plantas]]/TablaGeneral[[#This Row],[Rendimiento Desbrote de troncos]],0)</f>
        <v>33.148148148148145</v>
      </c>
      <c r="AJ60" s="2">
        <f>+IFERROR(TablaGeneral[[#This Row],[Plantas]]/TablaGeneral[[#This Row],[Rendimiento Acomodo de brotes ]],0)</f>
        <v>9.981412639405205</v>
      </c>
      <c r="AK60">
        <f>+IFERROR(TablaGeneral[[#This Row],[Plantas]]/TablaGeneral[[#This Row],[Rendimiento Desniete, deshoje ]],0)</f>
        <v>0</v>
      </c>
      <c r="AL60">
        <f>+IFERROR(TablaGeneral[[#This Row],[Plantas]]/TablaGeneral[[#This Row],[Rendimiento Desbrote con criterio de Poda]],0)</f>
        <v>13.425000000000001</v>
      </c>
      <c r="AM60">
        <f>+IFERROR(TablaGeneral[[#This Row],[Plantas]]/TablaGeneral[[#This Row],[Rendimiento Raleo de Racimos]],0)</f>
        <v>0</v>
      </c>
      <c r="AN60">
        <f t="shared" si="106"/>
        <v>3.2058285186206702E-2</v>
      </c>
      <c r="AR60">
        <f t="shared" si="86"/>
        <v>0.3549990744903086</v>
      </c>
      <c r="AS60">
        <f t="shared" si="87"/>
        <v>1.2717333383952583</v>
      </c>
      <c r="AT60">
        <f t="shared" si="88"/>
        <v>13.629441624365482</v>
      </c>
      <c r="AU60">
        <f t="shared" si="89"/>
        <v>2.9216539717083787</v>
      </c>
      <c r="AV60">
        <f t="shared" si="90"/>
        <v>2.0930776426566884</v>
      </c>
      <c r="AW60">
        <f t="shared" si="91"/>
        <v>0.16779814885357161</v>
      </c>
      <c r="AX60">
        <f t="shared" si="92"/>
        <v>3.6209407703096343</v>
      </c>
      <c r="AY60">
        <f t="shared" si="93"/>
        <v>6.2421537173943369</v>
      </c>
      <c r="BA60">
        <f t="shared" si="94"/>
        <v>2.5081407499650039</v>
      </c>
      <c r="BC60">
        <f t="shared" si="95"/>
        <v>0.88314815180280626</v>
      </c>
      <c r="BD60">
        <f t="shared" si="96"/>
        <v>0.28260748294092819</v>
      </c>
      <c r="BE60">
        <f t="shared" si="97"/>
        <v>7.6714285714285717</v>
      </c>
      <c r="BF60">
        <f t="shared" si="98"/>
        <v>0.82132697072588789</v>
      </c>
      <c r="BG60">
        <f t="shared" si="99"/>
        <v>2.5257988956097193</v>
      </c>
      <c r="BH60">
        <f t="shared" si="100"/>
        <v>2.1242088607594938</v>
      </c>
      <c r="BI60">
        <f t="shared" si="101"/>
        <v>1.4925207201898865</v>
      </c>
      <c r="BJ60">
        <f t="shared" si="102"/>
        <v>4.0624820327843052</v>
      </c>
      <c r="BK60">
        <f t="shared" si="103"/>
        <v>0.2826315789473684</v>
      </c>
      <c r="BL60">
        <f t="shared" si="104"/>
        <v>2.0574712643678161</v>
      </c>
      <c r="BM60">
        <f t="shared" si="105"/>
        <v>0.91857680465275404</v>
      </c>
      <c r="BN60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135.96898766878641</v>
      </c>
      <c r="BO60" s="1">
        <f>+TablaGeneral[[#This Row],[Combustible]]/100</f>
        <v>1.359689876687864</v>
      </c>
      <c r="BP60" s="1">
        <f>+TablaGeneral[[#This Row],[Combustible]]/150</f>
        <v>0.90645991779190938</v>
      </c>
      <c r="BQ60" s="1">
        <f>+TablaGeneral[[#This Row],[Combustible]]/200</f>
        <v>0.679844938343932</v>
      </c>
      <c r="BR60">
        <f>+H60/1683.071</f>
        <v>1.5952981187365241</v>
      </c>
      <c r="BS60">
        <f>+H60/1683.071</f>
        <v>1.5952981187365241</v>
      </c>
      <c r="BT60">
        <f>+H60/826.78</f>
        <v>3.2475386438955951</v>
      </c>
      <c r="BU60">
        <f>+H60/6732.286</f>
        <v>0.3988244112029703</v>
      </c>
      <c r="BV60">
        <f>+H60/1683.071</f>
        <v>1.5952981187365241</v>
      </c>
      <c r="BW60">
        <f>+F60/26645.3</f>
        <v>1.2309863277951458</v>
      </c>
      <c r="BX60">
        <f>+F60/15923.3</f>
        <v>2.0598745234970139</v>
      </c>
      <c r="BY60">
        <f>+F60/7925</f>
        <v>4.138801261829653</v>
      </c>
      <c r="BZ60">
        <f>+F60/13208</f>
        <v>2.483343428225318</v>
      </c>
      <c r="CA60">
        <f>+F60/10585.1</f>
        <v>3.0986953358966849</v>
      </c>
      <c r="CB60">
        <f>+F60/26645.3</f>
        <v>1.2309863277951458</v>
      </c>
      <c r="CC60">
        <f>+F60/70246.8</f>
        <v>0.46692518378061348</v>
      </c>
      <c r="CF60">
        <f>+F60/3992.41</f>
        <v>8.2155890802798321</v>
      </c>
      <c r="CG60">
        <f>+F60/48294</f>
        <v>0.67917339628111151</v>
      </c>
      <c r="CH60">
        <f>+F60/51514.3</f>
        <v>0.63671640690060816</v>
      </c>
      <c r="CI60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3.7829995588312673</v>
      </c>
      <c r="CJ60" s="59">
        <f>+TablaGeneral[[#This Row],[Tracto elevador]]+TablaGeneral[[#This Row],[Tractor con uñas]]+TablaGeneral[[#This Row],[Tractor con acoplado]]</f>
        <v>6.4381348813686436</v>
      </c>
      <c r="CK60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3.3757643266787336</v>
      </c>
      <c r="CL60" s="60">
        <f>+SUM(BR60:BV60)+TablaGeneral[[#This Row],[Cosecha DOV]]+TablaGeneral[[#This Row],[Corte DOV]]</f>
        <v>8.4322574113081377</v>
      </c>
      <c r="CM60" s="60">
        <f>+SUM(TablaGeneral[[#This Row],[Colocación de malla]:[Descarga y carga de bines con Autoelevador]])</f>
        <v>24.241091272281125</v>
      </c>
      <c r="CN60" s="64"/>
      <c r="CO60" s="64"/>
      <c r="CP60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60" t="str">
        <f>+TablaGeneral[[#This Row],[Variedad]]&amp;" "&amp;TablaGeneral[[#This Row],[Año de plantación]]</f>
        <v>Flame 2020</v>
      </c>
      <c r="CR60" t="str">
        <f>+IF(TablaGeneral[[#This Row],[Finca]]="El Espejo I","El Espejo I y II",IF(TablaGeneral[[#This Row],[Finca]]="El Espejo II","El Espejo I y II",TablaGeneral[[#This Row],[Finca]]))</f>
        <v>El Espejo I y II</v>
      </c>
    </row>
    <row r="61" spans="1:96">
      <c r="A61" t="s">
        <v>13</v>
      </c>
      <c r="B61">
        <v>11</v>
      </c>
      <c r="C61">
        <v>4.07</v>
      </c>
      <c r="D61" t="s">
        <v>6</v>
      </c>
      <c r="E61">
        <v>12000</v>
      </c>
      <c r="F61" s="2">
        <f>+TablaGeneral[[#This Row],[Has]]*TablaGeneral[[#This Row],[Kg x Has]]</f>
        <v>48840</v>
      </c>
      <c r="G61" s="2">
        <f>+TablaGeneral[[#This Row],[Kg 2026]]/4</f>
        <v>12210</v>
      </c>
      <c r="H61">
        <v>6647</v>
      </c>
      <c r="I61">
        <v>2020</v>
      </c>
      <c r="K61">
        <f>10000/IF(LEN(TablaGeneral[[#This Row],[Marco de plantación]])&gt;3,(MID(TablaGeneral[[#This Row],[Marco de plantación]],1,3)*MID(TablaGeneral[[#This Row],[Marco de plantación]],5,3)),(3*2))</f>
        <v>1666.6666666666667</v>
      </c>
      <c r="L61">
        <v>6</v>
      </c>
      <c r="M61">
        <f>+TablaGeneral[[#This Row],[Plantas x Has]]*TablaGeneral[[#This Row],[N° de Guías x planta]]</f>
        <v>10000</v>
      </c>
      <c r="N61">
        <v>6</v>
      </c>
      <c r="O61">
        <f>+TablaGeneral[[#This Row],[N° de Guías x planta]]*TablaGeneral[[#This Row],[N° de Yemas x Guias]]</f>
        <v>36</v>
      </c>
      <c r="P61">
        <v>0.7</v>
      </c>
      <c r="Q61">
        <f>+TablaGeneral[[#This Row],[N° de Yemas x Planta]]*TablaGeneral[[#This Row],[% de Brotación]]</f>
        <v>25.2</v>
      </c>
      <c r="R61">
        <v>0.75</v>
      </c>
      <c r="S61">
        <v>1.5</v>
      </c>
      <c r="T61">
        <f>+TablaGeneral[[#This Row],[N° de Brotes x Planta]]*TablaGeneral[[#This Row],[% de Fertilidad]]*TablaGeneral[[#This Row],[Cantidad de Racimos x Brote]]</f>
        <v>28.349999999999998</v>
      </c>
      <c r="U61">
        <v>0.25990000000000002</v>
      </c>
      <c r="V61" s="2">
        <f>+TablaGeneral[[#This Row],[Cantidad de Racimos x Planta]]*TablaGeneral[[#This Row],[Peso del Racimo]]</f>
        <v>7.3681650000000003</v>
      </c>
      <c r="W61" s="2">
        <f>+TablaGeneral[[#This Row],[Plantas]]*TablaGeneral[[#This Row],[Kg x Planta]]</f>
        <v>48976.192755000004</v>
      </c>
      <c r="X61" s="2">
        <f>+TablaGeneral[[#This Row],[Kg x Cuartel]]/TablaGeneral[[#This Row],[Has]]</f>
        <v>12033.462593366094</v>
      </c>
      <c r="Y61" t="s">
        <v>163</v>
      </c>
      <c r="Z61">
        <v>520</v>
      </c>
      <c r="AA61">
        <f>+TablaGeneral[[#This Row],[Rendimiento Poda]]*1.5</f>
        <v>780</v>
      </c>
      <c r="AB61">
        <v>81</v>
      </c>
      <c r="AC61">
        <v>269</v>
      </c>
      <c r="AE61">
        <v>200</v>
      </c>
      <c r="AG61">
        <f>+IFERROR(TablaGeneral[[#This Row],[Plantas]]/TablaGeneral[[#This Row],[Rendimiento Poda]],0)</f>
        <v>12.782692307692308</v>
      </c>
      <c r="AH61">
        <f>+TablaGeneral[[#This Row],[Plantas]]/TablaGeneral[[#This Row],[Rendimiento Atada]]</f>
        <v>8.5217948717948726</v>
      </c>
      <c r="AI61">
        <f>+IFERROR(TablaGeneral[[#This Row],[Plantas]]/TablaGeneral[[#This Row],[Rendimiento Desbrote de troncos]],0)</f>
        <v>82.061728395061735</v>
      </c>
      <c r="AJ61" s="2">
        <f>+IFERROR(TablaGeneral[[#This Row],[Plantas]]/TablaGeneral[[#This Row],[Rendimiento Acomodo de brotes ]],0)</f>
        <v>24.71003717472119</v>
      </c>
      <c r="AK61">
        <f>+IFERROR(TablaGeneral[[#This Row],[Plantas]]/TablaGeneral[[#This Row],[Rendimiento Desniete, deshoje ]],0)</f>
        <v>0</v>
      </c>
      <c r="AL61">
        <f>+IFERROR(TablaGeneral[[#This Row],[Plantas]]/TablaGeneral[[#This Row],[Rendimiento Desbrote con criterio de Poda]],0)</f>
        <v>33.234999999999999</v>
      </c>
      <c r="AM61">
        <f>+IFERROR(TablaGeneral[[#This Row],[Plantas]]/TablaGeneral[[#This Row],[Rendimiento Raleo de Racimos]],0)</f>
        <v>0</v>
      </c>
      <c r="AN61">
        <f t="shared" si="106"/>
        <v>7.936365796376757E-2</v>
      </c>
      <c r="AR61">
        <f t="shared" si="86"/>
        <v>0.87883755982759082</v>
      </c>
      <c r="AS61">
        <f t="shared" si="87"/>
        <v>3.1483096835431219</v>
      </c>
      <c r="AT61">
        <f t="shared" si="88"/>
        <v>33.741116751269033</v>
      </c>
      <c r="AU61">
        <f t="shared" si="89"/>
        <v>7.2328618063112078</v>
      </c>
      <c r="AV61">
        <f t="shared" si="90"/>
        <v>5.1816339257873407</v>
      </c>
      <c r="AW61">
        <f t="shared" si="91"/>
        <v>0.41540197222707281</v>
      </c>
      <c r="AX61">
        <f t="shared" si="92"/>
        <v>8.9640198511166247</v>
      </c>
      <c r="AY61">
        <f t="shared" si="93"/>
        <v>15.453108290324082</v>
      </c>
      <c r="BA61">
        <f t="shared" si="94"/>
        <v>6.2091663184422279</v>
      </c>
      <c r="BC61">
        <f t="shared" si="95"/>
        <v>2.1863261694723475</v>
      </c>
      <c r="BD61">
        <f t="shared" si="96"/>
        <v>0.69962455832713211</v>
      </c>
      <c r="BE61">
        <f t="shared" si="97"/>
        <v>18.991428571428571</v>
      </c>
      <c r="BF61">
        <f t="shared" si="98"/>
        <v>2.0332813312532503</v>
      </c>
      <c r="BG61">
        <f t="shared" si="99"/>
        <v>6.2528809158725531</v>
      </c>
      <c r="BH61">
        <f t="shared" si="100"/>
        <v>5.2587025316455698</v>
      </c>
      <c r="BI61">
        <f t="shared" si="101"/>
        <v>3.694892077133026</v>
      </c>
      <c r="BJ61">
        <f t="shared" si="102"/>
        <v>10.057101702762488</v>
      </c>
      <c r="BK61">
        <f t="shared" si="103"/>
        <v>0.6996842105263158</v>
      </c>
      <c r="BL61">
        <f t="shared" si="104"/>
        <v>5.0934865900383146</v>
      </c>
      <c r="BM61">
        <f t="shared" si="105"/>
        <v>2.274033527198084</v>
      </c>
      <c r="BN61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303.3008913285455</v>
      </c>
      <c r="BO61" s="1">
        <f>+TablaGeneral[[#This Row],[Combustible]]/100</f>
        <v>3.033008913285455</v>
      </c>
      <c r="BP61" s="1">
        <f>+TablaGeneral[[#This Row],[Combustible]]/150</f>
        <v>2.0220059421903032</v>
      </c>
      <c r="BQ61" s="1">
        <f>+TablaGeneral[[#This Row],[Combustible]]/200</f>
        <v>1.5165044566427275</v>
      </c>
      <c r="BR61">
        <f>+H61/1683.071</f>
        <v>3.9493283408721322</v>
      </c>
      <c r="BS61">
        <f>+H61/1683.071</f>
        <v>3.9493283408721322</v>
      </c>
      <c r="BT61">
        <f>+H61/826.78</f>
        <v>8.0396235999903247</v>
      </c>
      <c r="BU61">
        <f>+H61/6732.286</f>
        <v>0.98733179190545384</v>
      </c>
      <c r="BV61">
        <f>+H61/1683.071</f>
        <v>3.9493283408721322</v>
      </c>
      <c r="BW61">
        <f>+F61/26645.3</f>
        <v>1.8329686661437476</v>
      </c>
      <c r="BX61">
        <f>+F61/15923.3</f>
        <v>3.0672034063290901</v>
      </c>
      <c r="BY61">
        <f>+F61/7925</f>
        <v>6.1627760252365933</v>
      </c>
      <c r="BZ61">
        <f>+F61/13208</f>
        <v>3.6977589339794066</v>
      </c>
      <c r="CA61">
        <f>+F61/10585.1</f>
        <v>4.6140329330851859</v>
      </c>
      <c r="CB61">
        <f>+F61/26645.3</f>
        <v>1.8329686661437476</v>
      </c>
      <c r="CC61">
        <f>+F61/70246.8</f>
        <v>0.69526298706845002</v>
      </c>
      <c r="CF61">
        <f>+F61/3992.41</f>
        <v>12.233212520758139</v>
      </c>
      <c r="CG61">
        <f>+F61/48294</f>
        <v>1.0113057522673623</v>
      </c>
      <c r="CH61">
        <f>+F61/51514.3</f>
        <v>0.94808625954346648</v>
      </c>
      <c r="CI61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9.3652134329800489</v>
      </c>
      <c r="CJ61" s="59">
        <f>+TablaGeneral[[#This Row],[Tracto elevador]]+TablaGeneral[[#This Row],[Tractor con uñas]]+TablaGeneral[[#This Row],[Tractor con acoplado]]</f>
        <v>15.938280281734588</v>
      </c>
      <c r="CK61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5.0265954181399186</v>
      </c>
      <c r="CL61" s="60">
        <f>+SUM(BR61:BV61)+TablaGeneral[[#This Row],[Cosecha DOV]]+TablaGeneral[[#This Row],[Corte DOV]]</f>
        <v>20.874940414512174</v>
      </c>
      <c r="CM61" s="60">
        <f>+SUM(TablaGeneral[[#This Row],[Colocación de malla]:[Descarga y carga de bines con Autoelevador]])</f>
        <v>36.095576150555189</v>
      </c>
      <c r="CN61" s="64"/>
      <c r="CO61" s="64"/>
      <c r="CP61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61" t="str">
        <f>+TablaGeneral[[#This Row],[Variedad]]&amp;" "&amp;TablaGeneral[[#This Row],[Año de plantación]]</f>
        <v>Flame 2020</v>
      </c>
      <c r="CR61" t="str">
        <f>+IF(TablaGeneral[[#This Row],[Finca]]="El Espejo I","El Espejo I y II",IF(TablaGeneral[[#This Row],[Finca]]="El Espejo II","El Espejo I y II",TablaGeneral[[#This Row],[Finca]]))</f>
        <v>El Espejo I y II</v>
      </c>
    </row>
    <row r="62" spans="1:96">
      <c r="A62" t="s">
        <v>13</v>
      </c>
      <c r="B62">
        <v>12</v>
      </c>
      <c r="C62">
        <v>2.29</v>
      </c>
      <c r="D62" t="s">
        <v>6</v>
      </c>
      <c r="E62">
        <v>20000</v>
      </c>
      <c r="F62" s="2">
        <f>+TablaGeneral[[#This Row],[Has]]*TablaGeneral[[#This Row],[Kg x Has]]</f>
        <v>45800</v>
      </c>
      <c r="G62" s="2">
        <f>+TablaGeneral[[#This Row],[Kg 2026]]/4</f>
        <v>11450</v>
      </c>
      <c r="H62">
        <v>3814</v>
      </c>
      <c r="I62">
        <v>2020</v>
      </c>
      <c r="K62">
        <f>10000/IF(LEN(TablaGeneral[[#This Row],[Marco de plantación]])&gt;3,(MID(TablaGeneral[[#This Row],[Marco de plantación]],1,3)*MID(TablaGeneral[[#This Row],[Marco de plantación]],5,3)),(3*2))</f>
        <v>1666.6666666666667</v>
      </c>
      <c r="L62">
        <v>6</v>
      </c>
      <c r="M62">
        <f>+TablaGeneral[[#This Row],[Plantas x Has]]*TablaGeneral[[#This Row],[N° de Guías x planta]]</f>
        <v>10000</v>
      </c>
      <c r="N62">
        <v>6</v>
      </c>
      <c r="O62">
        <f>+TablaGeneral[[#This Row],[N° de Guías x planta]]*TablaGeneral[[#This Row],[N° de Yemas x Guias]]</f>
        <v>36</v>
      </c>
      <c r="P62">
        <v>0.7</v>
      </c>
      <c r="Q62">
        <f>+TablaGeneral[[#This Row],[N° de Yemas x Planta]]*TablaGeneral[[#This Row],[% de Brotación]]</f>
        <v>25.2</v>
      </c>
      <c r="R62">
        <v>0.89</v>
      </c>
      <c r="S62">
        <v>1.5</v>
      </c>
      <c r="T62">
        <f>+TablaGeneral[[#This Row],[N° de Brotes x Planta]]*TablaGeneral[[#This Row],[% de Fertilidad]]*TablaGeneral[[#This Row],[Cantidad de Racimos x Brote]]</f>
        <v>33.642000000000003</v>
      </c>
      <c r="U62">
        <v>0.35780000000000001</v>
      </c>
      <c r="V62" s="2">
        <f>+TablaGeneral[[#This Row],[Cantidad de Racimos x Planta]]*TablaGeneral[[#This Row],[Peso del Racimo]]</f>
        <v>12.037107600000001</v>
      </c>
      <c r="W62" s="2">
        <f>+TablaGeneral[[#This Row],[Plantas]]*TablaGeneral[[#This Row],[Kg x Planta]]</f>
        <v>45909.528386400001</v>
      </c>
      <c r="X62" s="2">
        <f>+TablaGeneral[[#This Row],[Kg x Cuartel]]/TablaGeneral[[#This Row],[Has]]</f>
        <v>20047.828989694324</v>
      </c>
      <c r="Y62" t="s">
        <v>163</v>
      </c>
      <c r="Z62">
        <v>530</v>
      </c>
      <c r="AA62">
        <f>+TablaGeneral[[#This Row],[Rendimiento Poda]]*1.5</f>
        <v>795</v>
      </c>
      <c r="AB62">
        <v>81</v>
      </c>
      <c r="AC62">
        <v>269</v>
      </c>
      <c r="AE62">
        <v>200</v>
      </c>
      <c r="AG62">
        <f>+IFERROR(TablaGeneral[[#This Row],[Plantas]]/TablaGeneral[[#This Row],[Rendimiento Poda]],0)</f>
        <v>7.1962264150943396</v>
      </c>
      <c r="AH62">
        <f>+TablaGeneral[[#This Row],[Plantas]]/TablaGeneral[[#This Row],[Rendimiento Atada]]</f>
        <v>4.79748427672956</v>
      </c>
      <c r="AI62">
        <f>+IFERROR(TablaGeneral[[#This Row],[Plantas]]/TablaGeneral[[#This Row],[Rendimiento Desbrote de troncos]],0)</f>
        <v>47.086419753086417</v>
      </c>
      <c r="AJ62" s="2">
        <f>+IFERROR(TablaGeneral[[#This Row],[Plantas]]/TablaGeneral[[#This Row],[Rendimiento Acomodo de brotes ]],0)</f>
        <v>14.178438661710038</v>
      </c>
      <c r="AK62">
        <f>+IFERROR(TablaGeneral[[#This Row],[Plantas]]/TablaGeneral[[#This Row],[Rendimiento Desniete, deshoje ]],0)</f>
        <v>0</v>
      </c>
      <c r="AL62">
        <f>+IFERROR(TablaGeneral[[#This Row],[Plantas]]/TablaGeneral[[#This Row],[Rendimiento Desbrote con criterio de Poda]],0)</f>
        <v>19.07</v>
      </c>
      <c r="AM62">
        <f>+IFERROR(TablaGeneral[[#This Row],[Plantas]]/TablaGeneral[[#This Row],[Rendimiento Raleo de Racimos]],0)</f>
        <v>0</v>
      </c>
      <c r="AN62">
        <f t="shared" si="106"/>
        <v>4.5538286666738308E-2</v>
      </c>
      <c r="AR62">
        <f t="shared" si="86"/>
        <v>0.50427056614749988</v>
      </c>
      <c r="AS62">
        <f t="shared" si="87"/>
        <v>1.8064770773331529</v>
      </c>
      <c r="AT62">
        <f t="shared" si="88"/>
        <v>19.360406091370557</v>
      </c>
      <c r="AU62">
        <f t="shared" si="89"/>
        <v>4.1501632208922743</v>
      </c>
      <c r="AV62">
        <f t="shared" si="90"/>
        <v>2.9731836607421269</v>
      </c>
      <c r="AW62">
        <f t="shared" si="91"/>
        <v>0.23835461442365813</v>
      </c>
      <c r="AX62">
        <f t="shared" si="92"/>
        <v>5.1434890495199053</v>
      </c>
      <c r="AY62">
        <f t="shared" si="93"/>
        <v>8.8668805505184363</v>
      </c>
      <c r="BA62">
        <f t="shared" si="94"/>
        <v>3.56277423477338</v>
      </c>
      <c r="BC62">
        <f t="shared" si="95"/>
        <v>1.2544979705683066</v>
      </c>
      <c r="BD62">
        <f t="shared" si="96"/>
        <v>0.40143945621478594</v>
      </c>
      <c r="BE62">
        <f t="shared" si="97"/>
        <v>10.897142857142857</v>
      </c>
      <c r="BF62">
        <f t="shared" si="98"/>
        <v>1.166681961396103</v>
      </c>
      <c r="BG62">
        <f t="shared" si="99"/>
        <v>3.5878573511565994</v>
      </c>
      <c r="BH62">
        <f t="shared" si="100"/>
        <v>3.0174050632911391</v>
      </c>
      <c r="BI62">
        <f t="shared" si="101"/>
        <v>2.1201020584000845</v>
      </c>
      <c r="BJ62">
        <f t="shared" si="102"/>
        <v>5.7706914238507787</v>
      </c>
      <c r="BK62">
        <f t="shared" si="103"/>
        <v>0.40147368421052632</v>
      </c>
      <c r="BL62">
        <f t="shared" si="104"/>
        <v>2.9226053639846743</v>
      </c>
      <c r="BM62">
        <f t="shared" si="105"/>
        <v>1.3048238111529251</v>
      </c>
      <c r="BN62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192.3267938531726</v>
      </c>
      <c r="BO62" s="1">
        <f>+TablaGeneral[[#This Row],[Combustible]]/100</f>
        <v>1.923267938531726</v>
      </c>
      <c r="BP62" s="1">
        <f>+TablaGeneral[[#This Row],[Combustible]]/150</f>
        <v>1.2821786256878174</v>
      </c>
      <c r="BQ62" s="1">
        <f>+TablaGeneral[[#This Row],[Combustible]]/200</f>
        <v>0.96163396926586298</v>
      </c>
      <c r="BR62">
        <f>+H62/1683.071</f>
        <v>2.2660957262052523</v>
      </c>
      <c r="BS62">
        <f>+H62/1683.071</f>
        <v>2.2660957262052523</v>
      </c>
      <c r="BT62">
        <f>+H62/826.78</f>
        <v>4.6130772394107264</v>
      </c>
      <c r="BU62">
        <f>+H62/6732.286</f>
        <v>0.56652376325069964</v>
      </c>
      <c r="BV62">
        <f>+H62/1683.071</f>
        <v>2.2660957262052523</v>
      </c>
      <c r="BW62">
        <f>+F62/26645.3</f>
        <v>1.7188772503968806</v>
      </c>
      <c r="BX62">
        <f>+F62/15923.3</f>
        <v>2.8762882065903428</v>
      </c>
      <c r="BY62">
        <f>+F62/7925</f>
        <v>5.7791798107255516</v>
      </c>
      <c r="BZ62">
        <f>+F62/13208</f>
        <v>3.467595396729255</v>
      </c>
      <c r="CA62">
        <f>+F62/10585.1</f>
        <v>4.3268367800020782</v>
      </c>
      <c r="CB62">
        <f>+F62/26645.3</f>
        <v>1.7188772503968806</v>
      </c>
      <c r="CC62">
        <f>+F62/70246.8</f>
        <v>0.65198699442536878</v>
      </c>
      <c r="CF62">
        <f>+F62/3992.41</f>
        <v>11.471767679171228</v>
      </c>
      <c r="CG62">
        <f>+F62/48294</f>
        <v>0.94835797407545452</v>
      </c>
      <c r="CH62">
        <f>+F62/51514.3</f>
        <v>0.88907351939170287</v>
      </c>
      <c r="CI62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5.3736909934385295</v>
      </c>
      <c r="CJ62" s="59">
        <f>+TablaGeneral[[#This Row],[Tracto elevador]]+TablaGeneral[[#This Row],[Tractor con uñas]]+TablaGeneral[[#This Row],[Tractor con acoplado]]</f>
        <v>9.1452686918212311</v>
      </c>
      <c r="CK62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4.7137197000575002</v>
      </c>
      <c r="CL62" s="60">
        <f>+SUM(BR62:BV62)+TablaGeneral[[#This Row],[Cosecha DOV]]+TablaGeneral[[#This Row],[Corte DOV]]</f>
        <v>11.977888181277184</v>
      </c>
      <c r="CM62" s="60">
        <f>+SUM(TablaGeneral[[#This Row],[Colocación de malla]:[Descarga y carga de bines con Autoelevador]])</f>
        <v>33.848840861904741</v>
      </c>
      <c r="CN62" s="64"/>
      <c r="CO62" s="64"/>
      <c r="CP62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62" t="str">
        <f>+TablaGeneral[[#This Row],[Variedad]]&amp;" "&amp;TablaGeneral[[#This Row],[Año de plantación]]</f>
        <v>Flame 2020</v>
      </c>
      <c r="CR62" t="str">
        <f>+IF(TablaGeneral[[#This Row],[Finca]]="El Espejo I","El Espejo I y II",IF(TablaGeneral[[#This Row],[Finca]]="El Espejo II","El Espejo I y II",TablaGeneral[[#This Row],[Finca]]))</f>
        <v>El Espejo I y II</v>
      </c>
    </row>
    <row r="63" spans="1:96">
      <c r="A63" t="s">
        <v>13</v>
      </c>
      <c r="B63">
        <v>14</v>
      </c>
      <c r="C63">
        <v>5.1100000000000003</v>
      </c>
      <c r="D63" t="s">
        <v>6</v>
      </c>
      <c r="E63">
        <v>10000</v>
      </c>
      <c r="F63" s="2">
        <f>+TablaGeneral[[#This Row],[Has]]*TablaGeneral[[#This Row],[Kg x Has]]</f>
        <v>51100</v>
      </c>
      <c r="G63" s="2">
        <f>+TablaGeneral[[#This Row],[Kg 2026]]/4</f>
        <v>12775</v>
      </c>
      <c r="H63">
        <v>8360</v>
      </c>
      <c r="I63">
        <v>2020</v>
      </c>
      <c r="K63">
        <f>10000/IF(LEN(TablaGeneral[[#This Row],[Marco de plantación]])&gt;3,(MID(TablaGeneral[[#This Row],[Marco de plantación]],1,3)*MID(TablaGeneral[[#This Row],[Marco de plantación]],5,3)),(3*2))</f>
        <v>1666.6666666666667</v>
      </c>
      <c r="L63">
        <v>4</v>
      </c>
      <c r="M63">
        <f>+TablaGeneral[[#This Row],[Plantas x Has]]*TablaGeneral[[#This Row],[N° de Guías x planta]]</f>
        <v>6666.666666666667</v>
      </c>
      <c r="N63">
        <v>5</v>
      </c>
      <c r="O63">
        <f>+TablaGeneral[[#This Row],[N° de Guías x planta]]*TablaGeneral[[#This Row],[N° de Yemas x Guias]]</f>
        <v>20</v>
      </c>
      <c r="P63">
        <v>0.7</v>
      </c>
      <c r="Q63">
        <f>+TablaGeneral[[#This Row],[N° de Yemas x Planta]]*TablaGeneral[[#This Row],[% de Brotación]]</f>
        <v>14</v>
      </c>
      <c r="R63">
        <v>0.89</v>
      </c>
      <c r="S63">
        <v>1.3</v>
      </c>
      <c r="T63">
        <f>+TablaGeneral[[#This Row],[N° de Brotes x Planta]]*TablaGeneral[[#This Row],[% de Fertilidad]]*TablaGeneral[[#This Row],[Cantidad de Racimos x Brote]]</f>
        <v>16.198</v>
      </c>
      <c r="U63">
        <v>0.37790000000000001</v>
      </c>
      <c r="V63" s="2">
        <f>+TablaGeneral[[#This Row],[Cantidad de Racimos x Planta]]*TablaGeneral[[#This Row],[Peso del Racimo]]</f>
        <v>6.1212242000000003</v>
      </c>
      <c r="W63" s="2">
        <f>+TablaGeneral[[#This Row],[Plantas]]*TablaGeneral[[#This Row],[Kg x Planta]]</f>
        <v>51173.434312000005</v>
      </c>
      <c r="X63" s="2">
        <f>+TablaGeneral[[#This Row],[Kg x Cuartel]]/TablaGeneral[[#This Row],[Has]]</f>
        <v>10014.370706849315</v>
      </c>
      <c r="Y63" t="s">
        <v>163</v>
      </c>
      <c r="Z63">
        <v>520</v>
      </c>
      <c r="AA63">
        <f>+TablaGeneral[[#This Row],[Rendimiento Poda]]*1.5</f>
        <v>780</v>
      </c>
      <c r="AB63">
        <v>81</v>
      </c>
      <c r="AC63">
        <v>269</v>
      </c>
      <c r="AE63">
        <v>200</v>
      </c>
      <c r="AG63">
        <f>+IFERROR(TablaGeneral[[#This Row],[Plantas]]/TablaGeneral[[#This Row],[Rendimiento Poda]],0)</f>
        <v>16.076923076923077</v>
      </c>
      <c r="AH63">
        <f>+TablaGeneral[[#This Row],[Plantas]]/TablaGeneral[[#This Row],[Rendimiento Atada]]</f>
        <v>10.717948717948717</v>
      </c>
      <c r="AI63">
        <f>+IFERROR(TablaGeneral[[#This Row],[Plantas]]/TablaGeneral[[#This Row],[Rendimiento Desbrote de troncos]],0)</f>
        <v>103.20987654320987</v>
      </c>
      <c r="AJ63" s="2">
        <f>+IFERROR(TablaGeneral[[#This Row],[Plantas]]/TablaGeneral[[#This Row],[Rendimiento Acomodo de brotes ]],0)</f>
        <v>31.078066914498141</v>
      </c>
      <c r="AK63">
        <f>+IFERROR(TablaGeneral[[#This Row],[Plantas]]/TablaGeneral[[#This Row],[Rendimiento Desniete, deshoje ]],0)</f>
        <v>0</v>
      </c>
      <c r="AL63">
        <f>+IFERROR(TablaGeneral[[#This Row],[Plantas]]/TablaGeneral[[#This Row],[Rendimiento Desbrote con criterio de Poda]],0)</f>
        <v>41.8</v>
      </c>
      <c r="AM63">
        <f>+IFERROR(TablaGeneral[[#This Row],[Plantas]]/TablaGeneral[[#This Row],[Rendimiento Raleo de Racimos]],0)</f>
        <v>0</v>
      </c>
      <c r="AN63">
        <f t="shared" si="106"/>
        <v>9.9816485719436882E-2</v>
      </c>
      <c r="AR63">
        <f t="shared" si="86"/>
        <v>1.1053230028823016</v>
      </c>
      <c r="AS63">
        <f t="shared" si="87"/>
        <v>3.9596613441282531</v>
      </c>
      <c r="AT63">
        <f t="shared" si="88"/>
        <v>42.43654822335025</v>
      </c>
      <c r="AU63">
        <f t="shared" si="89"/>
        <v>9.0968443960826981</v>
      </c>
      <c r="AV63">
        <f t="shared" si="90"/>
        <v>6.516994075459932</v>
      </c>
      <c r="AW63">
        <f t="shared" si="91"/>
        <v>0.52245531635599951</v>
      </c>
      <c r="AX63">
        <f t="shared" si="92"/>
        <v>11.274139605135398</v>
      </c>
      <c r="AY63">
        <f t="shared" si="93"/>
        <v>19.435532617287397</v>
      </c>
      <c r="BA63">
        <f t="shared" si="94"/>
        <v>7.809332093000906</v>
      </c>
      <c r="BC63">
        <f t="shared" si="95"/>
        <v>2.7497648227454228</v>
      </c>
      <c r="BD63">
        <f t="shared" si="96"/>
        <v>0.87992497481793663</v>
      </c>
      <c r="BE63">
        <f t="shared" si="97"/>
        <v>23.885714285714286</v>
      </c>
      <c r="BF63">
        <f t="shared" si="98"/>
        <v>2.5572787617387047</v>
      </c>
      <c r="BG63">
        <f t="shared" si="99"/>
        <v>7.8643123900548435</v>
      </c>
      <c r="BH63">
        <f t="shared" si="100"/>
        <v>6.6139240506329111</v>
      </c>
      <c r="BI63">
        <f t="shared" si="101"/>
        <v>4.6471036204050096</v>
      </c>
      <c r="BJ63">
        <f t="shared" si="102"/>
        <v>12.648919848818172</v>
      </c>
      <c r="BK63">
        <f t="shared" si="103"/>
        <v>0.88</v>
      </c>
      <c r="BL63">
        <f t="shared" si="104"/>
        <v>6.4061302681992336</v>
      </c>
      <c r="BM63">
        <f t="shared" si="105"/>
        <v>2.8600752651385561</v>
      </c>
      <c r="BN63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370.83657098762353</v>
      </c>
      <c r="BO63" s="1">
        <f>+TablaGeneral[[#This Row],[Combustible]]/100</f>
        <v>3.7083657098762353</v>
      </c>
      <c r="BP63" s="1">
        <f>+TablaGeneral[[#This Row],[Combustible]]/150</f>
        <v>2.472243806584157</v>
      </c>
      <c r="BQ63" s="1">
        <f>+TablaGeneral[[#This Row],[Combustible]]/200</f>
        <v>1.8541828549381176</v>
      </c>
      <c r="BR63">
        <f>+H63/1683.071</f>
        <v>4.9671107160660481</v>
      </c>
      <c r="BS63">
        <f>+H63/1683.071</f>
        <v>4.9671107160660481</v>
      </c>
      <c r="BT63">
        <f>+H63/826.78</f>
        <v>10.111516969447738</v>
      </c>
      <c r="BU63">
        <f>+H63/6732.286</f>
        <v>1.2417773101142762</v>
      </c>
      <c r="BV63">
        <f>+H63/1683.071</f>
        <v>4.9671107160660481</v>
      </c>
      <c r="BW63">
        <f>+F63/26645.3</f>
        <v>1.9177866265345109</v>
      </c>
      <c r="BX63">
        <f>+F63/15923.3</f>
        <v>3.2091337850822383</v>
      </c>
      <c r="BY63">
        <f>+F63/7925</f>
        <v>6.44794952681388</v>
      </c>
      <c r="BZ63">
        <f>+F63/13208</f>
        <v>3.8688673531193216</v>
      </c>
      <c r="CA63">
        <f>+F63/10585.1</f>
        <v>4.8275405995219698</v>
      </c>
      <c r="CB63">
        <f>+F63/26645.3</f>
        <v>1.9177866265345109</v>
      </c>
      <c r="CC63">
        <f>+F63/70246.8</f>
        <v>0.727435271072846</v>
      </c>
      <c r="CF63">
        <f>+F63/3992.41</f>
        <v>12.799286646411566</v>
      </c>
      <c r="CG63">
        <f>+F63/48294</f>
        <v>1.0581024557916097</v>
      </c>
      <c r="CH63">
        <f>+F63/51514.3</f>
        <v>0.99195757294576448</v>
      </c>
      <c r="CI63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11.778724883362901</v>
      </c>
      <c r="CJ63" s="59">
        <f>+TablaGeneral[[#This Row],[Tracto elevador]]+TablaGeneral[[#This Row],[Tractor con uñas]]+TablaGeneral[[#This Row],[Tractor con acoplado]]</f>
        <v>20.045738401579836</v>
      </c>
      <c r="CK63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5.2591938138196124</v>
      </c>
      <c r="CL63" s="60">
        <f>+SUM(BR63:BV63)+TablaGeneral[[#This Row],[Cosecha DOV]]+TablaGeneral[[#This Row],[Corte DOV]]</f>
        <v>26.254626427760158</v>
      </c>
      <c r="CM63" s="60">
        <f>+SUM(TablaGeneral[[#This Row],[Colocación de malla]:[Descarga y carga de bines con Autoelevador]])</f>
        <v>37.765846463828225</v>
      </c>
      <c r="CN63" s="64"/>
      <c r="CO63" s="64"/>
      <c r="CP63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63" t="str">
        <f>+TablaGeneral[[#This Row],[Variedad]]&amp;" "&amp;TablaGeneral[[#This Row],[Año de plantación]]</f>
        <v>Flame 2020</v>
      </c>
      <c r="CR63" t="str">
        <f>+IF(TablaGeneral[[#This Row],[Finca]]="El Espejo I","El Espejo I y II",IF(TablaGeneral[[#This Row],[Finca]]="El Espejo II","El Espejo I y II",TablaGeneral[[#This Row],[Finca]]))</f>
        <v>El Espejo I y II</v>
      </c>
    </row>
    <row r="64" spans="1:96">
      <c r="A64" t="s">
        <v>14</v>
      </c>
      <c r="B64">
        <v>14</v>
      </c>
      <c r="C64">
        <v>2.2799999999999998</v>
      </c>
      <c r="D64" t="s">
        <v>10</v>
      </c>
      <c r="E64" s="3">
        <v>35000</v>
      </c>
      <c r="F64" s="2">
        <f>+TablaGeneral[[#This Row],[Has]]*TablaGeneral[[#This Row],[Kg x Has]]</f>
        <v>79800</v>
      </c>
      <c r="G64" s="2">
        <f>+TablaGeneral[[#This Row],[Kg 2026]]/4</f>
        <v>19950</v>
      </c>
      <c r="H64">
        <v>3726</v>
      </c>
      <c r="I64">
        <v>2020</v>
      </c>
      <c r="J64" t="s">
        <v>168</v>
      </c>
      <c r="K64">
        <f>10000/IF(LEN(TablaGeneral[[#This Row],[Marco de plantación]])&gt;3,(MID(TablaGeneral[[#This Row],[Marco de plantación]],1,3)*MID(TablaGeneral[[#This Row],[Marco de plantación]],5,3)),(3*2))</f>
        <v>1666.6666666666667</v>
      </c>
      <c r="M64">
        <f>+TablaGeneral[[#This Row],[Plantas x Has]]*TablaGeneral[[#This Row],[N° de Guías x planta]]</f>
        <v>0</v>
      </c>
      <c r="O64">
        <f>+TablaGeneral[[#This Row],[N° de Guías x planta]]*TablaGeneral[[#This Row],[N° de Yemas x Guias]]</f>
        <v>0</v>
      </c>
      <c r="Q64">
        <f>+TablaGeneral[[#This Row],[N° de Yemas x Planta]]*TablaGeneral[[#This Row],[% de Brotación]]</f>
        <v>0</v>
      </c>
      <c r="T64">
        <f>+TablaGeneral[[#This Row],[N° de Brotes x Planta]]*TablaGeneral[[#This Row],[% de Fertilidad]]*TablaGeneral[[#This Row],[Cantidad de Racimos x Brote]]</f>
        <v>0</v>
      </c>
      <c r="V64">
        <f>+TablaGeneral[[#This Row],[Cantidad de Racimos x Planta]]*TablaGeneral[[#This Row],[Peso del Racimo]]</f>
        <v>0</v>
      </c>
      <c r="W64">
        <f>+TablaGeneral[[#This Row],[Plantas]]*TablaGeneral[[#This Row],[Kg x Planta]]</f>
        <v>0</v>
      </c>
      <c r="X64">
        <f>+TablaGeneral[[#This Row],[Kg x Cuartel]]/TablaGeneral[[#This Row],[Has]]</f>
        <v>0</v>
      </c>
      <c r="Y64" t="s">
        <v>162</v>
      </c>
      <c r="Z64">
        <v>120</v>
      </c>
      <c r="AA64">
        <f>+TablaGeneral[[#This Row],[Rendimiento Poda]]</f>
        <v>120</v>
      </c>
      <c r="AB64">
        <v>130</v>
      </c>
      <c r="AC64">
        <v>180</v>
      </c>
      <c r="AD64">
        <v>1000</v>
      </c>
      <c r="AE64">
        <v>500</v>
      </c>
      <c r="AF64">
        <v>100</v>
      </c>
      <c r="AG64">
        <f>+IFERROR(TablaGeneral[[#This Row],[Plantas]]/TablaGeneral[[#This Row],[Rendimiento Poda]],0)</f>
        <v>31.05</v>
      </c>
      <c r="AH64">
        <f>+TablaGeneral[[#This Row],[Plantas]]/TablaGeneral[[#This Row],[Rendimiento Atada]]</f>
        <v>31.05</v>
      </c>
      <c r="AI64">
        <f>+IFERROR(TablaGeneral[[#This Row],[Plantas]]/TablaGeneral[[#This Row],[Rendimiento Desbrote de troncos]],0)</f>
        <v>28.661538461538463</v>
      </c>
      <c r="AJ64" s="2">
        <f>+IFERROR(TablaGeneral[[#This Row],[Plantas]]/TablaGeneral[[#This Row],[Rendimiento Acomodo de brotes ]],0)</f>
        <v>20.7</v>
      </c>
      <c r="AK64">
        <f>+IFERROR(TablaGeneral[[#This Row],[Plantas]]/TablaGeneral[[#This Row],[Rendimiento Desniete, deshoje ]],0)</f>
        <v>3.726</v>
      </c>
      <c r="AL64">
        <f>+IFERROR(TablaGeneral[[#This Row],[Plantas]]/TablaGeneral[[#This Row],[Rendimiento Desbrote con criterio de Poda]],0)</f>
        <v>7.452</v>
      </c>
      <c r="AM64">
        <f>+IFERROR(TablaGeneral[[#This Row],[Plantas]]/TablaGeneral[[#This Row],[Rendimiento Raleo de Racimos]],0)</f>
        <v>37.26</v>
      </c>
      <c r="AN64">
        <f t="shared" si="106"/>
        <v>4.4487586817060026E-2</v>
      </c>
      <c r="AR64">
        <f t="shared" si="86"/>
        <v>0.49263558716979139</v>
      </c>
      <c r="AS64">
        <f t="shared" si="87"/>
        <v>1.7647964316054869</v>
      </c>
      <c r="AT64">
        <f t="shared" si="88"/>
        <v>18.913705583756347</v>
      </c>
      <c r="AU64">
        <f t="shared" si="89"/>
        <v>4.0544069640914033</v>
      </c>
      <c r="AV64">
        <f t="shared" si="90"/>
        <v>2.9045837231057066</v>
      </c>
      <c r="AW64">
        <f t="shared" si="91"/>
        <v>0.2328550847778055</v>
      </c>
      <c r="AX64">
        <f t="shared" si="92"/>
        <v>5.0248138957816382</v>
      </c>
      <c r="AY64">
        <f t="shared" si="93"/>
        <v>8.6622959966522526</v>
      </c>
      <c r="BA64">
        <f t="shared" si="94"/>
        <v>3.4805707390575806</v>
      </c>
      <c r="BC64">
        <f t="shared" si="95"/>
        <v>1.225553077697302</v>
      </c>
      <c r="BD64">
        <f t="shared" si="96"/>
        <v>0.39217708805880763</v>
      </c>
      <c r="BE64">
        <f t="shared" si="97"/>
        <v>10.645714285714286</v>
      </c>
      <c r="BF64">
        <f t="shared" si="98"/>
        <v>1.1397632375883271</v>
      </c>
      <c r="BG64">
        <f t="shared" si="99"/>
        <v>3.5050751154718118</v>
      </c>
      <c r="BH64">
        <f t="shared" si="100"/>
        <v>2.9477848101265822</v>
      </c>
      <c r="BI64">
        <f t="shared" si="101"/>
        <v>2.0711851781852948</v>
      </c>
      <c r="BJ64">
        <f t="shared" si="102"/>
        <v>5.637544899126377</v>
      </c>
      <c r="BK64">
        <f t="shared" si="103"/>
        <v>0.39221052631578945</v>
      </c>
      <c r="BL64">
        <f t="shared" si="104"/>
        <v>2.8551724137931034</v>
      </c>
      <c r="BM64">
        <f t="shared" si="105"/>
        <v>1.2747177557304139</v>
      </c>
      <c r="BN64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84.405178940979155</v>
      </c>
      <c r="BO64" s="1">
        <f>+TablaGeneral[[#This Row],[Combustible]]/100</f>
        <v>0.84405178940979153</v>
      </c>
      <c r="BP64" s="1">
        <f>+TablaGeneral[[#This Row],[Combustible]]/150</f>
        <v>0.56270119293986098</v>
      </c>
      <c r="BQ64" s="1">
        <f>+TablaGeneral[[#This Row],[Combustible]]/200</f>
        <v>0.42202589470489577</v>
      </c>
      <c r="BR64">
        <f t="shared" ref="BR64:BR83" si="107">+H64/6422</f>
        <v>0.58019308626596078</v>
      </c>
      <c r="BS64">
        <f t="shared" ref="BS64:BS83" si="108">+H64/3211.25</f>
        <v>1.1602958349552355</v>
      </c>
      <c r="BT64">
        <f t="shared" ref="BT64:BT83" si="109">+H64/3211.25</f>
        <v>1.1602958349552355</v>
      </c>
      <c r="BV64">
        <f t="shared" ref="BV64:BV83" si="110">+H64/4281.667</f>
        <v>0.87022180846852404</v>
      </c>
      <c r="CI64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5.2497044157189201</v>
      </c>
      <c r="CJ64" s="59">
        <f>+TablaGeneral[[#This Row],[Tracto elevador]]+TablaGeneral[[#This Row],[Tractor con uñas]]+TablaGeneral[[#This Row],[Tractor con acoplado]]</f>
        <v>3.190813478378995</v>
      </c>
      <c r="CK64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0</v>
      </c>
      <c r="CL64" s="60">
        <f>+SUM(BR64:BV64)+TablaGeneral[[#This Row],[Cosecha DOV]]+TablaGeneral[[#This Row],[Corte DOV]]</f>
        <v>8.342674547822087</v>
      </c>
      <c r="CM64" s="60">
        <f>+SUM(TablaGeneral[[#This Row],[Colocación de malla]:[Descarga y carga de bines con Autoelevador]])</f>
        <v>0</v>
      </c>
      <c r="CN64" s="65">
        <f>+H64/1116</f>
        <v>3.338709677419355</v>
      </c>
      <c r="CO64" s="65">
        <f t="shared" ref="CO64:CO83" si="111">+H64/3022</f>
        <v>1.2329583057577762</v>
      </c>
      <c r="CP64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64" t="str">
        <f>+TablaGeneral[[#This Row],[Variedad]]&amp;" "&amp;TablaGeneral[[#This Row],[Año de plantación]]</f>
        <v>Fiesta 2020</v>
      </c>
      <c r="CR64" t="str">
        <f>+IF(TablaGeneral[[#This Row],[Finca]]="El Espejo I","El Espejo I y II",IF(TablaGeneral[[#This Row],[Finca]]="El Espejo II","El Espejo I y II",TablaGeneral[[#This Row],[Finca]]))</f>
        <v>El Espejo I y II</v>
      </c>
    </row>
    <row r="65" spans="1:96">
      <c r="A65" t="s">
        <v>14</v>
      </c>
      <c r="B65">
        <v>15</v>
      </c>
      <c r="C65">
        <v>3.44</v>
      </c>
      <c r="D65" t="s">
        <v>10</v>
      </c>
      <c r="E65" s="3">
        <v>35000</v>
      </c>
      <c r="F65" s="2">
        <f>+TablaGeneral[[#This Row],[Has]]*TablaGeneral[[#This Row],[Kg x Has]]</f>
        <v>120400</v>
      </c>
      <c r="G65" s="2">
        <f>+TablaGeneral[[#This Row],[Kg 2026]]/4</f>
        <v>30100</v>
      </c>
      <c r="H65">
        <v>5619</v>
      </c>
      <c r="I65">
        <v>2020</v>
      </c>
      <c r="J65" t="s">
        <v>168</v>
      </c>
      <c r="K65">
        <f>10000/IF(LEN(TablaGeneral[[#This Row],[Marco de plantación]])&gt;3,(MID(TablaGeneral[[#This Row],[Marco de plantación]],1,3)*MID(TablaGeneral[[#This Row],[Marco de plantación]],5,3)),(3*2))</f>
        <v>1666.6666666666667</v>
      </c>
      <c r="M65">
        <f>+TablaGeneral[[#This Row],[Plantas x Has]]*TablaGeneral[[#This Row],[N° de Guías x planta]]</f>
        <v>0</v>
      </c>
      <c r="O65">
        <f>+TablaGeneral[[#This Row],[N° de Guías x planta]]*TablaGeneral[[#This Row],[N° de Yemas x Guias]]</f>
        <v>0</v>
      </c>
      <c r="Q65">
        <f>+TablaGeneral[[#This Row],[N° de Yemas x Planta]]*TablaGeneral[[#This Row],[% de Brotación]]</f>
        <v>0</v>
      </c>
      <c r="T65">
        <f>+TablaGeneral[[#This Row],[N° de Brotes x Planta]]*TablaGeneral[[#This Row],[% de Fertilidad]]*TablaGeneral[[#This Row],[Cantidad de Racimos x Brote]]</f>
        <v>0</v>
      </c>
      <c r="V65">
        <f>+TablaGeneral[[#This Row],[Cantidad de Racimos x Planta]]*TablaGeneral[[#This Row],[Peso del Racimo]]</f>
        <v>0</v>
      </c>
      <c r="W65">
        <f>+TablaGeneral[[#This Row],[Plantas]]*TablaGeneral[[#This Row],[Kg x Planta]]</f>
        <v>0</v>
      </c>
      <c r="X65">
        <f>+TablaGeneral[[#This Row],[Kg x Cuartel]]/TablaGeneral[[#This Row],[Has]]</f>
        <v>0</v>
      </c>
      <c r="Y65" t="s">
        <v>162</v>
      </c>
      <c r="Z65">
        <v>120</v>
      </c>
      <c r="AA65">
        <f>+TablaGeneral[[#This Row],[Rendimiento Poda]]</f>
        <v>120</v>
      </c>
      <c r="AB65">
        <v>130</v>
      </c>
      <c r="AC65">
        <v>180</v>
      </c>
      <c r="AD65">
        <v>1000</v>
      </c>
      <c r="AE65">
        <v>500</v>
      </c>
      <c r="AF65">
        <v>100</v>
      </c>
      <c r="AG65">
        <f>+IFERROR(TablaGeneral[[#This Row],[Plantas]]/TablaGeneral[[#This Row],[Rendimiento Poda]],0)</f>
        <v>46.825000000000003</v>
      </c>
      <c r="AH65">
        <f>+TablaGeneral[[#This Row],[Plantas]]/TablaGeneral[[#This Row],[Rendimiento Atada]]</f>
        <v>46.825000000000003</v>
      </c>
      <c r="AI65">
        <f>+IFERROR(TablaGeneral[[#This Row],[Plantas]]/TablaGeneral[[#This Row],[Rendimiento Desbrote de troncos]],0)</f>
        <v>43.223076923076924</v>
      </c>
      <c r="AJ65" s="2">
        <f>+IFERROR(TablaGeneral[[#This Row],[Plantas]]/TablaGeneral[[#This Row],[Rendimiento Acomodo de brotes ]],0)</f>
        <v>31.216666666666665</v>
      </c>
      <c r="AK65">
        <f>+IFERROR(TablaGeneral[[#This Row],[Plantas]]/TablaGeneral[[#This Row],[Rendimiento Desniete, deshoje ]],0)</f>
        <v>5.6189999999999998</v>
      </c>
      <c r="AL65">
        <f>+IFERROR(TablaGeneral[[#This Row],[Plantas]]/TablaGeneral[[#This Row],[Rendimiento Desbrote con criterio de Poda]],0)</f>
        <v>11.238</v>
      </c>
      <c r="AM65">
        <f>+IFERROR(TablaGeneral[[#This Row],[Plantas]]/TablaGeneral[[#This Row],[Rendimiento Raleo de Racimos]],0)</f>
        <v>56.19</v>
      </c>
      <c r="AN65">
        <f t="shared" si="106"/>
        <v>6.7089573356162183E-2</v>
      </c>
      <c r="AR65">
        <f t="shared" si="86"/>
        <v>0.7429198508607241</v>
      </c>
      <c r="AS65">
        <f t="shared" si="87"/>
        <v>2.661403958451753</v>
      </c>
      <c r="AT65">
        <f t="shared" si="88"/>
        <v>28.522842639593907</v>
      </c>
      <c r="AU65">
        <f t="shared" si="89"/>
        <v>6.1142546245919478</v>
      </c>
      <c r="AV65">
        <f t="shared" si="90"/>
        <v>4.3802619270346117</v>
      </c>
      <c r="AW65">
        <f t="shared" si="91"/>
        <v>0.35115746681870347</v>
      </c>
      <c r="AX65">
        <f t="shared" si="92"/>
        <v>7.5776782824468665</v>
      </c>
      <c r="AY65">
        <f t="shared" si="93"/>
        <v>13.063188729250943</v>
      </c>
      <c r="BA65">
        <f t="shared" si="94"/>
        <v>5.2488800275803937</v>
      </c>
      <c r="BC65">
        <f t="shared" si="95"/>
        <v>1.8481971936610684</v>
      </c>
      <c r="BD65">
        <f t="shared" si="96"/>
        <v>0.59142325759593128</v>
      </c>
      <c r="BE65">
        <f t="shared" si="97"/>
        <v>16.054285714285715</v>
      </c>
      <c r="BF65">
        <f t="shared" si="98"/>
        <v>1.7188216940442325</v>
      </c>
      <c r="BG65">
        <f t="shared" si="99"/>
        <v>5.2858338899184405</v>
      </c>
      <c r="BH65">
        <f t="shared" si="100"/>
        <v>4.4454113924050631</v>
      </c>
      <c r="BI65">
        <f t="shared" si="101"/>
        <v>3.1234539764420752</v>
      </c>
      <c r="BJ65">
        <f t="shared" si="102"/>
        <v>8.5017082093910652</v>
      </c>
      <c r="BK65">
        <f t="shared" si="103"/>
        <v>0.59147368421052626</v>
      </c>
      <c r="BL65">
        <f t="shared" si="104"/>
        <v>4.3057471264367813</v>
      </c>
      <c r="BM65">
        <f t="shared" si="105"/>
        <v>1.9223400615805679</v>
      </c>
      <c r="BN65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127.28735922419803</v>
      </c>
      <c r="BO65" s="1">
        <f>+TablaGeneral[[#This Row],[Combustible]]/100</f>
        <v>1.2728735922419803</v>
      </c>
      <c r="BP65" s="1">
        <f>+TablaGeneral[[#This Row],[Combustible]]/150</f>
        <v>0.84858239482798681</v>
      </c>
      <c r="BQ65" s="1">
        <f>+TablaGeneral[[#This Row],[Combustible]]/200</f>
        <v>0.63643679612099013</v>
      </c>
      <c r="BR65">
        <f t="shared" si="107"/>
        <v>0.87496107131734657</v>
      </c>
      <c r="BS65">
        <f t="shared" si="108"/>
        <v>1.7497859089139742</v>
      </c>
      <c r="BT65">
        <f t="shared" si="109"/>
        <v>1.7497859089139742</v>
      </c>
      <c r="BV65">
        <f t="shared" si="110"/>
        <v>1.3123393295181525</v>
      </c>
      <c r="CI65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7.9168247750737022</v>
      </c>
      <c r="CJ65" s="59">
        <f>+TablaGeneral[[#This Row],[Tracto elevador]]+TablaGeneral[[#This Row],[Tractor con uñas]]+TablaGeneral[[#This Row],[Tractor con acoplado]]</f>
        <v>4.8119111473461009</v>
      </c>
      <c r="CK65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0</v>
      </c>
      <c r="CL65" s="60">
        <f>+SUM(BR65:BV65)+TablaGeneral[[#This Row],[Cosecha DOV]]+TablaGeneral[[#This Row],[Corte DOV]]</f>
        <v>12.581183114388702</v>
      </c>
      <c r="CM65" s="60">
        <f>+SUM(TablaGeneral[[#This Row],[Colocación de malla]:[Descarga y carga de bines con Autoelevador]])</f>
        <v>0</v>
      </c>
      <c r="CN65" s="65">
        <f>+H65/1116</f>
        <v>5.03494623655914</v>
      </c>
      <c r="CO65" s="65">
        <f t="shared" si="111"/>
        <v>1.8593646591661153</v>
      </c>
      <c r="CP65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65" t="str">
        <f>+TablaGeneral[[#This Row],[Variedad]]&amp;" "&amp;TablaGeneral[[#This Row],[Año de plantación]]</f>
        <v>Fiesta 2020</v>
      </c>
      <c r="CR65" t="str">
        <f>+IF(TablaGeneral[[#This Row],[Finca]]="El Espejo I","El Espejo I y II",IF(TablaGeneral[[#This Row],[Finca]]="El Espejo II","El Espejo I y II",TablaGeneral[[#This Row],[Finca]]))</f>
        <v>El Espejo I y II</v>
      </c>
    </row>
    <row r="66" spans="1:96">
      <c r="A66" t="s">
        <v>14</v>
      </c>
      <c r="B66">
        <v>16</v>
      </c>
      <c r="C66">
        <v>4.9000000000000004</v>
      </c>
      <c r="D66" t="s">
        <v>10</v>
      </c>
      <c r="E66" s="3">
        <v>25000</v>
      </c>
      <c r="F66" s="2">
        <f>+TablaGeneral[[#This Row],[Has]]*TablaGeneral[[#This Row],[Kg x Has]]</f>
        <v>122500.00000000001</v>
      </c>
      <c r="G66" s="2">
        <f>+TablaGeneral[[#This Row],[Kg 2026]]/4</f>
        <v>30625.000000000004</v>
      </c>
      <c r="H66">
        <v>8160</v>
      </c>
      <c r="I66">
        <v>2020</v>
      </c>
      <c r="J66" t="s">
        <v>168</v>
      </c>
      <c r="K66">
        <f>10000/IF(LEN(TablaGeneral[[#This Row],[Marco de plantación]])&gt;3,(MID(TablaGeneral[[#This Row],[Marco de plantación]],1,3)*MID(TablaGeneral[[#This Row],[Marco de plantación]],5,3)),(3*2))</f>
        <v>1666.6666666666667</v>
      </c>
      <c r="M66">
        <f>+TablaGeneral[[#This Row],[Plantas x Has]]*TablaGeneral[[#This Row],[N° de Guías x planta]]</f>
        <v>0</v>
      </c>
      <c r="O66">
        <f>+TablaGeneral[[#This Row],[N° de Guías x planta]]*TablaGeneral[[#This Row],[N° de Yemas x Guias]]</f>
        <v>0</v>
      </c>
      <c r="Q66">
        <f>+TablaGeneral[[#This Row],[N° de Yemas x Planta]]*TablaGeneral[[#This Row],[% de Brotación]]</f>
        <v>0</v>
      </c>
      <c r="T66">
        <f>+TablaGeneral[[#This Row],[N° de Brotes x Planta]]*TablaGeneral[[#This Row],[% de Fertilidad]]*TablaGeneral[[#This Row],[Cantidad de Racimos x Brote]]</f>
        <v>0</v>
      </c>
      <c r="V66">
        <f>+TablaGeneral[[#This Row],[Cantidad de Racimos x Planta]]*TablaGeneral[[#This Row],[Peso del Racimo]]</f>
        <v>0</v>
      </c>
      <c r="W66">
        <f>+TablaGeneral[[#This Row],[Plantas]]*TablaGeneral[[#This Row],[Kg x Planta]]</f>
        <v>0</v>
      </c>
      <c r="X66">
        <f>+TablaGeneral[[#This Row],[Kg x Cuartel]]/TablaGeneral[[#This Row],[Has]]</f>
        <v>0</v>
      </c>
      <c r="Y66" t="s">
        <v>162</v>
      </c>
      <c r="Z66">
        <v>120</v>
      </c>
      <c r="AA66">
        <f>+TablaGeneral[[#This Row],[Rendimiento Poda]]</f>
        <v>120</v>
      </c>
      <c r="AB66">
        <v>130</v>
      </c>
      <c r="AC66">
        <v>350</v>
      </c>
      <c r="AD66">
        <v>1000</v>
      </c>
      <c r="AE66">
        <v>500</v>
      </c>
      <c r="AF66">
        <v>100</v>
      </c>
      <c r="AG66">
        <f>+IFERROR(TablaGeneral[[#This Row],[Plantas]]/TablaGeneral[[#This Row],[Rendimiento Poda]],0)</f>
        <v>68</v>
      </c>
      <c r="AH66">
        <f>+TablaGeneral[[#This Row],[Plantas]]/TablaGeneral[[#This Row],[Rendimiento Atada]]</f>
        <v>68</v>
      </c>
      <c r="AI66">
        <f>+IFERROR(TablaGeneral[[#This Row],[Plantas]]/TablaGeneral[[#This Row],[Rendimiento Desbrote de troncos]],0)</f>
        <v>62.769230769230766</v>
      </c>
      <c r="AJ66" s="2">
        <f>+IFERROR(TablaGeneral[[#This Row],[Plantas]]/TablaGeneral[[#This Row],[Rendimiento Acomodo de brotes ]],0)</f>
        <v>23.314285714285713</v>
      </c>
      <c r="AK66">
        <f>+IFERROR(TablaGeneral[[#This Row],[Plantas]]/TablaGeneral[[#This Row],[Rendimiento Desniete, deshoje ]],0)</f>
        <v>8.16</v>
      </c>
      <c r="AL66">
        <f>+IFERROR(TablaGeneral[[#This Row],[Plantas]]/TablaGeneral[[#This Row],[Rendimiento Desbrote con criterio de Poda]],0)</f>
        <v>16.32</v>
      </c>
      <c r="AM66">
        <f>+IFERROR(TablaGeneral[[#This Row],[Plantas]]/TablaGeneral[[#This Row],[Rendimiento Raleo de Racimos]],0)</f>
        <v>81.599999999999994</v>
      </c>
      <c r="AN66">
        <f t="shared" si="106"/>
        <v>9.7428531515622599E-2</v>
      </c>
      <c r="AR66">
        <f t="shared" si="86"/>
        <v>1.0788798688420551</v>
      </c>
      <c r="AS66">
        <f t="shared" si="87"/>
        <v>3.8649326038381036</v>
      </c>
      <c r="AT66">
        <f t="shared" si="88"/>
        <v>41.421319796954315</v>
      </c>
      <c r="AU66">
        <f t="shared" si="89"/>
        <v>8.879216539717083</v>
      </c>
      <c r="AV66">
        <f t="shared" si="90"/>
        <v>6.3610851262862491</v>
      </c>
      <c r="AW66">
        <f t="shared" si="91"/>
        <v>0.50995638534269805</v>
      </c>
      <c r="AX66">
        <f t="shared" si="92"/>
        <v>11.004423346639335</v>
      </c>
      <c r="AY66">
        <f t="shared" si="93"/>
        <v>18.97056772213698</v>
      </c>
      <c r="BA66">
        <f t="shared" si="94"/>
        <v>7.6225059663740904</v>
      </c>
      <c r="BC66">
        <f t="shared" si="95"/>
        <v>2.683980975311322</v>
      </c>
      <c r="BD66">
        <f t="shared" si="96"/>
        <v>0.85887413809980417</v>
      </c>
      <c r="BE66">
        <f t="shared" si="97"/>
        <v>23.314285714285713</v>
      </c>
      <c r="BF66">
        <f t="shared" si="98"/>
        <v>2.4960998439937598</v>
      </c>
      <c r="BG66">
        <f t="shared" si="99"/>
        <v>7.6761709453166889</v>
      </c>
      <c r="BH66">
        <f t="shared" si="100"/>
        <v>6.4556962025316453</v>
      </c>
      <c r="BI66">
        <f t="shared" si="101"/>
        <v>4.5359288926441241</v>
      </c>
      <c r="BJ66">
        <f t="shared" si="102"/>
        <v>12.346314110808168</v>
      </c>
      <c r="BK66">
        <f t="shared" si="103"/>
        <v>0.85894736842105268</v>
      </c>
      <c r="BL66">
        <f t="shared" si="104"/>
        <v>6.2528735632183912</v>
      </c>
      <c r="BM66">
        <f t="shared" si="105"/>
        <v>2.7916524119055763</v>
      </c>
      <c r="BN66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184.8487010623698</v>
      </c>
      <c r="BO66" s="1">
        <f>+TablaGeneral[[#This Row],[Combustible]]/100</f>
        <v>1.8484870106236979</v>
      </c>
      <c r="BP66" s="1">
        <f>+TablaGeneral[[#This Row],[Combustible]]/150</f>
        <v>1.232324673749132</v>
      </c>
      <c r="BQ66" s="1">
        <f>+TablaGeneral[[#This Row],[Combustible]]/200</f>
        <v>0.92424350531184896</v>
      </c>
      <c r="BR66">
        <f t="shared" si="107"/>
        <v>1.2706322018062908</v>
      </c>
      <c r="BS66">
        <f t="shared" si="108"/>
        <v>2.5410665628649278</v>
      </c>
      <c r="BT66">
        <f t="shared" si="109"/>
        <v>2.5410665628649278</v>
      </c>
      <c r="BV66">
        <f t="shared" si="110"/>
        <v>1.9057997737796983</v>
      </c>
      <c r="CI66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11.496937206727427</v>
      </c>
      <c r="CJ66" s="59">
        <f>+TablaGeneral[[#This Row],[Tracto elevador]]+TablaGeneral[[#This Row],[Tractor con uñas]]+TablaGeneral[[#This Row],[Tractor con acoplado]]</f>
        <v>6.9879328995095538</v>
      </c>
      <c r="CK66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0</v>
      </c>
      <c r="CL66" s="60">
        <f>+SUM(BR66:BV66)+TablaGeneral[[#This Row],[Cosecha DOV]]+TablaGeneral[[#This Row],[Corte DOV]]</f>
        <v>18.270591602315683</v>
      </c>
      <c r="CM66" s="60">
        <f>+SUM(TablaGeneral[[#This Row],[Colocación de malla]:[Descarga y carga de bines con Autoelevador]])</f>
        <v>0</v>
      </c>
      <c r="CN66" s="65">
        <f>+H66/1116</f>
        <v>7.311827956989247</v>
      </c>
      <c r="CO66" s="65">
        <f t="shared" si="111"/>
        <v>2.7001985440105889</v>
      </c>
      <c r="CP66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66" t="str">
        <f>+TablaGeneral[[#This Row],[Variedad]]&amp;" "&amp;TablaGeneral[[#This Row],[Año de plantación]]</f>
        <v>Fiesta 2020</v>
      </c>
      <c r="CR66" t="str">
        <f>+IF(TablaGeneral[[#This Row],[Finca]]="El Espejo I","El Espejo I y II",IF(TablaGeneral[[#This Row],[Finca]]="El Espejo II","El Espejo I y II",TablaGeneral[[#This Row],[Finca]]))</f>
        <v>El Espejo I y II</v>
      </c>
    </row>
    <row r="67" spans="1:96">
      <c r="A67" t="s">
        <v>14</v>
      </c>
      <c r="B67">
        <v>17</v>
      </c>
      <c r="C67">
        <v>3.43</v>
      </c>
      <c r="D67" t="s">
        <v>10</v>
      </c>
      <c r="E67" s="3">
        <v>25000</v>
      </c>
      <c r="F67" s="2">
        <f>+TablaGeneral[[#This Row],[Has]]*TablaGeneral[[#This Row],[Kg x Has]]</f>
        <v>85750</v>
      </c>
      <c r="G67" s="2">
        <f>+TablaGeneral[[#This Row],[Kg 2026]]/4</f>
        <v>21437.5</v>
      </c>
      <c r="H67">
        <v>7544</v>
      </c>
      <c r="I67">
        <v>2020</v>
      </c>
      <c r="J67" t="s">
        <v>161</v>
      </c>
      <c r="K67">
        <f>10000/IF(LEN(TablaGeneral[[#This Row],[Marco de plantación]])&gt;3,(MID(TablaGeneral[[#This Row],[Marco de plantación]],1,3)*MID(TablaGeneral[[#This Row],[Marco de plantación]],5,3)),(3*2))</f>
        <v>2222.2222222222222</v>
      </c>
      <c r="M67">
        <f>+TablaGeneral[[#This Row],[Plantas x Has]]*TablaGeneral[[#This Row],[N° de Guías x planta]]</f>
        <v>0</v>
      </c>
      <c r="O67">
        <f>+TablaGeneral[[#This Row],[N° de Guías x planta]]*TablaGeneral[[#This Row],[N° de Yemas x Guias]]</f>
        <v>0</v>
      </c>
      <c r="Q67">
        <f>+TablaGeneral[[#This Row],[N° de Yemas x Planta]]*TablaGeneral[[#This Row],[% de Brotación]]</f>
        <v>0</v>
      </c>
      <c r="T67">
        <f>+TablaGeneral[[#This Row],[N° de Brotes x Planta]]*TablaGeneral[[#This Row],[% de Fertilidad]]*TablaGeneral[[#This Row],[Cantidad de Racimos x Brote]]</f>
        <v>0</v>
      </c>
      <c r="V67">
        <f>+TablaGeneral[[#This Row],[Cantidad de Racimos x Planta]]*TablaGeneral[[#This Row],[Peso del Racimo]]</f>
        <v>0</v>
      </c>
      <c r="W67">
        <f>+TablaGeneral[[#This Row],[Plantas]]*TablaGeneral[[#This Row],[Kg x Planta]]</f>
        <v>0</v>
      </c>
      <c r="X67">
        <f>+TablaGeneral[[#This Row],[Kg x Cuartel]]/TablaGeneral[[#This Row],[Has]]</f>
        <v>0</v>
      </c>
      <c r="Y67" t="s">
        <v>162</v>
      </c>
      <c r="Z67">
        <v>120</v>
      </c>
      <c r="AA67">
        <f>+TablaGeneral[[#This Row],[Rendimiento Poda]]</f>
        <v>120</v>
      </c>
      <c r="AB67">
        <v>130</v>
      </c>
      <c r="AC67">
        <v>500</v>
      </c>
      <c r="AD67">
        <v>1000</v>
      </c>
      <c r="AE67">
        <v>500</v>
      </c>
      <c r="AF67">
        <v>100</v>
      </c>
      <c r="AG67">
        <f>+IFERROR(TablaGeneral[[#This Row],[Plantas]]/TablaGeneral[[#This Row],[Rendimiento Poda]],0)</f>
        <v>62.866666666666667</v>
      </c>
      <c r="AH67">
        <f>+TablaGeneral[[#This Row],[Plantas]]/TablaGeneral[[#This Row],[Rendimiento Atada]]</f>
        <v>62.866666666666667</v>
      </c>
      <c r="AI67">
        <f>+IFERROR(TablaGeneral[[#This Row],[Plantas]]/TablaGeneral[[#This Row],[Rendimiento Desbrote de troncos]],0)</f>
        <v>58.030769230769231</v>
      </c>
      <c r="AJ67" s="2">
        <f>+IFERROR(TablaGeneral[[#This Row],[Plantas]]/TablaGeneral[[#This Row],[Rendimiento Acomodo de brotes ]],0)</f>
        <v>15.087999999999999</v>
      </c>
      <c r="AK67">
        <f>+IFERROR(TablaGeneral[[#This Row],[Plantas]]/TablaGeneral[[#This Row],[Rendimiento Desniete, deshoje ]],0)</f>
        <v>7.5439999999999996</v>
      </c>
      <c r="AL67">
        <f>+IFERROR(TablaGeneral[[#This Row],[Plantas]]/TablaGeneral[[#This Row],[Rendimiento Desbrote con criterio de Poda]],0)</f>
        <v>15.087999999999999</v>
      </c>
      <c r="AM67">
        <f>+IFERROR(TablaGeneral[[#This Row],[Plantas]]/TablaGeneral[[#This Row],[Rendimiento Raleo de Racimos]],0)</f>
        <v>75.44</v>
      </c>
      <c r="AN67">
        <f t="shared" si="106"/>
        <v>9.0073632567874623E-2</v>
      </c>
      <c r="AR67">
        <f t="shared" si="86"/>
        <v>0.99743501599809614</v>
      </c>
      <c r="AS67">
        <f t="shared" si="87"/>
        <v>3.5731680837444428</v>
      </c>
      <c r="AT67">
        <f t="shared" si="88"/>
        <v>38.294416243654823</v>
      </c>
      <c r="AU67">
        <f t="shared" si="89"/>
        <v>8.2089227421109907</v>
      </c>
      <c r="AV67">
        <f t="shared" si="90"/>
        <v>5.880885562831307</v>
      </c>
      <c r="AW67">
        <f t="shared" si="91"/>
        <v>0.47145967782172971</v>
      </c>
      <c r="AX67">
        <f t="shared" si="92"/>
        <v>10.173697270471465</v>
      </c>
      <c r="AY67">
        <f t="shared" si="93"/>
        <v>17.538475845073698</v>
      </c>
      <c r="BA67">
        <f t="shared" si="94"/>
        <v>7.0470814963634973</v>
      </c>
      <c r="BC67">
        <f t="shared" si="95"/>
        <v>2.4813667252142908</v>
      </c>
      <c r="BD67">
        <f t="shared" si="96"/>
        <v>0.79403756100795619</v>
      </c>
      <c r="BE67">
        <f t="shared" si="97"/>
        <v>21.554285714285715</v>
      </c>
      <c r="BF67">
        <f t="shared" si="98"/>
        <v>2.307668777339329</v>
      </c>
      <c r="BG67">
        <f t="shared" si="99"/>
        <v>7.0966952955231744</v>
      </c>
      <c r="BH67">
        <f t="shared" si="100"/>
        <v>5.9683544303797467</v>
      </c>
      <c r="BI67">
        <f t="shared" si="101"/>
        <v>4.1935107311405968</v>
      </c>
      <c r="BJ67">
        <f t="shared" si="102"/>
        <v>11.414288437737355</v>
      </c>
      <c r="BK67">
        <f t="shared" si="103"/>
        <v>0.79410526315789476</v>
      </c>
      <c r="BL67">
        <f t="shared" si="104"/>
        <v>5.7808429118773947</v>
      </c>
      <c r="BM67">
        <f t="shared" si="105"/>
        <v>2.5809100239479985</v>
      </c>
      <c r="BN67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170.89443637432819</v>
      </c>
      <c r="BO67" s="1">
        <f>+TablaGeneral[[#This Row],[Combustible]]/100</f>
        <v>1.708944363743282</v>
      </c>
      <c r="BP67" s="1">
        <f>+TablaGeneral[[#This Row],[Combustible]]/150</f>
        <v>1.1392962424955213</v>
      </c>
      <c r="BQ67" s="1">
        <f>+TablaGeneral[[#This Row],[Combustible]]/200</f>
        <v>0.85447218187164098</v>
      </c>
      <c r="BR67">
        <f t="shared" si="107"/>
        <v>1.1747119277483651</v>
      </c>
      <c r="BS67">
        <f t="shared" si="108"/>
        <v>2.349240949785909</v>
      </c>
      <c r="BT67">
        <f t="shared" si="109"/>
        <v>2.349240949785909</v>
      </c>
      <c r="BV67">
        <f t="shared" si="110"/>
        <v>1.7619305751708387</v>
      </c>
      <c r="CI67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10.629031162690161</v>
      </c>
      <c r="CJ67" s="59">
        <f>+TablaGeneral[[#This Row],[Tracto elevador]]+TablaGeneral[[#This Row],[Tractor con uñas]]+TablaGeneral[[#This Row],[Tractor con acoplado]]</f>
        <v>6.4604124747426566</v>
      </c>
      <c r="CK67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0</v>
      </c>
      <c r="CL67" s="60">
        <f>+SUM(BR67:BV67)+TablaGeneral[[#This Row],[Cosecha DOV]]+TablaGeneral[[#This Row],[Corte DOV]]</f>
        <v>16.891341059787926</v>
      </c>
      <c r="CM67" s="60">
        <f>+SUM(TablaGeneral[[#This Row],[Colocación de malla]:[Descarga y carga de bines con Autoelevador]])</f>
        <v>0</v>
      </c>
      <c r="CN67" s="65">
        <f t="shared" ref="CN67:CN83" si="112">+H67/1116</f>
        <v>6.7598566308243724</v>
      </c>
      <c r="CO67" s="65">
        <f t="shared" si="111"/>
        <v>2.496360026472535</v>
      </c>
      <c r="CP67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67" t="str">
        <f>+TablaGeneral[[#This Row],[Variedad]]&amp;" "&amp;TablaGeneral[[#This Row],[Año de plantación]]</f>
        <v>Fiesta 2020</v>
      </c>
      <c r="CR67" t="str">
        <f>+IF(TablaGeneral[[#This Row],[Finca]]="El Espejo I","El Espejo I y II",IF(TablaGeneral[[#This Row],[Finca]]="El Espejo II","El Espejo I y II",TablaGeneral[[#This Row],[Finca]]))</f>
        <v>El Espejo I y II</v>
      </c>
    </row>
    <row r="68" spans="1:96">
      <c r="A68" t="s">
        <v>14</v>
      </c>
      <c r="B68">
        <v>18</v>
      </c>
      <c r="C68">
        <v>2.12</v>
      </c>
      <c r="D68" t="s">
        <v>10</v>
      </c>
      <c r="E68" s="3">
        <v>25000</v>
      </c>
      <c r="F68" s="2">
        <f>+TablaGeneral[[#This Row],[Has]]*TablaGeneral[[#This Row],[Kg x Has]]</f>
        <v>53000</v>
      </c>
      <c r="G68" s="2">
        <f>+TablaGeneral[[#This Row],[Kg 2026]]/4</f>
        <v>13250</v>
      </c>
      <c r="H68">
        <v>3460</v>
      </c>
      <c r="I68">
        <v>2020</v>
      </c>
      <c r="J68" t="s">
        <v>168</v>
      </c>
      <c r="K68">
        <f>10000/IF(LEN(TablaGeneral[[#This Row],[Marco de plantación]])&gt;3,(MID(TablaGeneral[[#This Row],[Marco de plantación]],1,3)*MID(TablaGeneral[[#This Row],[Marco de plantación]],5,3)),(3*2))</f>
        <v>1666.6666666666667</v>
      </c>
      <c r="M68">
        <f>+TablaGeneral[[#This Row],[Plantas x Has]]*TablaGeneral[[#This Row],[N° de Guías x planta]]</f>
        <v>0</v>
      </c>
      <c r="O68">
        <f>+TablaGeneral[[#This Row],[N° de Guías x planta]]*TablaGeneral[[#This Row],[N° de Yemas x Guias]]</f>
        <v>0</v>
      </c>
      <c r="Q68">
        <f>+TablaGeneral[[#This Row],[N° de Yemas x Planta]]*TablaGeneral[[#This Row],[% de Brotación]]</f>
        <v>0</v>
      </c>
      <c r="T68">
        <f>+TablaGeneral[[#This Row],[N° de Brotes x Planta]]*TablaGeneral[[#This Row],[% de Fertilidad]]*TablaGeneral[[#This Row],[Cantidad de Racimos x Brote]]</f>
        <v>0</v>
      </c>
      <c r="V68">
        <f>+TablaGeneral[[#This Row],[Cantidad de Racimos x Planta]]*TablaGeneral[[#This Row],[Peso del Racimo]]</f>
        <v>0</v>
      </c>
      <c r="W68">
        <f>+TablaGeneral[[#This Row],[Plantas]]*TablaGeneral[[#This Row],[Kg x Planta]]</f>
        <v>0</v>
      </c>
      <c r="X68">
        <f>+TablaGeneral[[#This Row],[Kg x Cuartel]]/TablaGeneral[[#This Row],[Has]]</f>
        <v>0</v>
      </c>
      <c r="Y68" t="s">
        <v>162</v>
      </c>
      <c r="Z68">
        <v>120</v>
      </c>
      <c r="AA68">
        <f>+TablaGeneral[[#This Row],[Rendimiento Poda]]</f>
        <v>120</v>
      </c>
      <c r="AB68">
        <v>130</v>
      </c>
      <c r="AC68">
        <v>250</v>
      </c>
      <c r="AD68">
        <v>1000</v>
      </c>
      <c r="AE68">
        <v>500</v>
      </c>
      <c r="AF68">
        <v>100</v>
      </c>
      <c r="AG68">
        <f>+IFERROR(TablaGeneral[[#This Row],[Plantas]]/TablaGeneral[[#This Row],[Rendimiento Poda]],0)</f>
        <v>28.833333333333332</v>
      </c>
      <c r="AH68">
        <f>+TablaGeneral[[#This Row],[Plantas]]/TablaGeneral[[#This Row],[Rendimiento Atada]]</f>
        <v>28.833333333333332</v>
      </c>
      <c r="AI68">
        <f>+IFERROR(TablaGeneral[[#This Row],[Plantas]]/TablaGeneral[[#This Row],[Rendimiento Desbrote de troncos]],0)</f>
        <v>26.615384615384617</v>
      </c>
      <c r="AJ68" s="2">
        <f>+IFERROR(TablaGeneral[[#This Row],[Plantas]]/TablaGeneral[[#This Row],[Rendimiento Acomodo de brotes ]],0)</f>
        <v>13.84</v>
      </c>
      <c r="AK68">
        <f>+IFERROR(TablaGeneral[[#This Row],[Plantas]]/TablaGeneral[[#This Row],[Rendimiento Desniete, deshoje ]],0)</f>
        <v>3.46</v>
      </c>
      <c r="AL68">
        <f>+IFERROR(TablaGeneral[[#This Row],[Plantas]]/TablaGeneral[[#This Row],[Rendimiento Desbrote con criterio de Poda]],0)</f>
        <v>6.92</v>
      </c>
      <c r="AM68">
        <f>+IFERROR(TablaGeneral[[#This Row],[Plantas]]/TablaGeneral[[#This Row],[Rendimiento Raleo de Racimos]],0)</f>
        <v>34.6</v>
      </c>
      <c r="AN68">
        <f t="shared" si="106"/>
        <v>4.1311607725987035E-2</v>
      </c>
      <c r="AR68">
        <f t="shared" si="86"/>
        <v>0.4574662188962636</v>
      </c>
      <c r="AS68">
        <f t="shared" si="87"/>
        <v>1.638807207019588</v>
      </c>
      <c r="AT68">
        <f t="shared" si="88"/>
        <v>17.563451776649746</v>
      </c>
      <c r="AU68">
        <f t="shared" si="89"/>
        <v>3.7649619151251361</v>
      </c>
      <c r="AV68">
        <f t="shared" si="90"/>
        <v>2.6972248207047085</v>
      </c>
      <c r="AW68">
        <f t="shared" si="91"/>
        <v>0.21623150653011461</v>
      </c>
      <c r="AX68">
        <f t="shared" si="92"/>
        <v>4.666091271981875</v>
      </c>
      <c r="AY68">
        <f t="shared" si="93"/>
        <v>8.0438926861021987</v>
      </c>
      <c r="BA68">
        <f t="shared" si="94"/>
        <v>3.2320919906439158</v>
      </c>
      <c r="BC68">
        <f t="shared" si="95"/>
        <v>1.1380605606099476</v>
      </c>
      <c r="BD68">
        <f t="shared" si="96"/>
        <v>0.36417947522369148</v>
      </c>
      <c r="BE68">
        <f t="shared" si="97"/>
        <v>9.8857142857142861</v>
      </c>
      <c r="BF68">
        <f t="shared" si="98"/>
        <v>1.0583952769875502</v>
      </c>
      <c r="BG68">
        <f t="shared" si="99"/>
        <v>3.2548469939700668</v>
      </c>
      <c r="BH68">
        <f t="shared" si="100"/>
        <v>2.7373417721518987</v>
      </c>
      <c r="BI68">
        <f t="shared" si="101"/>
        <v>1.9233227902633172</v>
      </c>
      <c r="BJ68">
        <f t="shared" si="102"/>
        <v>5.2350792675730711</v>
      </c>
      <c r="BK68">
        <f t="shared" si="103"/>
        <v>0.36421052631578948</v>
      </c>
      <c r="BL68">
        <f t="shared" si="104"/>
        <v>2.6513409961685825</v>
      </c>
      <c r="BM68">
        <f t="shared" si="105"/>
        <v>1.1837153609305509</v>
      </c>
      <c r="BN68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78.379473734779367</v>
      </c>
      <c r="BO68" s="1">
        <f>+TablaGeneral[[#This Row],[Combustible]]/100</f>
        <v>0.7837947373477937</v>
      </c>
      <c r="BP68" s="1">
        <f>+TablaGeneral[[#This Row],[Combustible]]/150</f>
        <v>0.52252982489852906</v>
      </c>
      <c r="BQ68" s="1">
        <f>+TablaGeneral[[#This Row],[Combustible]]/200</f>
        <v>0.39189736867389685</v>
      </c>
      <c r="BR68">
        <f t="shared" si="107"/>
        <v>0.53877296792276552</v>
      </c>
      <c r="BS68">
        <f t="shared" si="108"/>
        <v>1.0774620474892955</v>
      </c>
      <c r="BT68">
        <f t="shared" si="109"/>
        <v>1.0774620474892955</v>
      </c>
      <c r="BV68">
        <f t="shared" si="110"/>
        <v>0.80809647270560736</v>
      </c>
      <c r="CI68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4.8749268057937378</v>
      </c>
      <c r="CJ68" s="59">
        <f>+TablaGeneral[[#This Row],[Tracto elevador]]+TablaGeneral[[#This Row],[Tractor con uñas]]+TablaGeneral[[#This Row],[Tractor con acoplado]]</f>
        <v>2.9630205676841985</v>
      </c>
      <c r="CK68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0</v>
      </c>
      <c r="CL68" s="60">
        <f>+SUM(BR68:BV68)+TablaGeneral[[#This Row],[Cosecha DOV]]+TablaGeneral[[#This Row],[Corte DOV]]</f>
        <v>7.747089086276012</v>
      </c>
      <c r="CM68" s="60">
        <f>+SUM(TablaGeneral[[#This Row],[Colocación de malla]:[Descarga y carga de bines con Autoelevador]])</f>
        <v>0</v>
      </c>
      <c r="CN68" s="65">
        <f t="shared" si="112"/>
        <v>3.1003584229390682</v>
      </c>
      <c r="CO68" s="65">
        <f t="shared" si="111"/>
        <v>1.1449371277299802</v>
      </c>
      <c r="CP68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68" t="str">
        <f>+TablaGeneral[[#This Row],[Variedad]]&amp;" "&amp;TablaGeneral[[#This Row],[Año de plantación]]</f>
        <v>Fiesta 2020</v>
      </c>
      <c r="CR68" t="str">
        <f>+IF(TablaGeneral[[#This Row],[Finca]]="El Espejo I","El Espejo I y II",IF(TablaGeneral[[#This Row],[Finca]]="El Espejo II","El Espejo I y II",TablaGeneral[[#This Row],[Finca]]))</f>
        <v>El Espejo I y II</v>
      </c>
    </row>
    <row r="69" spans="1:96">
      <c r="A69" t="s">
        <v>14</v>
      </c>
      <c r="B69">
        <v>19</v>
      </c>
      <c r="C69">
        <v>3.59</v>
      </c>
      <c r="D69" t="s">
        <v>10</v>
      </c>
      <c r="E69" s="3">
        <v>25000</v>
      </c>
      <c r="F69" s="2">
        <f>+TablaGeneral[[#This Row],[Has]]*TablaGeneral[[#This Row],[Kg x Has]]</f>
        <v>89750</v>
      </c>
      <c r="G69" s="2">
        <f>+TablaGeneral[[#This Row],[Kg 2026]]/4</f>
        <v>22437.5</v>
      </c>
      <c r="H69">
        <v>5867</v>
      </c>
      <c r="I69">
        <v>2020</v>
      </c>
      <c r="J69" t="s">
        <v>168</v>
      </c>
      <c r="K69">
        <f>10000/IF(LEN(TablaGeneral[[#This Row],[Marco de plantación]])&gt;3,(MID(TablaGeneral[[#This Row],[Marco de plantación]],1,3)*MID(TablaGeneral[[#This Row],[Marco de plantación]],5,3)),(3*2))</f>
        <v>1666.6666666666667</v>
      </c>
      <c r="M69">
        <f>+TablaGeneral[[#This Row],[Plantas x Has]]*TablaGeneral[[#This Row],[N° de Guías x planta]]</f>
        <v>0</v>
      </c>
      <c r="O69">
        <f>+TablaGeneral[[#This Row],[N° de Guías x planta]]*TablaGeneral[[#This Row],[N° de Yemas x Guias]]</f>
        <v>0</v>
      </c>
      <c r="Q69">
        <f>+TablaGeneral[[#This Row],[N° de Yemas x Planta]]*TablaGeneral[[#This Row],[% de Brotación]]</f>
        <v>0</v>
      </c>
      <c r="T69">
        <f>+TablaGeneral[[#This Row],[N° de Brotes x Planta]]*TablaGeneral[[#This Row],[% de Fertilidad]]*TablaGeneral[[#This Row],[Cantidad de Racimos x Brote]]</f>
        <v>0</v>
      </c>
      <c r="V69">
        <f>+TablaGeneral[[#This Row],[Cantidad de Racimos x Planta]]*TablaGeneral[[#This Row],[Peso del Racimo]]</f>
        <v>0</v>
      </c>
      <c r="W69">
        <f>+TablaGeneral[[#This Row],[Plantas]]*TablaGeneral[[#This Row],[Kg x Planta]]</f>
        <v>0</v>
      </c>
      <c r="X69">
        <f>+TablaGeneral[[#This Row],[Kg x Cuartel]]/TablaGeneral[[#This Row],[Has]]</f>
        <v>0</v>
      </c>
      <c r="Y69" t="s">
        <v>162</v>
      </c>
      <c r="Z69">
        <v>120</v>
      </c>
      <c r="AA69">
        <f>+TablaGeneral[[#This Row],[Rendimiento Poda]]</f>
        <v>120</v>
      </c>
      <c r="AB69">
        <v>130</v>
      </c>
      <c r="AC69">
        <v>350</v>
      </c>
      <c r="AD69">
        <v>1000</v>
      </c>
      <c r="AE69">
        <v>500</v>
      </c>
      <c r="AF69">
        <v>100</v>
      </c>
      <c r="AG69">
        <f>+IFERROR(TablaGeneral[[#This Row],[Plantas]]/TablaGeneral[[#This Row],[Rendimiento Poda]],0)</f>
        <v>48.891666666666666</v>
      </c>
      <c r="AH69">
        <f>+TablaGeneral[[#This Row],[Plantas]]/TablaGeneral[[#This Row],[Rendimiento Atada]]</f>
        <v>48.891666666666666</v>
      </c>
      <c r="AI69">
        <f>+IFERROR(TablaGeneral[[#This Row],[Plantas]]/TablaGeneral[[#This Row],[Rendimiento Desbrote de troncos]],0)</f>
        <v>45.130769230769232</v>
      </c>
      <c r="AJ69" s="2">
        <f>+IFERROR(TablaGeneral[[#This Row],[Plantas]]/TablaGeneral[[#This Row],[Rendimiento Acomodo de brotes ]],0)</f>
        <v>16.762857142857143</v>
      </c>
      <c r="AK69">
        <f>+IFERROR(TablaGeneral[[#This Row],[Plantas]]/TablaGeneral[[#This Row],[Rendimiento Desniete, deshoje ]],0)</f>
        <v>5.867</v>
      </c>
      <c r="AL69">
        <f>+IFERROR(TablaGeneral[[#This Row],[Plantas]]/TablaGeneral[[#This Row],[Rendimiento Desbrote con criterio de Poda]],0)</f>
        <v>11.734</v>
      </c>
      <c r="AM69">
        <f>+IFERROR(TablaGeneral[[#This Row],[Plantas]]/TablaGeneral[[#This Row],[Rendimiento Raleo de Racimos]],0)</f>
        <v>58.67</v>
      </c>
      <c r="AN69">
        <f t="shared" si="106"/>
        <v>7.0050636568891878E-2</v>
      </c>
      <c r="AR69">
        <f t="shared" si="86"/>
        <v>0.77570933707062961</v>
      </c>
      <c r="AS69">
        <f t="shared" si="87"/>
        <v>2.7788675964115384</v>
      </c>
      <c r="AT69">
        <f t="shared" si="88"/>
        <v>29.781725888324875</v>
      </c>
      <c r="AU69">
        <f t="shared" si="89"/>
        <v>6.3841131664853101</v>
      </c>
      <c r="AV69">
        <f t="shared" si="90"/>
        <v>4.5735890240099781</v>
      </c>
      <c r="AW69">
        <f t="shared" si="91"/>
        <v>0.36665614127519724</v>
      </c>
      <c r="AX69">
        <f t="shared" si="92"/>
        <v>7.9121264429819833</v>
      </c>
      <c r="AY69">
        <f t="shared" si="93"/>
        <v>13.639745199237458</v>
      </c>
      <c r="BA69">
        <f t="shared" si="94"/>
        <v>5.4805444245976451</v>
      </c>
      <c r="BC69">
        <f t="shared" si="95"/>
        <v>1.9297691644793535</v>
      </c>
      <c r="BD69">
        <f t="shared" si="96"/>
        <v>0.61752629512641555</v>
      </c>
      <c r="BE69">
        <f t="shared" si="97"/>
        <v>16.762857142857143</v>
      </c>
      <c r="BF69">
        <f t="shared" si="98"/>
        <v>1.7946835520479643</v>
      </c>
      <c r="BG69">
        <f t="shared" si="99"/>
        <v>5.5191292813937523</v>
      </c>
      <c r="BH69">
        <f t="shared" si="100"/>
        <v>4.6416139240506329</v>
      </c>
      <c r="BI69">
        <f t="shared" si="101"/>
        <v>3.2613106388655728</v>
      </c>
      <c r="BJ69">
        <f t="shared" si="102"/>
        <v>8.8769393245234713</v>
      </c>
      <c r="BK69">
        <f t="shared" si="103"/>
        <v>0.61757894736842101</v>
      </c>
      <c r="BL69">
        <f t="shared" si="104"/>
        <v>4.4957854406130267</v>
      </c>
      <c r="BM69">
        <f t="shared" si="105"/>
        <v>2.0071843995894629</v>
      </c>
      <c r="BN69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132.90530994276025</v>
      </c>
      <c r="BO69" s="1">
        <f>+TablaGeneral[[#This Row],[Combustible]]/100</f>
        <v>1.3290530994276026</v>
      </c>
      <c r="BP69" s="1">
        <f>+TablaGeneral[[#This Row],[Combustible]]/150</f>
        <v>0.88603539961840172</v>
      </c>
      <c r="BQ69" s="1">
        <f>+TablaGeneral[[#This Row],[Combustible]]/200</f>
        <v>0.66452654971380132</v>
      </c>
      <c r="BR69">
        <f t="shared" si="107"/>
        <v>0.91357832450949861</v>
      </c>
      <c r="BS69">
        <f t="shared" si="108"/>
        <v>1.8270144024912418</v>
      </c>
      <c r="BT69">
        <f t="shared" si="109"/>
        <v>1.8270144024912418</v>
      </c>
      <c r="BV69">
        <f t="shared" si="110"/>
        <v>1.3702606951918492</v>
      </c>
      <c r="CI69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8.266241494101692</v>
      </c>
      <c r="CJ69" s="59">
        <f>+TablaGeneral[[#This Row],[Tracto elevador]]+TablaGeneral[[#This Row],[Tractor con uñas]]+TablaGeneral[[#This Row],[Tractor con acoplado]]</f>
        <v>5.0242895001743326</v>
      </c>
      <c r="CK69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0</v>
      </c>
      <c r="CL69" s="60">
        <f>+SUM(BR69:BV69)+TablaGeneral[[#This Row],[Cosecha DOV]]+TablaGeneral[[#This Row],[Corte DOV]]</f>
        <v>13.136465800341433</v>
      </c>
      <c r="CM69" s="60">
        <f>+SUM(TablaGeneral[[#This Row],[Colocación de malla]:[Descarga y carga de bines con Autoelevador]])</f>
        <v>0</v>
      </c>
      <c r="CN69" s="65">
        <f t="shared" si="112"/>
        <v>5.2571684587813623</v>
      </c>
      <c r="CO69" s="65">
        <f t="shared" si="111"/>
        <v>1.941429516876241</v>
      </c>
      <c r="CP69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69" t="str">
        <f>+TablaGeneral[[#This Row],[Variedad]]&amp;" "&amp;TablaGeneral[[#This Row],[Año de plantación]]</f>
        <v>Fiesta 2020</v>
      </c>
      <c r="CR69" t="str">
        <f>+IF(TablaGeneral[[#This Row],[Finca]]="El Espejo I","El Espejo I y II",IF(TablaGeneral[[#This Row],[Finca]]="El Espejo II","El Espejo I y II",TablaGeneral[[#This Row],[Finca]]))</f>
        <v>El Espejo I y II</v>
      </c>
    </row>
    <row r="70" spans="1:96">
      <c r="A70" t="s">
        <v>14</v>
      </c>
      <c r="B70">
        <v>20</v>
      </c>
      <c r="C70">
        <v>4.68</v>
      </c>
      <c r="D70" t="s">
        <v>10</v>
      </c>
      <c r="E70" s="3">
        <v>25000</v>
      </c>
      <c r="F70" s="2">
        <f>+TablaGeneral[[#This Row],[Has]]*TablaGeneral[[#This Row],[Kg x Has]]</f>
        <v>117000</v>
      </c>
      <c r="G70" s="2">
        <f>+TablaGeneral[[#This Row],[Kg 2026]]/4</f>
        <v>29250</v>
      </c>
      <c r="H70">
        <v>7659</v>
      </c>
      <c r="I70">
        <v>2020</v>
      </c>
      <c r="J70" t="s">
        <v>168</v>
      </c>
      <c r="K70">
        <f>10000/IF(LEN(TablaGeneral[[#This Row],[Marco de plantación]])&gt;3,(MID(TablaGeneral[[#This Row],[Marco de plantación]],1,3)*MID(TablaGeneral[[#This Row],[Marco de plantación]],5,3)),(3*2))</f>
        <v>1666.6666666666667</v>
      </c>
      <c r="M70">
        <f>+TablaGeneral[[#This Row],[Plantas x Has]]*TablaGeneral[[#This Row],[N° de Guías x planta]]</f>
        <v>0</v>
      </c>
      <c r="O70">
        <f>+TablaGeneral[[#This Row],[N° de Guías x planta]]*TablaGeneral[[#This Row],[N° de Yemas x Guias]]</f>
        <v>0</v>
      </c>
      <c r="Q70">
        <f>+TablaGeneral[[#This Row],[N° de Yemas x Planta]]*TablaGeneral[[#This Row],[% de Brotación]]</f>
        <v>0</v>
      </c>
      <c r="T70">
        <f>+TablaGeneral[[#This Row],[N° de Brotes x Planta]]*TablaGeneral[[#This Row],[% de Fertilidad]]*TablaGeneral[[#This Row],[Cantidad de Racimos x Brote]]</f>
        <v>0</v>
      </c>
      <c r="V70">
        <f>+TablaGeneral[[#This Row],[Cantidad de Racimos x Planta]]*TablaGeneral[[#This Row],[Peso del Racimo]]</f>
        <v>0</v>
      </c>
      <c r="W70">
        <f>+TablaGeneral[[#This Row],[Plantas]]*TablaGeneral[[#This Row],[Kg x Planta]]</f>
        <v>0</v>
      </c>
      <c r="X70">
        <f>+TablaGeneral[[#This Row],[Kg x Cuartel]]/TablaGeneral[[#This Row],[Has]]</f>
        <v>0</v>
      </c>
      <c r="Y70" t="s">
        <v>162</v>
      </c>
      <c r="Z70">
        <v>120</v>
      </c>
      <c r="AA70">
        <f>+TablaGeneral[[#This Row],[Rendimiento Poda]]</f>
        <v>120</v>
      </c>
      <c r="AB70">
        <v>130</v>
      </c>
      <c r="AC70">
        <v>250</v>
      </c>
      <c r="AD70">
        <v>1000</v>
      </c>
      <c r="AE70">
        <v>500</v>
      </c>
      <c r="AF70">
        <v>100</v>
      </c>
      <c r="AG70">
        <f>+IFERROR(TablaGeneral[[#This Row],[Plantas]]/TablaGeneral[[#This Row],[Rendimiento Poda]],0)</f>
        <v>63.825000000000003</v>
      </c>
      <c r="AH70">
        <f>+TablaGeneral[[#This Row],[Plantas]]/TablaGeneral[[#This Row],[Rendimiento Atada]]</f>
        <v>63.825000000000003</v>
      </c>
      <c r="AI70">
        <f>+IFERROR(TablaGeneral[[#This Row],[Plantas]]/TablaGeneral[[#This Row],[Rendimiento Desbrote de troncos]],0)</f>
        <v>58.915384615384617</v>
      </c>
      <c r="AJ70" s="2">
        <f>+IFERROR(TablaGeneral[[#This Row],[Plantas]]/TablaGeneral[[#This Row],[Rendimiento Acomodo de brotes ]],0)</f>
        <v>30.635999999999999</v>
      </c>
      <c r="AK70">
        <f>+IFERROR(TablaGeneral[[#This Row],[Plantas]]/TablaGeneral[[#This Row],[Rendimiento Desniete, deshoje ]],0)</f>
        <v>7.6589999999999998</v>
      </c>
      <c r="AL70">
        <f>+IFERROR(TablaGeneral[[#This Row],[Plantas]]/TablaGeneral[[#This Row],[Rendimiento Desbrote con criterio de Poda]],0)</f>
        <v>15.318</v>
      </c>
      <c r="AM70">
        <f>+IFERROR(TablaGeneral[[#This Row],[Plantas]]/TablaGeneral[[#This Row],[Rendimiento Raleo de Racimos]],0)</f>
        <v>76.59</v>
      </c>
      <c r="AN70">
        <f t="shared" si="106"/>
        <v>9.1446706235067829E-2</v>
      </c>
      <c r="AR70">
        <f t="shared" si="86"/>
        <v>1.0126398180712379</v>
      </c>
      <c r="AS70">
        <f t="shared" si="87"/>
        <v>3.6276371094112787</v>
      </c>
      <c r="AT70">
        <f t="shared" si="88"/>
        <v>38.878172588832484</v>
      </c>
      <c r="AU70">
        <f t="shared" si="89"/>
        <v>8.3340587595212181</v>
      </c>
      <c r="AV70">
        <f t="shared" si="90"/>
        <v>5.9705332086061746</v>
      </c>
      <c r="AW70">
        <f t="shared" si="91"/>
        <v>0.47864656315437798</v>
      </c>
      <c r="AX70">
        <f t="shared" si="92"/>
        <v>10.3287841191067</v>
      </c>
      <c r="AY70">
        <f t="shared" si="93"/>
        <v>17.805830659785187</v>
      </c>
      <c r="BA70">
        <f t="shared" si="94"/>
        <v>7.1545065191739159</v>
      </c>
      <c r="BC70">
        <f t="shared" si="95"/>
        <v>2.5191924374888988</v>
      </c>
      <c r="BD70">
        <f t="shared" si="96"/>
        <v>0.80614179212088233</v>
      </c>
      <c r="BE70">
        <f t="shared" si="97"/>
        <v>21.882857142857144</v>
      </c>
      <c r="BF70">
        <f t="shared" si="98"/>
        <v>2.3428466550426723</v>
      </c>
      <c r="BG70">
        <f t="shared" si="99"/>
        <v>7.2048766262476134</v>
      </c>
      <c r="BH70">
        <f t="shared" si="100"/>
        <v>6.0593354430379751</v>
      </c>
      <c r="BI70">
        <f t="shared" si="101"/>
        <v>4.2574361996031058</v>
      </c>
      <c r="BJ70">
        <f t="shared" si="102"/>
        <v>11.588286737093108</v>
      </c>
      <c r="BK70">
        <f t="shared" si="103"/>
        <v>0.80621052631578949</v>
      </c>
      <c r="BL70">
        <f t="shared" si="104"/>
        <v>5.8689655172413797</v>
      </c>
      <c r="BM70">
        <f t="shared" si="105"/>
        <v>2.6202531645569622</v>
      </c>
      <c r="BN70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173.49953448979048</v>
      </c>
      <c r="BO70" s="1">
        <f>+TablaGeneral[[#This Row],[Combustible]]/100</f>
        <v>1.7349953448979047</v>
      </c>
      <c r="BP70" s="1">
        <f>+TablaGeneral[[#This Row],[Combustible]]/150</f>
        <v>1.1566635632652698</v>
      </c>
      <c r="BQ70" s="1">
        <f>+TablaGeneral[[#This Row],[Combustible]]/200</f>
        <v>0.86749767244895237</v>
      </c>
      <c r="BR70">
        <f t="shared" si="107"/>
        <v>1.1926191217689193</v>
      </c>
      <c r="BS70">
        <f t="shared" si="108"/>
        <v>2.3850525496302062</v>
      </c>
      <c r="BT70">
        <f t="shared" si="109"/>
        <v>2.3850525496302062</v>
      </c>
      <c r="BV70">
        <f t="shared" si="110"/>
        <v>1.788789272963077</v>
      </c>
      <c r="CI70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10.791059076755559</v>
      </c>
      <c r="CJ70" s="59">
        <f>+TablaGeneral[[#This Row],[Tracto elevador]]+TablaGeneral[[#This Row],[Tractor con uñas]]+TablaGeneral[[#This Row],[Tractor con acoplado]]</f>
        <v>6.5588943722234898</v>
      </c>
      <c r="CK70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0</v>
      </c>
      <c r="CL70" s="60">
        <f>+SUM(BR70:BV70)+TablaGeneral[[#This Row],[Cosecha DOV]]+TablaGeneral[[#This Row],[Corte DOV]]</f>
        <v>17.148831014967623</v>
      </c>
      <c r="CM70" s="60">
        <f>+SUM(TablaGeneral[[#This Row],[Colocación de malla]:[Descarga y carga de bines con Autoelevador]])</f>
        <v>0</v>
      </c>
      <c r="CN70" s="65">
        <f t="shared" si="112"/>
        <v>6.862903225806452</v>
      </c>
      <c r="CO70" s="65">
        <f t="shared" si="111"/>
        <v>2.5344142951687623</v>
      </c>
      <c r="CP70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70" t="str">
        <f>+TablaGeneral[[#This Row],[Variedad]]&amp;" "&amp;TablaGeneral[[#This Row],[Año de plantación]]</f>
        <v>Fiesta 2020</v>
      </c>
      <c r="CR70" t="str">
        <f>+IF(TablaGeneral[[#This Row],[Finca]]="El Espejo I","El Espejo I y II",IF(TablaGeneral[[#This Row],[Finca]]="El Espejo II","El Espejo I y II",TablaGeneral[[#This Row],[Finca]]))</f>
        <v>El Espejo I y II</v>
      </c>
    </row>
    <row r="71" spans="1:96">
      <c r="A71" t="s">
        <v>14</v>
      </c>
      <c r="B71">
        <v>21</v>
      </c>
      <c r="C71">
        <v>3.19</v>
      </c>
      <c r="D71" t="s">
        <v>10</v>
      </c>
      <c r="E71" s="3">
        <v>25000</v>
      </c>
      <c r="F71" s="2">
        <f>+TablaGeneral[[#This Row],[Has]]*TablaGeneral[[#This Row],[Kg x Has]]</f>
        <v>79750</v>
      </c>
      <c r="G71" s="2">
        <f>+TablaGeneral[[#This Row],[Kg 2026]]/4</f>
        <v>19937.5</v>
      </c>
      <c r="H71">
        <v>5211</v>
      </c>
      <c r="I71">
        <v>2020</v>
      </c>
      <c r="J71" t="s">
        <v>168</v>
      </c>
      <c r="K71">
        <f>10000/IF(LEN(TablaGeneral[[#This Row],[Marco de plantación]])&gt;3,(MID(TablaGeneral[[#This Row],[Marco de plantación]],1,3)*MID(TablaGeneral[[#This Row],[Marco de plantación]],5,3)),(3*2))</f>
        <v>1666.6666666666667</v>
      </c>
      <c r="M71">
        <f>+TablaGeneral[[#This Row],[Plantas x Has]]*TablaGeneral[[#This Row],[N° de Guías x planta]]</f>
        <v>0</v>
      </c>
      <c r="O71">
        <f>+TablaGeneral[[#This Row],[N° de Guías x planta]]*TablaGeneral[[#This Row],[N° de Yemas x Guias]]</f>
        <v>0</v>
      </c>
      <c r="Q71">
        <f>+TablaGeneral[[#This Row],[N° de Yemas x Planta]]*TablaGeneral[[#This Row],[% de Brotación]]</f>
        <v>0</v>
      </c>
      <c r="T71">
        <f>+TablaGeneral[[#This Row],[N° de Brotes x Planta]]*TablaGeneral[[#This Row],[% de Fertilidad]]*TablaGeneral[[#This Row],[Cantidad de Racimos x Brote]]</f>
        <v>0</v>
      </c>
      <c r="V71">
        <f>+TablaGeneral[[#This Row],[Cantidad de Racimos x Planta]]*TablaGeneral[[#This Row],[Peso del Racimo]]</f>
        <v>0</v>
      </c>
      <c r="W71">
        <f>+TablaGeneral[[#This Row],[Plantas]]*TablaGeneral[[#This Row],[Kg x Planta]]</f>
        <v>0</v>
      </c>
      <c r="X71">
        <f>+TablaGeneral[[#This Row],[Kg x Cuartel]]/TablaGeneral[[#This Row],[Has]]</f>
        <v>0</v>
      </c>
      <c r="Y71" t="s">
        <v>162</v>
      </c>
      <c r="Z71">
        <v>120</v>
      </c>
      <c r="AA71">
        <f>+TablaGeneral[[#This Row],[Rendimiento Poda]]</f>
        <v>120</v>
      </c>
      <c r="AB71">
        <v>130</v>
      </c>
      <c r="AC71">
        <v>300</v>
      </c>
      <c r="AD71">
        <v>1000</v>
      </c>
      <c r="AE71">
        <v>500</v>
      </c>
      <c r="AF71">
        <v>100</v>
      </c>
      <c r="AG71">
        <f>+IFERROR(TablaGeneral[[#This Row],[Plantas]]/TablaGeneral[[#This Row],[Rendimiento Poda]],0)</f>
        <v>43.424999999999997</v>
      </c>
      <c r="AH71">
        <f>+TablaGeneral[[#This Row],[Plantas]]/TablaGeneral[[#This Row],[Rendimiento Atada]]</f>
        <v>43.424999999999997</v>
      </c>
      <c r="AI71">
        <f>+IFERROR(TablaGeneral[[#This Row],[Plantas]]/TablaGeneral[[#This Row],[Rendimiento Desbrote de troncos]],0)</f>
        <v>40.084615384615383</v>
      </c>
      <c r="AJ71" s="2">
        <f>+IFERROR(TablaGeneral[[#This Row],[Plantas]]/TablaGeneral[[#This Row],[Rendimiento Acomodo de brotes ]],0)</f>
        <v>17.37</v>
      </c>
      <c r="AK71">
        <f>+IFERROR(TablaGeneral[[#This Row],[Plantas]]/TablaGeneral[[#This Row],[Rendimiento Desniete, deshoje ]],0)</f>
        <v>5.2110000000000003</v>
      </c>
      <c r="AL71">
        <f>+IFERROR(TablaGeneral[[#This Row],[Plantas]]/TablaGeneral[[#This Row],[Rendimiento Desbrote con criterio de Poda]],0)</f>
        <v>10.422000000000001</v>
      </c>
      <c r="AM71">
        <f>+IFERROR(TablaGeneral[[#This Row],[Plantas]]/TablaGeneral[[#This Row],[Rendimiento Raleo de Racimos]],0)</f>
        <v>52.11</v>
      </c>
      <c r="AN71">
        <f t="shared" si="106"/>
        <v>6.2218146780381046E-2</v>
      </c>
      <c r="AR71">
        <f t="shared" si="86"/>
        <v>0.68897585741862133</v>
      </c>
      <c r="AS71">
        <f t="shared" si="87"/>
        <v>2.4681573282598479</v>
      </c>
      <c r="AT71">
        <f t="shared" si="88"/>
        <v>26.451776649746193</v>
      </c>
      <c r="AU71">
        <f t="shared" si="89"/>
        <v>5.6702937976060932</v>
      </c>
      <c r="AV71">
        <f t="shared" si="90"/>
        <v>4.0622076707202996</v>
      </c>
      <c r="AW71">
        <f t="shared" si="91"/>
        <v>0.32565964755156857</v>
      </c>
      <c r="AX71">
        <f t="shared" si="92"/>
        <v>7.027457115114899</v>
      </c>
      <c r="AY71">
        <f t="shared" si="93"/>
        <v>12.114660343144093</v>
      </c>
      <c r="BA71">
        <f t="shared" si="94"/>
        <v>4.867754729261689</v>
      </c>
      <c r="BC71">
        <f t="shared" si="95"/>
        <v>1.7139981448955022</v>
      </c>
      <c r="BD71">
        <f t="shared" si="96"/>
        <v>0.54847955069094112</v>
      </c>
      <c r="BE71">
        <f t="shared" si="97"/>
        <v>14.888571428571428</v>
      </c>
      <c r="BF71">
        <f t="shared" si="98"/>
        <v>1.5940167018445444</v>
      </c>
      <c r="BG71">
        <f t="shared" si="99"/>
        <v>4.9020253426526059</v>
      </c>
      <c r="BH71">
        <f t="shared" si="100"/>
        <v>4.1226265822784809</v>
      </c>
      <c r="BI71">
        <f t="shared" si="101"/>
        <v>2.8966575318098688</v>
      </c>
      <c r="BJ71">
        <f t="shared" si="102"/>
        <v>7.8843925038506573</v>
      </c>
      <c r="BK71">
        <f t="shared" si="103"/>
        <v>0.54852631578947364</v>
      </c>
      <c r="BL71">
        <f t="shared" si="104"/>
        <v>3.9931034482758623</v>
      </c>
      <c r="BM71">
        <f t="shared" si="105"/>
        <v>1.7827574409852891</v>
      </c>
      <c r="BN71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118.04492417107954</v>
      </c>
      <c r="BO71" s="1">
        <f>+TablaGeneral[[#This Row],[Combustible]]/100</f>
        <v>1.1804492417107955</v>
      </c>
      <c r="BP71" s="1">
        <f>+TablaGeneral[[#This Row],[Combustible]]/150</f>
        <v>0.78696616114053031</v>
      </c>
      <c r="BQ71" s="1">
        <f>+TablaGeneral[[#This Row],[Combustible]]/200</f>
        <v>0.59022462085539773</v>
      </c>
      <c r="BR71">
        <f t="shared" si="107"/>
        <v>0.81142946122703208</v>
      </c>
      <c r="BS71">
        <f t="shared" si="108"/>
        <v>1.622732580770728</v>
      </c>
      <c r="BT71">
        <f t="shared" si="109"/>
        <v>1.622732580770728</v>
      </c>
      <c r="BV71">
        <f t="shared" si="110"/>
        <v>1.2170493408291676</v>
      </c>
      <c r="CI71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7.3419779147373312</v>
      </c>
      <c r="CJ71" s="59">
        <f>+TablaGeneral[[#This Row],[Tracto elevador]]+TablaGeneral[[#This Row],[Tractor con uñas]]+TablaGeneral[[#This Row],[Tractor con acoplado]]</f>
        <v>4.4625145023706239</v>
      </c>
      <c r="CK71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0</v>
      </c>
      <c r="CL71" s="60">
        <f>+SUM(BR71:BV71)+TablaGeneral[[#This Row],[Cosecha DOV]]+TablaGeneral[[#This Row],[Corte DOV]]</f>
        <v>11.667653534272917</v>
      </c>
      <c r="CM71" s="60">
        <f>+SUM(TablaGeneral[[#This Row],[Colocación de malla]:[Descarga y carga de bines con Autoelevador]])</f>
        <v>0</v>
      </c>
      <c r="CN71" s="65">
        <f t="shared" si="112"/>
        <v>4.669354838709677</v>
      </c>
      <c r="CO71" s="65">
        <f t="shared" si="111"/>
        <v>1.7243547319655856</v>
      </c>
      <c r="CP71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71" t="str">
        <f>+TablaGeneral[[#This Row],[Variedad]]&amp;" "&amp;TablaGeneral[[#This Row],[Año de plantación]]</f>
        <v>Fiesta 2020</v>
      </c>
      <c r="CR71" t="str">
        <f>+IF(TablaGeneral[[#This Row],[Finca]]="El Espejo I","El Espejo I y II",IF(TablaGeneral[[#This Row],[Finca]]="El Espejo II","El Espejo I y II",TablaGeneral[[#This Row],[Finca]]))</f>
        <v>El Espejo I y II</v>
      </c>
    </row>
    <row r="72" spans="1:96">
      <c r="A72" t="s">
        <v>14</v>
      </c>
      <c r="B72">
        <v>9</v>
      </c>
      <c r="C72">
        <v>5.54</v>
      </c>
      <c r="D72" t="s">
        <v>6</v>
      </c>
      <c r="E72" s="3">
        <v>40000</v>
      </c>
      <c r="F72" s="2">
        <f>+TablaGeneral[[#This Row],[Has]]*TablaGeneral[[#This Row],[Kg x Has]]</f>
        <v>221600</v>
      </c>
      <c r="G72" s="2">
        <f>+TablaGeneral[[#This Row],[Kg 2026]]/4</f>
        <v>55400</v>
      </c>
      <c r="H72">
        <v>12052</v>
      </c>
      <c r="I72">
        <v>2019</v>
      </c>
      <c r="J72" t="s">
        <v>161</v>
      </c>
      <c r="K72">
        <f>10000/IF(LEN(TablaGeneral[[#This Row],[Marco de plantación]])&gt;3,(MID(TablaGeneral[[#This Row],[Marco de plantación]],1,3)*MID(TablaGeneral[[#This Row],[Marco de plantación]],5,3)),(3*2))</f>
        <v>2222.2222222222222</v>
      </c>
      <c r="M72">
        <f>+TablaGeneral[[#This Row],[Plantas x Has]]*TablaGeneral[[#This Row],[N° de Guías x planta]]</f>
        <v>0</v>
      </c>
      <c r="O72">
        <f>+TablaGeneral[[#This Row],[N° de Guías x planta]]*TablaGeneral[[#This Row],[N° de Yemas x Guias]]</f>
        <v>0</v>
      </c>
      <c r="Q72">
        <f>+TablaGeneral[[#This Row],[N° de Yemas x Planta]]*TablaGeneral[[#This Row],[% de Brotación]]</f>
        <v>0</v>
      </c>
      <c r="T72">
        <f>+TablaGeneral[[#This Row],[N° de Brotes x Planta]]*TablaGeneral[[#This Row],[% de Fertilidad]]*TablaGeneral[[#This Row],[Cantidad de Racimos x Brote]]</f>
        <v>0</v>
      </c>
      <c r="V72">
        <f>+TablaGeneral[[#This Row],[Cantidad de Racimos x Planta]]*TablaGeneral[[#This Row],[Peso del Racimo]]</f>
        <v>0</v>
      </c>
      <c r="W72">
        <f>+TablaGeneral[[#This Row],[Plantas]]*TablaGeneral[[#This Row],[Kg x Planta]]</f>
        <v>0</v>
      </c>
      <c r="X72">
        <f>+TablaGeneral[[#This Row],[Kg x Cuartel]]/TablaGeneral[[#This Row],[Has]]</f>
        <v>0</v>
      </c>
      <c r="Y72" t="s">
        <v>162</v>
      </c>
      <c r="Z72">
        <v>120</v>
      </c>
      <c r="AA72">
        <f>+TablaGeneral[[#This Row],[Rendimiento Poda]]</f>
        <v>120</v>
      </c>
      <c r="AB72">
        <v>130</v>
      </c>
      <c r="AC72">
        <v>250</v>
      </c>
      <c r="AD72">
        <v>1000</v>
      </c>
      <c r="AE72">
        <v>500</v>
      </c>
      <c r="AF72">
        <v>100</v>
      </c>
      <c r="AG72">
        <f>+IFERROR(TablaGeneral[[#This Row],[Plantas]]/TablaGeneral[[#This Row],[Rendimiento Poda]],0)</f>
        <v>100.43333333333334</v>
      </c>
      <c r="AH72">
        <f>+TablaGeneral[[#This Row],[Plantas]]/TablaGeneral[[#This Row],[Rendimiento Atada]]</f>
        <v>100.43333333333334</v>
      </c>
      <c r="AI72">
        <f>+IFERROR(TablaGeneral[[#This Row],[Plantas]]/TablaGeneral[[#This Row],[Rendimiento Desbrote de troncos]],0)</f>
        <v>92.707692307692312</v>
      </c>
      <c r="AJ72" s="2">
        <f>+IFERROR(TablaGeneral[[#This Row],[Plantas]]/TablaGeneral[[#This Row],[Rendimiento Acomodo de brotes ]],0)</f>
        <v>48.207999999999998</v>
      </c>
      <c r="AK72">
        <f>+IFERROR(TablaGeneral[[#This Row],[Plantas]]/TablaGeneral[[#This Row],[Rendimiento Desniete, deshoje ]],0)</f>
        <v>12.052</v>
      </c>
      <c r="AL72">
        <f>+IFERROR(TablaGeneral[[#This Row],[Plantas]]/TablaGeneral[[#This Row],[Rendimiento Desbrote con criterio de Poda]],0)</f>
        <v>24.103999999999999</v>
      </c>
      <c r="AM72">
        <f>+IFERROR(TablaGeneral[[#This Row],[Plantas]]/TablaGeneral[[#This Row],[Rendimiento Raleo de Racimos]],0)</f>
        <v>120.52</v>
      </c>
      <c r="AN72">
        <f t="shared" si="106"/>
        <v>0.14389812032184848</v>
      </c>
      <c r="AR72">
        <f t="shared" si="86"/>
        <v>1.5934632572652512</v>
      </c>
      <c r="AS72">
        <f t="shared" si="87"/>
        <v>5.7083538898844148</v>
      </c>
      <c r="AT72">
        <f t="shared" si="88"/>
        <v>61.17766497461929</v>
      </c>
      <c r="AU72">
        <f t="shared" si="89"/>
        <v>13.114254624591947</v>
      </c>
      <c r="AV72">
        <f t="shared" si="90"/>
        <v>9.3950732772061123</v>
      </c>
      <c r="AW72">
        <f t="shared" si="91"/>
        <v>0.7531855828615438</v>
      </c>
      <c r="AX72">
        <f t="shared" si="92"/>
        <v>16.253101736972706</v>
      </c>
      <c r="AY72">
        <f t="shared" si="93"/>
        <v>28.018784581764077</v>
      </c>
      <c r="BA72">
        <f t="shared" si="94"/>
        <v>11.258142390531928</v>
      </c>
      <c r="BC72">
        <f t="shared" si="95"/>
        <v>3.9641346463789278</v>
      </c>
      <c r="BD72">
        <f t="shared" si="96"/>
        <v>1.2685234206346618</v>
      </c>
      <c r="BE72">
        <f t="shared" si="97"/>
        <v>34.434285714285714</v>
      </c>
      <c r="BF72">
        <f t="shared" si="98"/>
        <v>3.6866415833103914</v>
      </c>
      <c r="BG72">
        <f t="shared" si="99"/>
        <v>11.33740345992117</v>
      </c>
      <c r="BH72">
        <f t="shared" si="100"/>
        <v>9.5348101265822791</v>
      </c>
      <c r="BI72">
        <f t="shared" si="101"/>
        <v>6.6993890948709538</v>
      </c>
      <c r="BJ72">
        <f t="shared" si="102"/>
        <v>18.235021772482849</v>
      </c>
      <c r="BK72">
        <f t="shared" si="103"/>
        <v>1.2686315789473683</v>
      </c>
      <c r="BL72">
        <f t="shared" si="104"/>
        <v>9.2352490421455933</v>
      </c>
      <c r="BM72">
        <f t="shared" si="105"/>
        <v>4.1231611358193634</v>
      </c>
      <c r="BN72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273.01428250045115</v>
      </c>
      <c r="BO72" s="1">
        <f>+TablaGeneral[[#This Row],[Combustible]]/100</f>
        <v>2.7301428250045117</v>
      </c>
      <c r="BP72" s="1">
        <f>+TablaGeneral[[#This Row],[Combustible]]/150</f>
        <v>1.8200952166696742</v>
      </c>
      <c r="BQ72" s="1">
        <f>+TablaGeneral[[#This Row],[Combustible]]/200</f>
        <v>1.3650714125022558</v>
      </c>
      <c r="BR72">
        <f t="shared" si="107"/>
        <v>1.8766739333540954</v>
      </c>
      <c r="BS72">
        <f t="shared" si="108"/>
        <v>3.7530556636823666</v>
      </c>
      <c r="BT72">
        <f t="shared" si="109"/>
        <v>3.7530556636823666</v>
      </c>
      <c r="BV72">
        <f t="shared" si="110"/>
        <v>2.8147915286265839</v>
      </c>
      <c r="CI72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16.980525394053792</v>
      </c>
      <c r="CJ72" s="59">
        <f>+TablaGeneral[[#This Row],[Tracto elevador]]+TablaGeneral[[#This Row],[Tractor con uñas]]+TablaGeneral[[#This Row],[Tractor con acoplado]]</f>
        <v>10.320902855991317</v>
      </c>
      <c r="CK72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0</v>
      </c>
      <c r="CL72" s="60">
        <f>+SUM(BR72:BV72)+TablaGeneral[[#This Row],[Cosecha DOV]]+TablaGeneral[[#This Row],[Corte DOV]]</f>
        <v>26.984947302831937</v>
      </c>
      <c r="CM72" s="60">
        <f>+SUM(TablaGeneral[[#This Row],[Colocación de malla]:[Descarga y carga de bines con Autoelevador]])</f>
        <v>0</v>
      </c>
      <c r="CN72" s="65">
        <f t="shared" si="112"/>
        <v>10.799283154121865</v>
      </c>
      <c r="CO72" s="65">
        <f t="shared" si="111"/>
        <v>3.9880873593646591</v>
      </c>
      <c r="CP72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72" t="str">
        <f>+TablaGeneral[[#This Row],[Variedad]]&amp;" "&amp;TablaGeneral[[#This Row],[Año de plantación]]</f>
        <v>Flame 2019</v>
      </c>
      <c r="CR72" t="str">
        <f>+IF(TablaGeneral[[#This Row],[Finca]]="El Espejo I","El Espejo I y II",IF(TablaGeneral[[#This Row],[Finca]]="El Espejo II","El Espejo I y II",TablaGeneral[[#This Row],[Finca]]))</f>
        <v>El Espejo I y II</v>
      </c>
    </row>
    <row r="73" spans="1:96">
      <c r="A73" t="s">
        <v>14</v>
      </c>
      <c r="B73">
        <v>10</v>
      </c>
      <c r="C73">
        <v>5.54</v>
      </c>
      <c r="D73" t="s">
        <v>6</v>
      </c>
      <c r="E73" s="3">
        <v>40000</v>
      </c>
      <c r="F73" s="2">
        <f>+TablaGeneral[[#This Row],[Has]]*TablaGeneral[[#This Row],[Kg x Has]]</f>
        <v>221600</v>
      </c>
      <c r="G73" s="2">
        <f>+TablaGeneral[[#This Row],[Kg 2026]]/4</f>
        <v>55400</v>
      </c>
      <c r="H73">
        <v>12052</v>
      </c>
      <c r="I73">
        <v>2019</v>
      </c>
      <c r="J73" t="s">
        <v>161</v>
      </c>
      <c r="K73">
        <f>10000/IF(LEN(TablaGeneral[[#This Row],[Marco de plantación]])&gt;3,(MID(TablaGeneral[[#This Row],[Marco de plantación]],1,3)*MID(TablaGeneral[[#This Row],[Marco de plantación]],5,3)),(3*2))</f>
        <v>2222.2222222222222</v>
      </c>
      <c r="M73">
        <f>+TablaGeneral[[#This Row],[Plantas x Has]]*TablaGeneral[[#This Row],[N° de Guías x planta]]</f>
        <v>0</v>
      </c>
      <c r="O73">
        <f>+TablaGeneral[[#This Row],[N° de Guías x planta]]*TablaGeneral[[#This Row],[N° de Yemas x Guias]]</f>
        <v>0</v>
      </c>
      <c r="Q73">
        <f>+TablaGeneral[[#This Row],[N° de Yemas x Planta]]*TablaGeneral[[#This Row],[% de Brotación]]</f>
        <v>0</v>
      </c>
      <c r="T73">
        <f>+TablaGeneral[[#This Row],[N° de Brotes x Planta]]*TablaGeneral[[#This Row],[% de Fertilidad]]*TablaGeneral[[#This Row],[Cantidad de Racimos x Brote]]</f>
        <v>0</v>
      </c>
      <c r="V73">
        <f>+TablaGeneral[[#This Row],[Cantidad de Racimos x Planta]]*TablaGeneral[[#This Row],[Peso del Racimo]]</f>
        <v>0</v>
      </c>
      <c r="W73">
        <f>+TablaGeneral[[#This Row],[Plantas]]*TablaGeneral[[#This Row],[Kg x Planta]]</f>
        <v>0</v>
      </c>
      <c r="X73">
        <f>+TablaGeneral[[#This Row],[Kg x Cuartel]]/TablaGeneral[[#This Row],[Has]]</f>
        <v>0</v>
      </c>
      <c r="Y73" t="s">
        <v>162</v>
      </c>
      <c r="Z73">
        <v>120</v>
      </c>
      <c r="AA73">
        <f>+TablaGeneral[[#This Row],[Rendimiento Poda]]</f>
        <v>120</v>
      </c>
      <c r="AB73">
        <v>130</v>
      </c>
      <c r="AC73">
        <v>250</v>
      </c>
      <c r="AD73">
        <v>1000</v>
      </c>
      <c r="AE73">
        <v>500</v>
      </c>
      <c r="AF73">
        <v>100</v>
      </c>
      <c r="AG73">
        <f>+IFERROR(TablaGeneral[[#This Row],[Plantas]]/TablaGeneral[[#This Row],[Rendimiento Poda]],0)</f>
        <v>100.43333333333334</v>
      </c>
      <c r="AH73">
        <f>+TablaGeneral[[#This Row],[Plantas]]/TablaGeneral[[#This Row],[Rendimiento Atada]]</f>
        <v>100.43333333333334</v>
      </c>
      <c r="AI73">
        <f>+IFERROR(TablaGeneral[[#This Row],[Plantas]]/TablaGeneral[[#This Row],[Rendimiento Desbrote de troncos]],0)</f>
        <v>92.707692307692312</v>
      </c>
      <c r="AJ73" s="2">
        <f>+IFERROR(TablaGeneral[[#This Row],[Plantas]]/TablaGeneral[[#This Row],[Rendimiento Acomodo de brotes ]],0)</f>
        <v>48.207999999999998</v>
      </c>
      <c r="AK73">
        <f>+IFERROR(TablaGeneral[[#This Row],[Plantas]]/TablaGeneral[[#This Row],[Rendimiento Desniete, deshoje ]],0)</f>
        <v>12.052</v>
      </c>
      <c r="AL73">
        <f>+IFERROR(TablaGeneral[[#This Row],[Plantas]]/TablaGeneral[[#This Row],[Rendimiento Desbrote con criterio de Poda]],0)</f>
        <v>24.103999999999999</v>
      </c>
      <c r="AM73">
        <f>+IFERROR(TablaGeneral[[#This Row],[Plantas]]/TablaGeneral[[#This Row],[Rendimiento Raleo de Racimos]],0)</f>
        <v>120.52</v>
      </c>
      <c r="AN73">
        <f t="shared" si="106"/>
        <v>0.14389812032184848</v>
      </c>
      <c r="AR73">
        <f t="shared" si="86"/>
        <v>1.5934632572652512</v>
      </c>
      <c r="AS73">
        <f t="shared" si="87"/>
        <v>5.7083538898844148</v>
      </c>
      <c r="AT73">
        <f t="shared" si="88"/>
        <v>61.17766497461929</v>
      </c>
      <c r="AU73">
        <f t="shared" si="89"/>
        <v>13.114254624591947</v>
      </c>
      <c r="AV73">
        <f t="shared" si="90"/>
        <v>9.3950732772061123</v>
      </c>
      <c r="AW73">
        <f t="shared" si="91"/>
        <v>0.7531855828615438</v>
      </c>
      <c r="AX73">
        <f t="shared" si="92"/>
        <v>16.253101736972706</v>
      </c>
      <c r="AY73">
        <f t="shared" si="93"/>
        <v>28.018784581764077</v>
      </c>
      <c r="BA73">
        <f t="shared" si="94"/>
        <v>11.258142390531928</v>
      </c>
      <c r="BC73">
        <f t="shared" si="95"/>
        <v>3.9641346463789278</v>
      </c>
      <c r="BD73">
        <f t="shared" si="96"/>
        <v>1.2685234206346618</v>
      </c>
      <c r="BE73">
        <f t="shared" si="97"/>
        <v>34.434285714285714</v>
      </c>
      <c r="BF73">
        <f t="shared" si="98"/>
        <v>3.6866415833103914</v>
      </c>
      <c r="BG73">
        <f t="shared" si="99"/>
        <v>11.33740345992117</v>
      </c>
      <c r="BH73">
        <f t="shared" si="100"/>
        <v>9.5348101265822791</v>
      </c>
      <c r="BI73">
        <f t="shared" si="101"/>
        <v>6.6993890948709538</v>
      </c>
      <c r="BJ73">
        <f t="shared" si="102"/>
        <v>18.235021772482849</v>
      </c>
      <c r="BK73">
        <f t="shared" si="103"/>
        <v>1.2686315789473683</v>
      </c>
      <c r="BL73">
        <f t="shared" si="104"/>
        <v>9.2352490421455933</v>
      </c>
      <c r="BM73">
        <f t="shared" si="105"/>
        <v>4.1231611358193634</v>
      </c>
      <c r="BN73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273.01428250045115</v>
      </c>
      <c r="BO73" s="1">
        <f>+TablaGeneral[[#This Row],[Combustible]]/100</f>
        <v>2.7301428250045117</v>
      </c>
      <c r="BP73" s="1">
        <f>+TablaGeneral[[#This Row],[Combustible]]/150</f>
        <v>1.8200952166696742</v>
      </c>
      <c r="BQ73" s="1">
        <f>+TablaGeneral[[#This Row],[Combustible]]/200</f>
        <v>1.3650714125022558</v>
      </c>
      <c r="BR73">
        <f t="shared" si="107"/>
        <v>1.8766739333540954</v>
      </c>
      <c r="BS73">
        <f t="shared" si="108"/>
        <v>3.7530556636823666</v>
      </c>
      <c r="BT73">
        <f t="shared" si="109"/>
        <v>3.7530556636823666</v>
      </c>
      <c r="BV73">
        <f t="shared" si="110"/>
        <v>2.8147915286265839</v>
      </c>
      <c r="CI73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16.980525394053792</v>
      </c>
      <c r="CJ73" s="59">
        <f>+TablaGeneral[[#This Row],[Tracto elevador]]+TablaGeneral[[#This Row],[Tractor con uñas]]+TablaGeneral[[#This Row],[Tractor con acoplado]]</f>
        <v>10.320902855991317</v>
      </c>
      <c r="CK73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0</v>
      </c>
      <c r="CL73" s="60">
        <f>+SUM(BR73:BV73)+TablaGeneral[[#This Row],[Cosecha DOV]]+TablaGeneral[[#This Row],[Corte DOV]]</f>
        <v>26.984947302831937</v>
      </c>
      <c r="CM73" s="60">
        <f>+SUM(TablaGeneral[[#This Row],[Colocación de malla]:[Descarga y carga de bines con Autoelevador]])</f>
        <v>0</v>
      </c>
      <c r="CN73" s="65">
        <f t="shared" si="112"/>
        <v>10.799283154121865</v>
      </c>
      <c r="CO73" s="65">
        <f t="shared" si="111"/>
        <v>3.9880873593646591</v>
      </c>
      <c r="CP73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73" t="str">
        <f>+TablaGeneral[[#This Row],[Variedad]]&amp;" "&amp;TablaGeneral[[#This Row],[Año de plantación]]</f>
        <v>Flame 2019</v>
      </c>
      <c r="CR73" t="str">
        <f>+IF(TablaGeneral[[#This Row],[Finca]]="El Espejo I","El Espejo I y II",IF(TablaGeneral[[#This Row],[Finca]]="El Espejo II","El Espejo I y II",TablaGeneral[[#This Row],[Finca]]))</f>
        <v>El Espejo I y II</v>
      </c>
    </row>
    <row r="74" spans="1:96">
      <c r="A74" t="s">
        <v>14</v>
      </c>
      <c r="B74">
        <v>11</v>
      </c>
      <c r="C74">
        <v>5.54</v>
      </c>
      <c r="D74" t="s">
        <v>6</v>
      </c>
      <c r="E74" s="3">
        <v>40000</v>
      </c>
      <c r="F74" s="2">
        <f>+TablaGeneral[[#This Row],[Has]]*TablaGeneral[[#This Row],[Kg x Has]]</f>
        <v>221600</v>
      </c>
      <c r="G74" s="2">
        <f>+TablaGeneral[[#This Row],[Kg 2026]]/4</f>
        <v>55400</v>
      </c>
      <c r="H74">
        <v>12052</v>
      </c>
      <c r="I74">
        <v>2019</v>
      </c>
      <c r="J74" t="s">
        <v>161</v>
      </c>
      <c r="K74">
        <f>10000/IF(LEN(TablaGeneral[[#This Row],[Marco de plantación]])&gt;3,(MID(TablaGeneral[[#This Row],[Marco de plantación]],1,3)*MID(TablaGeneral[[#This Row],[Marco de plantación]],5,3)),(3*2))</f>
        <v>2222.2222222222222</v>
      </c>
      <c r="M74">
        <f>+TablaGeneral[[#This Row],[Plantas x Has]]*TablaGeneral[[#This Row],[N° de Guías x planta]]</f>
        <v>0</v>
      </c>
      <c r="O74">
        <f>+TablaGeneral[[#This Row],[N° de Guías x planta]]*TablaGeneral[[#This Row],[N° de Yemas x Guias]]</f>
        <v>0</v>
      </c>
      <c r="Q74">
        <f>+TablaGeneral[[#This Row],[N° de Yemas x Planta]]*TablaGeneral[[#This Row],[% de Brotación]]</f>
        <v>0</v>
      </c>
      <c r="T74">
        <f>+TablaGeneral[[#This Row],[N° de Brotes x Planta]]*TablaGeneral[[#This Row],[% de Fertilidad]]*TablaGeneral[[#This Row],[Cantidad de Racimos x Brote]]</f>
        <v>0</v>
      </c>
      <c r="V74">
        <f>+TablaGeneral[[#This Row],[Cantidad de Racimos x Planta]]*TablaGeneral[[#This Row],[Peso del Racimo]]</f>
        <v>0</v>
      </c>
      <c r="W74">
        <f>+TablaGeneral[[#This Row],[Plantas]]*TablaGeneral[[#This Row],[Kg x Planta]]</f>
        <v>0</v>
      </c>
      <c r="X74">
        <f>+TablaGeneral[[#This Row],[Kg x Cuartel]]/TablaGeneral[[#This Row],[Has]]</f>
        <v>0</v>
      </c>
      <c r="Y74" t="s">
        <v>162</v>
      </c>
      <c r="Z74">
        <v>120</v>
      </c>
      <c r="AA74">
        <f>+TablaGeneral[[#This Row],[Rendimiento Poda]]</f>
        <v>120</v>
      </c>
      <c r="AB74">
        <v>130</v>
      </c>
      <c r="AC74">
        <v>250</v>
      </c>
      <c r="AD74">
        <v>1000</v>
      </c>
      <c r="AE74">
        <v>500</v>
      </c>
      <c r="AF74">
        <v>100</v>
      </c>
      <c r="AG74">
        <f>+IFERROR(TablaGeneral[[#This Row],[Plantas]]/TablaGeneral[[#This Row],[Rendimiento Poda]],0)</f>
        <v>100.43333333333334</v>
      </c>
      <c r="AH74">
        <f>+TablaGeneral[[#This Row],[Plantas]]/TablaGeneral[[#This Row],[Rendimiento Atada]]</f>
        <v>100.43333333333334</v>
      </c>
      <c r="AI74">
        <f>+IFERROR(TablaGeneral[[#This Row],[Plantas]]/TablaGeneral[[#This Row],[Rendimiento Desbrote de troncos]],0)</f>
        <v>92.707692307692312</v>
      </c>
      <c r="AJ74" s="2">
        <f>+IFERROR(TablaGeneral[[#This Row],[Plantas]]/TablaGeneral[[#This Row],[Rendimiento Acomodo de brotes ]],0)</f>
        <v>48.207999999999998</v>
      </c>
      <c r="AK74">
        <f>+IFERROR(TablaGeneral[[#This Row],[Plantas]]/TablaGeneral[[#This Row],[Rendimiento Desniete, deshoje ]],0)</f>
        <v>12.052</v>
      </c>
      <c r="AL74">
        <f>+IFERROR(TablaGeneral[[#This Row],[Plantas]]/TablaGeneral[[#This Row],[Rendimiento Desbrote con criterio de Poda]],0)</f>
        <v>24.103999999999999</v>
      </c>
      <c r="AM74">
        <f>+IFERROR(TablaGeneral[[#This Row],[Plantas]]/TablaGeneral[[#This Row],[Rendimiento Raleo de Racimos]],0)</f>
        <v>120.52</v>
      </c>
      <c r="AN74">
        <f t="shared" si="106"/>
        <v>0.14389812032184848</v>
      </c>
      <c r="AR74">
        <f t="shared" si="86"/>
        <v>1.5934632572652512</v>
      </c>
      <c r="AS74">
        <f t="shared" si="87"/>
        <v>5.7083538898844148</v>
      </c>
      <c r="AT74">
        <f t="shared" si="88"/>
        <v>61.17766497461929</v>
      </c>
      <c r="AU74">
        <f t="shared" si="89"/>
        <v>13.114254624591947</v>
      </c>
      <c r="AV74">
        <f t="shared" si="90"/>
        <v>9.3950732772061123</v>
      </c>
      <c r="AW74">
        <f t="shared" si="91"/>
        <v>0.7531855828615438</v>
      </c>
      <c r="AX74">
        <f t="shared" si="92"/>
        <v>16.253101736972706</v>
      </c>
      <c r="AY74">
        <f t="shared" si="93"/>
        <v>28.018784581764077</v>
      </c>
      <c r="BA74">
        <f t="shared" si="94"/>
        <v>11.258142390531928</v>
      </c>
      <c r="BC74">
        <f t="shared" si="95"/>
        <v>3.9641346463789278</v>
      </c>
      <c r="BD74">
        <f t="shared" si="96"/>
        <v>1.2685234206346618</v>
      </c>
      <c r="BE74">
        <f t="shared" si="97"/>
        <v>34.434285714285714</v>
      </c>
      <c r="BF74">
        <f t="shared" si="98"/>
        <v>3.6866415833103914</v>
      </c>
      <c r="BG74">
        <f t="shared" si="99"/>
        <v>11.33740345992117</v>
      </c>
      <c r="BH74">
        <f t="shared" si="100"/>
        <v>9.5348101265822791</v>
      </c>
      <c r="BI74">
        <f t="shared" si="101"/>
        <v>6.6993890948709538</v>
      </c>
      <c r="BJ74">
        <f t="shared" si="102"/>
        <v>18.235021772482849</v>
      </c>
      <c r="BK74">
        <f t="shared" si="103"/>
        <v>1.2686315789473683</v>
      </c>
      <c r="BL74">
        <f t="shared" si="104"/>
        <v>9.2352490421455933</v>
      </c>
      <c r="BM74">
        <f t="shared" si="105"/>
        <v>4.1231611358193634</v>
      </c>
      <c r="BN74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273.01428250045115</v>
      </c>
      <c r="BO74" s="1">
        <f>+TablaGeneral[[#This Row],[Combustible]]/100</f>
        <v>2.7301428250045117</v>
      </c>
      <c r="BP74" s="1">
        <f>+TablaGeneral[[#This Row],[Combustible]]/150</f>
        <v>1.8200952166696742</v>
      </c>
      <c r="BQ74" s="1">
        <f>+TablaGeneral[[#This Row],[Combustible]]/200</f>
        <v>1.3650714125022558</v>
      </c>
      <c r="BR74">
        <f t="shared" si="107"/>
        <v>1.8766739333540954</v>
      </c>
      <c r="BS74">
        <f t="shared" si="108"/>
        <v>3.7530556636823666</v>
      </c>
      <c r="BT74">
        <f t="shared" si="109"/>
        <v>3.7530556636823666</v>
      </c>
      <c r="BV74">
        <f t="shared" si="110"/>
        <v>2.8147915286265839</v>
      </c>
      <c r="CI74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16.980525394053792</v>
      </c>
      <c r="CJ74" s="59">
        <f>+TablaGeneral[[#This Row],[Tracto elevador]]+TablaGeneral[[#This Row],[Tractor con uñas]]+TablaGeneral[[#This Row],[Tractor con acoplado]]</f>
        <v>10.320902855991317</v>
      </c>
      <c r="CK74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0</v>
      </c>
      <c r="CL74" s="60">
        <f>+SUM(BR74:BV74)+TablaGeneral[[#This Row],[Cosecha DOV]]+TablaGeneral[[#This Row],[Corte DOV]]</f>
        <v>26.984947302831937</v>
      </c>
      <c r="CM74" s="60">
        <f>+SUM(TablaGeneral[[#This Row],[Colocación de malla]:[Descarga y carga de bines con Autoelevador]])</f>
        <v>0</v>
      </c>
      <c r="CN74" s="65">
        <f t="shared" si="112"/>
        <v>10.799283154121865</v>
      </c>
      <c r="CO74" s="65">
        <f t="shared" si="111"/>
        <v>3.9880873593646591</v>
      </c>
      <c r="CP74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74" t="str">
        <f>+TablaGeneral[[#This Row],[Variedad]]&amp;" "&amp;TablaGeneral[[#This Row],[Año de plantación]]</f>
        <v>Flame 2019</v>
      </c>
      <c r="CR74" t="str">
        <f>+IF(TablaGeneral[[#This Row],[Finca]]="El Espejo I","El Espejo I y II",IF(TablaGeneral[[#This Row],[Finca]]="El Espejo II","El Espejo I y II",TablaGeneral[[#This Row],[Finca]]))</f>
        <v>El Espejo I y II</v>
      </c>
    </row>
    <row r="75" spans="1:96">
      <c r="A75" t="s">
        <v>14</v>
      </c>
      <c r="B75">
        <v>12</v>
      </c>
      <c r="C75">
        <v>5.54</v>
      </c>
      <c r="D75" t="s">
        <v>6</v>
      </c>
      <c r="E75" s="3">
        <v>40000</v>
      </c>
      <c r="F75" s="2">
        <f>+TablaGeneral[[#This Row],[Has]]*TablaGeneral[[#This Row],[Kg x Has]]</f>
        <v>221600</v>
      </c>
      <c r="G75" s="2">
        <f>+TablaGeneral[[#This Row],[Kg 2026]]/4</f>
        <v>55400</v>
      </c>
      <c r="H75">
        <v>12052</v>
      </c>
      <c r="I75">
        <v>2019</v>
      </c>
      <c r="J75" t="s">
        <v>161</v>
      </c>
      <c r="K75">
        <f>10000/IF(LEN(TablaGeneral[[#This Row],[Marco de plantación]])&gt;3,(MID(TablaGeneral[[#This Row],[Marco de plantación]],1,3)*MID(TablaGeneral[[#This Row],[Marco de plantación]],5,3)),(3*2))</f>
        <v>2222.2222222222222</v>
      </c>
      <c r="M75">
        <f>+TablaGeneral[[#This Row],[Plantas x Has]]*TablaGeneral[[#This Row],[N° de Guías x planta]]</f>
        <v>0</v>
      </c>
      <c r="O75">
        <f>+TablaGeneral[[#This Row],[N° de Guías x planta]]*TablaGeneral[[#This Row],[N° de Yemas x Guias]]</f>
        <v>0</v>
      </c>
      <c r="Q75">
        <f>+TablaGeneral[[#This Row],[N° de Yemas x Planta]]*TablaGeneral[[#This Row],[% de Brotación]]</f>
        <v>0</v>
      </c>
      <c r="T75">
        <f>+TablaGeneral[[#This Row],[N° de Brotes x Planta]]*TablaGeneral[[#This Row],[% de Fertilidad]]*TablaGeneral[[#This Row],[Cantidad de Racimos x Brote]]</f>
        <v>0</v>
      </c>
      <c r="V75">
        <f>+TablaGeneral[[#This Row],[Cantidad de Racimos x Planta]]*TablaGeneral[[#This Row],[Peso del Racimo]]</f>
        <v>0</v>
      </c>
      <c r="W75">
        <f>+TablaGeneral[[#This Row],[Plantas]]*TablaGeneral[[#This Row],[Kg x Planta]]</f>
        <v>0</v>
      </c>
      <c r="X75">
        <f>+TablaGeneral[[#This Row],[Kg x Cuartel]]/TablaGeneral[[#This Row],[Has]]</f>
        <v>0</v>
      </c>
      <c r="Y75" t="s">
        <v>162</v>
      </c>
      <c r="Z75">
        <v>120</v>
      </c>
      <c r="AA75">
        <f>+TablaGeneral[[#This Row],[Rendimiento Poda]]</f>
        <v>120</v>
      </c>
      <c r="AB75">
        <v>130</v>
      </c>
      <c r="AC75">
        <v>250</v>
      </c>
      <c r="AD75">
        <v>1000</v>
      </c>
      <c r="AE75">
        <v>500</v>
      </c>
      <c r="AF75">
        <v>100</v>
      </c>
      <c r="AG75">
        <f>+IFERROR(TablaGeneral[[#This Row],[Plantas]]/TablaGeneral[[#This Row],[Rendimiento Poda]],0)</f>
        <v>100.43333333333334</v>
      </c>
      <c r="AH75">
        <f>+TablaGeneral[[#This Row],[Plantas]]/TablaGeneral[[#This Row],[Rendimiento Atada]]</f>
        <v>100.43333333333334</v>
      </c>
      <c r="AI75">
        <f>+IFERROR(TablaGeneral[[#This Row],[Plantas]]/TablaGeneral[[#This Row],[Rendimiento Desbrote de troncos]],0)</f>
        <v>92.707692307692312</v>
      </c>
      <c r="AJ75" s="2">
        <f>+IFERROR(TablaGeneral[[#This Row],[Plantas]]/TablaGeneral[[#This Row],[Rendimiento Acomodo de brotes ]],0)</f>
        <v>48.207999999999998</v>
      </c>
      <c r="AK75">
        <f>+IFERROR(TablaGeneral[[#This Row],[Plantas]]/TablaGeneral[[#This Row],[Rendimiento Desniete, deshoje ]],0)</f>
        <v>12.052</v>
      </c>
      <c r="AL75">
        <f>+IFERROR(TablaGeneral[[#This Row],[Plantas]]/TablaGeneral[[#This Row],[Rendimiento Desbrote con criterio de Poda]],0)</f>
        <v>24.103999999999999</v>
      </c>
      <c r="AM75">
        <f>+IFERROR(TablaGeneral[[#This Row],[Plantas]]/TablaGeneral[[#This Row],[Rendimiento Raleo de Racimos]],0)</f>
        <v>120.52</v>
      </c>
      <c r="AN75">
        <f t="shared" si="106"/>
        <v>0.14389812032184848</v>
      </c>
      <c r="AR75">
        <f t="shared" si="86"/>
        <v>1.5934632572652512</v>
      </c>
      <c r="AS75">
        <f t="shared" si="87"/>
        <v>5.7083538898844148</v>
      </c>
      <c r="AT75">
        <f t="shared" si="88"/>
        <v>61.17766497461929</v>
      </c>
      <c r="AU75">
        <f t="shared" si="89"/>
        <v>13.114254624591947</v>
      </c>
      <c r="AV75">
        <f t="shared" si="90"/>
        <v>9.3950732772061123</v>
      </c>
      <c r="AW75">
        <f t="shared" si="91"/>
        <v>0.7531855828615438</v>
      </c>
      <c r="AX75">
        <f t="shared" si="92"/>
        <v>16.253101736972706</v>
      </c>
      <c r="AY75">
        <f t="shared" si="93"/>
        <v>28.018784581764077</v>
      </c>
      <c r="BA75">
        <f t="shared" si="94"/>
        <v>11.258142390531928</v>
      </c>
      <c r="BC75">
        <f t="shared" si="95"/>
        <v>3.9641346463789278</v>
      </c>
      <c r="BD75">
        <f t="shared" si="96"/>
        <v>1.2685234206346618</v>
      </c>
      <c r="BE75">
        <f t="shared" si="97"/>
        <v>34.434285714285714</v>
      </c>
      <c r="BF75">
        <f t="shared" si="98"/>
        <v>3.6866415833103914</v>
      </c>
      <c r="BG75">
        <f t="shared" si="99"/>
        <v>11.33740345992117</v>
      </c>
      <c r="BH75">
        <f t="shared" si="100"/>
        <v>9.5348101265822791</v>
      </c>
      <c r="BI75">
        <f t="shared" si="101"/>
        <v>6.6993890948709538</v>
      </c>
      <c r="BJ75">
        <f t="shared" si="102"/>
        <v>18.235021772482849</v>
      </c>
      <c r="BK75">
        <f t="shared" si="103"/>
        <v>1.2686315789473683</v>
      </c>
      <c r="BL75">
        <f t="shared" si="104"/>
        <v>9.2352490421455933</v>
      </c>
      <c r="BM75">
        <f t="shared" si="105"/>
        <v>4.1231611358193634</v>
      </c>
      <c r="BN75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273.01428250045115</v>
      </c>
      <c r="BO75" s="1">
        <f>+TablaGeneral[[#This Row],[Combustible]]/100</f>
        <v>2.7301428250045117</v>
      </c>
      <c r="BP75" s="1">
        <f>+TablaGeneral[[#This Row],[Combustible]]/150</f>
        <v>1.8200952166696742</v>
      </c>
      <c r="BQ75" s="1">
        <f>+TablaGeneral[[#This Row],[Combustible]]/200</f>
        <v>1.3650714125022558</v>
      </c>
      <c r="BR75">
        <f t="shared" si="107"/>
        <v>1.8766739333540954</v>
      </c>
      <c r="BS75">
        <f t="shared" si="108"/>
        <v>3.7530556636823666</v>
      </c>
      <c r="BT75">
        <f t="shared" si="109"/>
        <v>3.7530556636823666</v>
      </c>
      <c r="BV75">
        <f t="shared" si="110"/>
        <v>2.8147915286265839</v>
      </c>
      <c r="CI75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16.980525394053792</v>
      </c>
      <c r="CJ75" s="59">
        <f>+TablaGeneral[[#This Row],[Tracto elevador]]+TablaGeneral[[#This Row],[Tractor con uñas]]+TablaGeneral[[#This Row],[Tractor con acoplado]]</f>
        <v>10.320902855991317</v>
      </c>
      <c r="CK75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0</v>
      </c>
      <c r="CL75" s="60">
        <f>+SUM(BR75:BV75)+TablaGeneral[[#This Row],[Cosecha DOV]]+TablaGeneral[[#This Row],[Corte DOV]]</f>
        <v>26.984947302831937</v>
      </c>
      <c r="CM75" s="60">
        <f>+SUM(TablaGeneral[[#This Row],[Colocación de malla]:[Descarga y carga de bines con Autoelevador]])</f>
        <v>0</v>
      </c>
      <c r="CN75" s="65">
        <f t="shared" si="112"/>
        <v>10.799283154121865</v>
      </c>
      <c r="CO75" s="65">
        <f t="shared" si="111"/>
        <v>3.9880873593646591</v>
      </c>
      <c r="CP75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75" t="str">
        <f>+TablaGeneral[[#This Row],[Variedad]]&amp;" "&amp;TablaGeneral[[#This Row],[Año de plantación]]</f>
        <v>Flame 2019</v>
      </c>
      <c r="CR75" t="str">
        <f>+IF(TablaGeneral[[#This Row],[Finca]]="El Espejo I","El Espejo I y II",IF(TablaGeneral[[#This Row],[Finca]]="El Espejo II","El Espejo I y II",TablaGeneral[[#This Row],[Finca]]))</f>
        <v>El Espejo I y II</v>
      </c>
    </row>
    <row r="76" spans="1:96">
      <c r="A76" t="s">
        <v>14</v>
      </c>
      <c r="B76">
        <v>1</v>
      </c>
      <c r="C76">
        <v>5.54</v>
      </c>
      <c r="D76" t="s">
        <v>5</v>
      </c>
      <c r="E76" s="3">
        <v>35000</v>
      </c>
      <c r="F76" s="2">
        <f>+TablaGeneral[[#This Row],[Has]]*TablaGeneral[[#This Row],[Kg x Has]]</f>
        <v>193900</v>
      </c>
      <c r="G76" s="2">
        <f>+TablaGeneral[[#This Row],[Kg 2026]]/4</f>
        <v>48475</v>
      </c>
      <c r="H76">
        <v>12052</v>
      </c>
      <c r="I76">
        <v>2019</v>
      </c>
      <c r="J76" t="s">
        <v>161</v>
      </c>
      <c r="K76">
        <f>10000/IF(LEN(TablaGeneral[[#This Row],[Marco de plantación]])&gt;3,(MID(TablaGeneral[[#This Row],[Marco de plantación]],1,3)*MID(TablaGeneral[[#This Row],[Marco de plantación]],5,3)),(3*2))</f>
        <v>2222.2222222222222</v>
      </c>
      <c r="M76">
        <f>+TablaGeneral[[#This Row],[Plantas x Has]]*TablaGeneral[[#This Row],[N° de Guías x planta]]</f>
        <v>0</v>
      </c>
      <c r="O76">
        <f>+TablaGeneral[[#This Row],[N° de Guías x planta]]*TablaGeneral[[#This Row],[N° de Yemas x Guias]]</f>
        <v>0</v>
      </c>
      <c r="Q76">
        <f>+TablaGeneral[[#This Row],[N° de Yemas x Planta]]*TablaGeneral[[#This Row],[% de Brotación]]</f>
        <v>0</v>
      </c>
      <c r="T76">
        <f>+TablaGeneral[[#This Row],[N° de Brotes x Planta]]*TablaGeneral[[#This Row],[% de Fertilidad]]*TablaGeneral[[#This Row],[Cantidad de Racimos x Brote]]</f>
        <v>0</v>
      </c>
      <c r="V76">
        <f>+TablaGeneral[[#This Row],[Cantidad de Racimos x Planta]]*TablaGeneral[[#This Row],[Peso del Racimo]]</f>
        <v>0</v>
      </c>
      <c r="W76">
        <f>+TablaGeneral[[#This Row],[Plantas]]*TablaGeneral[[#This Row],[Kg x Planta]]</f>
        <v>0</v>
      </c>
      <c r="X76">
        <f>+TablaGeneral[[#This Row],[Kg x Cuartel]]/TablaGeneral[[#This Row],[Has]]</f>
        <v>0</v>
      </c>
      <c r="Y76" t="s">
        <v>162</v>
      </c>
      <c r="Z76">
        <v>120</v>
      </c>
      <c r="AA76">
        <f>+TablaGeneral[[#This Row],[Rendimiento Poda]]</f>
        <v>120</v>
      </c>
      <c r="AB76">
        <v>130</v>
      </c>
      <c r="AC76">
        <v>250</v>
      </c>
      <c r="AD76">
        <v>1000</v>
      </c>
      <c r="AE76">
        <v>500</v>
      </c>
      <c r="AF76">
        <v>100</v>
      </c>
      <c r="AG76">
        <f>+IFERROR(TablaGeneral[[#This Row],[Plantas]]/TablaGeneral[[#This Row],[Rendimiento Poda]],0)</f>
        <v>100.43333333333334</v>
      </c>
      <c r="AH76">
        <f>+TablaGeneral[[#This Row],[Plantas]]/TablaGeneral[[#This Row],[Rendimiento Atada]]</f>
        <v>100.43333333333334</v>
      </c>
      <c r="AI76">
        <f>+IFERROR(TablaGeneral[[#This Row],[Plantas]]/TablaGeneral[[#This Row],[Rendimiento Desbrote de troncos]],0)</f>
        <v>92.707692307692312</v>
      </c>
      <c r="AJ76" s="2">
        <f>+IFERROR(TablaGeneral[[#This Row],[Plantas]]/TablaGeneral[[#This Row],[Rendimiento Acomodo de brotes ]],0)</f>
        <v>48.207999999999998</v>
      </c>
      <c r="AK76">
        <f>+IFERROR(TablaGeneral[[#This Row],[Plantas]]/TablaGeneral[[#This Row],[Rendimiento Desniete, deshoje ]],0)</f>
        <v>12.052</v>
      </c>
      <c r="AL76">
        <f>+IFERROR(TablaGeneral[[#This Row],[Plantas]]/TablaGeneral[[#This Row],[Rendimiento Desbrote con criterio de Poda]],0)</f>
        <v>24.103999999999999</v>
      </c>
      <c r="AM76">
        <f>+IFERROR(TablaGeneral[[#This Row],[Plantas]]/TablaGeneral[[#This Row],[Rendimiento Raleo de Racimos]],0)</f>
        <v>120.52</v>
      </c>
      <c r="AN76">
        <f t="shared" si="106"/>
        <v>0.14389812032184848</v>
      </c>
      <c r="AR76">
        <f t="shared" si="86"/>
        <v>1.5934632572652512</v>
      </c>
      <c r="AS76">
        <f t="shared" si="87"/>
        <v>5.7083538898844148</v>
      </c>
      <c r="AT76">
        <f t="shared" si="88"/>
        <v>61.17766497461929</v>
      </c>
      <c r="AU76">
        <f t="shared" si="89"/>
        <v>13.114254624591947</v>
      </c>
      <c r="AV76">
        <f t="shared" si="90"/>
        <v>9.3950732772061123</v>
      </c>
      <c r="AW76">
        <f t="shared" si="91"/>
        <v>0.7531855828615438</v>
      </c>
      <c r="AX76">
        <f t="shared" si="92"/>
        <v>16.253101736972706</v>
      </c>
      <c r="AY76">
        <f t="shared" si="93"/>
        <v>28.018784581764077</v>
      </c>
      <c r="BA76">
        <f t="shared" si="94"/>
        <v>11.258142390531928</v>
      </c>
      <c r="BC76">
        <f t="shared" si="95"/>
        <v>3.9641346463789278</v>
      </c>
      <c r="BD76">
        <f t="shared" si="96"/>
        <v>1.2685234206346618</v>
      </c>
      <c r="BE76">
        <f t="shared" si="97"/>
        <v>34.434285714285714</v>
      </c>
      <c r="BF76">
        <f t="shared" si="98"/>
        <v>3.6866415833103914</v>
      </c>
      <c r="BG76">
        <f t="shared" si="99"/>
        <v>11.33740345992117</v>
      </c>
      <c r="BH76">
        <f t="shared" si="100"/>
        <v>9.5348101265822791</v>
      </c>
      <c r="BI76">
        <f t="shared" si="101"/>
        <v>6.6993890948709538</v>
      </c>
      <c r="BJ76">
        <f t="shared" si="102"/>
        <v>18.235021772482849</v>
      </c>
      <c r="BK76">
        <f t="shared" si="103"/>
        <v>1.2686315789473683</v>
      </c>
      <c r="BL76">
        <f t="shared" si="104"/>
        <v>9.2352490421455933</v>
      </c>
      <c r="BM76">
        <f t="shared" si="105"/>
        <v>4.1231611358193634</v>
      </c>
      <c r="BN76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273.01428250045115</v>
      </c>
      <c r="BO76" s="1">
        <f>+TablaGeneral[[#This Row],[Combustible]]/100</f>
        <v>2.7301428250045117</v>
      </c>
      <c r="BP76" s="1">
        <f>+TablaGeneral[[#This Row],[Combustible]]/150</f>
        <v>1.8200952166696742</v>
      </c>
      <c r="BQ76" s="1">
        <f>+TablaGeneral[[#This Row],[Combustible]]/200</f>
        <v>1.3650714125022558</v>
      </c>
      <c r="BR76">
        <f t="shared" si="107"/>
        <v>1.8766739333540954</v>
      </c>
      <c r="BS76">
        <f t="shared" si="108"/>
        <v>3.7530556636823666</v>
      </c>
      <c r="BT76">
        <f t="shared" si="109"/>
        <v>3.7530556636823666</v>
      </c>
      <c r="BV76">
        <f t="shared" si="110"/>
        <v>2.8147915286265839</v>
      </c>
      <c r="CI76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16.980525394053792</v>
      </c>
      <c r="CJ76" s="59">
        <f>+TablaGeneral[[#This Row],[Tracto elevador]]+TablaGeneral[[#This Row],[Tractor con uñas]]+TablaGeneral[[#This Row],[Tractor con acoplado]]</f>
        <v>10.320902855991317</v>
      </c>
      <c r="CK76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0</v>
      </c>
      <c r="CL76" s="60">
        <f>+SUM(BR76:BV76)+TablaGeneral[[#This Row],[Cosecha DOV]]+TablaGeneral[[#This Row],[Corte DOV]]</f>
        <v>26.984947302831937</v>
      </c>
      <c r="CM76" s="60">
        <f>+SUM(TablaGeneral[[#This Row],[Colocación de malla]:[Descarga y carga de bines con Autoelevador]])</f>
        <v>0</v>
      </c>
      <c r="CN76" s="65">
        <f t="shared" si="112"/>
        <v>10.799283154121865</v>
      </c>
      <c r="CO76" s="65">
        <f t="shared" si="111"/>
        <v>3.9880873593646591</v>
      </c>
      <c r="CP76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76" t="str">
        <f>+TablaGeneral[[#This Row],[Variedad]]&amp;" "&amp;TablaGeneral[[#This Row],[Año de plantación]]</f>
        <v>Selma 2019</v>
      </c>
      <c r="CR76" t="str">
        <f>+IF(TablaGeneral[[#This Row],[Finca]]="El Espejo I","El Espejo I y II",IF(TablaGeneral[[#This Row],[Finca]]="El Espejo II","El Espejo I y II",TablaGeneral[[#This Row],[Finca]]))</f>
        <v>El Espejo I y II</v>
      </c>
    </row>
    <row r="77" spans="1:96">
      <c r="A77" t="s">
        <v>14</v>
      </c>
      <c r="B77">
        <v>2</v>
      </c>
      <c r="C77">
        <v>5.54</v>
      </c>
      <c r="D77" t="s">
        <v>5</v>
      </c>
      <c r="E77" s="3">
        <v>35000</v>
      </c>
      <c r="F77" s="2">
        <f>+TablaGeneral[[#This Row],[Has]]*TablaGeneral[[#This Row],[Kg x Has]]</f>
        <v>193900</v>
      </c>
      <c r="G77" s="2">
        <f>+TablaGeneral[[#This Row],[Kg 2026]]/4</f>
        <v>48475</v>
      </c>
      <c r="H77">
        <v>12052</v>
      </c>
      <c r="I77">
        <v>2019</v>
      </c>
      <c r="J77" t="s">
        <v>161</v>
      </c>
      <c r="K77">
        <f>10000/IF(LEN(TablaGeneral[[#This Row],[Marco de plantación]])&gt;3,(MID(TablaGeneral[[#This Row],[Marco de plantación]],1,3)*MID(TablaGeneral[[#This Row],[Marco de plantación]],5,3)),(3*2))</f>
        <v>2222.2222222222222</v>
      </c>
      <c r="M77">
        <f>+TablaGeneral[[#This Row],[Plantas x Has]]*TablaGeneral[[#This Row],[N° de Guías x planta]]</f>
        <v>0</v>
      </c>
      <c r="O77">
        <f>+TablaGeneral[[#This Row],[N° de Guías x planta]]*TablaGeneral[[#This Row],[N° de Yemas x Guias]]</f>
        <v>0</v>
      </c>
      <c r="Q77">
        <f>+TablaGeneral[[#This Row],[N° de Yemas x Planta]]*TablaGeneral[[#This Row],[% de Brotación]]</f>
        <v>0</v>
      </c>
      <c r="T77">
        <f>+TablaGeneral[[#This Row],[N° de Brotes x Planta]]*TablaGeneral[[#This Row],[% de Fertilidad]]*TablaGeneral[[#This Row],[Cantidad de Racimos x Brote]]</f>
        <v>0</v>
      </c>
      <c r="V77">
        <f>+TablaGeneral[[#This Row],[Cantidad de Racimos x Planta]]*TablaGeneral[[#This Row],[Peso del Racimo]]</f>
        <v>0</v>
      </c>
      <c r="W77">
        <f>+TablaGeneral[[#This Row],[Plantas]]*TablaGeneral[[#This Row],[Kg x Planta]]</f>
        <v>0</v>
      </c>
      <c r="X77">
        <f>+TablaGeneral[[#This Row],[Kg x Cuartel]]/TablaGeneral[[#This Row],[Has]]</f>
        <v>0</v>
      </c>
      <c r="Y77" t="s">
        <v>162</v>
      </c>
      <c r="Z77">
        <v>120</v>
      </c>
      <c r="AA77">
        <f>+TablaGeneral[[#This Row],[Rendimiento Poda]]</f>
        <v>120</v>
      </c>
      <c r="AB77">
        <v>130</v>
      </c>
      <c r="AC77">
        <v>250</v>
      </c>
      <c r="AD77">
        <v>1000</v>
      </c>
      <c r="AE77">
        <v>500</v>
      </c>
      <c r="AF77">
        <v>100</v>
      </c>
      <c r="AG77">
        <f>+IFERROR(TablaGeneral[[#This Row],[Plantas]]/TablaGeneral[[#This Row],[Rendimiento Poda]],0)</f>
        <v>100.43333333333334</v>
      </c>
      <c r="AH77">
        <f>+TablaGeneral[[#This Row],[Plantas]]/TablaGeneral[[#This Row],[Rendimiento Atada]]</f>
        <v>100.43333333333334</v>
      </c>
      <c r="AI77">
        <f>+IFERROR(TablaGeneral[[#This Row],[Plantas]]/TablaGeneral[[#This Row],[Rendimiento Desbrote de troncos]],0)</f>
        <v>92.707692307692312</v>
      </c>
      <c r="AJ77" s="2">
        <f>+IFERROR(TablaGeneral[[#This Row],[Plantas]]/TablaGeneral[[#This Row],[Rendimiento Acomodo de brotes ]],0)</f>
        <v>48.207999999999998</v>
      </c>
      <c r="AK77">
        <f>+IFERROR(TablaGeneral[[#This Row],[Plantas]]/TablaGeneral[[#This Row],[Rendimiento Desniete, deshoje ]],0)</f>
        <v>12.052</v>
      </c>
      <c r="AL77">
        <f>+IFERROR(TablaGeneral[[#This Row],[Plantas]]/TablaGeneral[[#This Row],[Rendimiento Desbrote con criterio de Poda]],0)</f>
        <v>24.103999999999999</v>
      </c>
      <c r="AM77">
        <f>+IFERROR(TablaGeneral[[#This Row],[Plantas]]/TablaGeneral[[#This Row],[Rendimiento Raleo de Racimos]],0)</f>
        <v>120.52</v>
      </c>
      <c r="AN77">
        <f t="shared" si="106"/>
        <v>0.14389812032184848</v>
      </c>
      <c r="AR77">
        <f t="shared" si="86"/>
        <v>1.5934632572652512</v>
      </c>
      <c r="AS77">
        <f t="shared" si="87"/>
        <v>5.7083538898844148</v>
      </c>
      <c r="AT77">
        <f t="shared" si="88"/>
        <v>61.17766497461929</v>
      </c>
      <c r="AU77">
        <f t="shared" si="89"/>
        <v>13.114254624591947</v>
      </c>
      <c r="AV77">
        <f t="shared" si="90"/>
        <v>9.3950732772061123</v>
      </c>
      <c r="AW77">
        <f t="shared" si="91"/>
        <v>0.7531855828615438</v>
      </c>
      <c r="AX77">
        <f t="shared" si="92"/>
        <v>16.253101736972706</v>
      </c>
      <c r="AY77">
        <f t="shared" si="93"/>
        <v>28.018784581764077</v>
      </c>
      <c r="BA77">
        <f t="shared" si="94"/>
        <v>11.258142390531928</v>
      </c>
      <c r="BC77">
        <f t="shared" si="95"/>
        <v>3.9641346463789278</v>
      </c>
      <c r="BD77">
        <f t="shared" si="96"/>
        <v>1.2685234206346618</v>
      </c>
      <c r="BE77">
        <f t="shared" si="97"/>
        <v>34.434285714285714</v>
      </c>
      <c r="BF77">
        <f t="shared" si="98"/>
        <v>3.6866415833103914</v>
      </c>
      <c r="BG77">
        <f t="shared" si="99"/>
        <v>11.33740345992117</v>
      </c>
      <c r="BH77">
        <f t="shared" si="100"/>
        <v>9.5348101265822791</v>
      </c>
      <c r="BI77">
        <f t="shared" si="101"/>
        <v>6.6993890948709538</v>
      </c>
      <c r="BJ77">
        <f t="shared" si="102"/>
        <v>18.235021772482849</v>
      </c>
      <c r="BK77">
        <f t="shared" si="103"/>
        <v>1.2686315789473683</v>
      </c>
      <c r="BL77">
        <f t="shared" si="104"/>
        <v>9.2352490421455933</v>
      </c>
      <c r="BM77">
        <f t="shared" si="105"/>
        <v>4.1231611358193634</v>
      </c>
      <c r="BN77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273.01428250045115</v>
      </c>
      <c r="BO77" s="1">
        <f>+TablaGeneral[[#This Row],[Combustible]]/100</f>
        <v>2.7301428250045117</v>
      </c>
      <c r="BP77" s="1">
        <f>+TablaGeneral[[#This Row],[Combustible]]/150</f>
        <v>1.8200952166696742</v>
      </c>
      <c r="BQ77" s="1">
        <f>+TablaGeneral[[#This Row],[Combustible]]/200</f>
        <v>1.3650714125022558</v>
      </c>
      <c r="BR77">
        <f t="shared" si="107"/>
        <v>1.8766739333540954</v>
      </c>
      <c r="BS77">
        <f t="shared" si="108"/>
        <v>3.7530556636823666</v>
      </c>
      <c r="BT77">
        <f t="shared" si="109"/>
        <v>3.7530556636823666</v>
      </c>
      <c r="BV77">
        <f t="shared" si="110"/>
        <v>2.8147915286265839</v>
      </c>
      <c r="CI77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16.980525394053792</v>
      </c>
      <c r="CJ77" s="59">
        <f>+TablaGeneral[[#This Row],[Tracto elevador]]+TablaGeneral[[#This Row],[Tractor con uñas]]+TablaGeneral[[#This Row],[Tractor con acoplado]]</f>
        <v>10.320902855991317</v>
      </c>
      <c r="CK77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0</v>
      </c>
      <c r="CL77" s="60">
        <f>+SUM(BR77:BV77)+TablaGeneral[[#This Row],[Cosecha DOV]]+TablaGeneral[[#This Row],[Corte DOV]]</f>
        <v>26.984947302831937</v>
      </c>
      <c r="CM77" s="60">
        <f>+SUM(TablaGeneral[[#This Row],[Colocación de malla]:[Descarga y carga de bines con Autoelevador]])</f>
        <v>0</v>
      </c>
      <c r="CN77" s="65">
        <f t="shared" si="112"/>
        <v>10.799283154121865</v>
      </c>
      <c r="CO77" s="65">
        <f t="shared" si="111"/>
        <v>3.9880873593646591</v>
      </c>
      <c r="CP77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77" t="str">
        <f>+TablaGeneral[[#This Row],[Variedad]]&amp;" "&amp;TablaGeneral[[#This Row],[Año de plantación]]</f>
        <v>Selma 2019</v>
      </c>
      <c r="CR77" t="str">
        <f>+IF(TablaGeneral[[#This Row],[Finca]]="El Espejo I","El Espejo I y II",IF(TablaGeneral[[#This Row],[Finca]]="El Espejo II","El Espejo I y II",TablaGeneral[[#This Row],[Finca]]))</f>
        <v>El Espejo I y II</v>
      </c>
    </row>
    <row r="78" spans="1:96">
      <c r="A78" t="s">
        <v>14</v>
      </c>
      <c r="B78">
        <v>3</v>
      </c>
      <c r="C78">
        <v>5.54</v>
      </c>
      <c r="D78" t="s">
        <v>5</v>
      </c>
      <c r="E78" s="3">
        <v>30000</v>
      </c>
      <c r="F78" s="2">
        <f>+TablaGeneral[[#This Row],[Has]]*TablaGeneral[[#This Row],[Kg x Has]]</f>
        <v>166200</v>
      </c>
      <c r="G78" s="2">
        <f>+TablaGeneral[[#This Row],[Kg 2026]]/4</f>
        <v>41550</v>
      </c>
      <c r="H78">
        <v>12052</v>
      </c>
      <c r="I78">
        <v>2019</v>
      </c>
      <c r="J78" t="s">
        <v>161</v>
      </c>
      <c r="K78">
        <f>10000/IF(LEN(TablaGeneral[[#This Row],[Marco de plantación]])&gt;3,(MID(TablaGeneral[[#This Row],[Marco de plantación]],1,3)*MID(TablaGeneral[[#This Row],[Marco de plantación]],5,3)),(3*2))</f>
        <v>2222.2222222222222</v>
      </c>
      <c r="M78">
        <f>+TablaGeneral[[#This Row],[Plantas x Has]]*TablaGeneral[[#This Row],[N° de Guías x planta]]</f>
        <v>0</v>
      </c>
      <c r="O78">
        <f>+TablaGeneral[[#This Row],[N° de Guías x planta]]*TablaGeneral[[#This Row],[N° de Yemas x Guias]]</f>
        <v>0</v>
      </c>
      <c r="Q78">
        <f>+TablaGeneral[[#This Row],[N° de Yemas x Planta]]*TablaGeneral[[#This Row],[% de Brotación]]</f>
        <v>0</v>
      </c>
      <c r="T78">
        <f>+TablaGeneral[[#This Row],[N° de Brotes x Planta]]*TablaGeneral[[#This Row],[% de Fertilidad]]*TablaGeneral[[#This Row],[Cantidad de Racimos x Brote]]</f>
        <v>0</v>
      </c>
      <c r="V78">
        <f>+TablaGeneral[[#This Row],[Cantidad de Racimos x Planta]]*TablaGeneral[[#This Row],[Peso del Racimo]]</f>
        <v>0</v>
      </c>
      <c r="W78">
        <f>+TablaGeneral[[#This Row],[Plantas]]*TablaGeneral[[#This Row],[Kg x Planta]]</f>
        <v>0</v>
      </c>
      <c r="X78">
        <f>+TablaGeneral[[#This Row],[Kg x Cuartel]]/TablaGeneral[[#This Row],[Has]]</f>
        <v>0</v>
      </c>
      <c r="Y78" t="s">
        <v>162</v>
      </c>
      <c r="Z78">
        <v>120</v>
      </c>
      <c r="AA78">
        <f>+TablaGeneral[[#This Row],[Rendimiento Poda]]</f>
        <v>120</v>
      </c>
      <c r="AB78">
        <v>130</v>
      </c>
      <c r="AC78">
        <v>250</v>
      </c>
      <c r="AD78">
        <v>1000</v>
      </c>
      <c r="AE78">
        <v>500</v>
      </c>
      <c r="AF78">
        <v>100</v>
      </c>
      <c r="AG78">
        <f>+IFERROR(TablaGeneral[[#This Row],[Plantas]]/TablaGeneral[[#This Row],[Rendimiento Poda]],0)</f>
        <v>100.43333333333334</v>
      </c>
      <c r="AH78">
        <f>+TablaGeneral[[#This Row],[Plantas]]/TablaGeneral[[#This Row],[Rendimiento Atada]]</f>
        <v>100.43333333333334</v>
      </c>
      <c r="AI78">
        <f>+IFERROR(TablaGeneral[[#This Row],[Plantas]]/TablaGeneral[[#This Row],[Rendimiento Desbrote de troncos]],0)</f>
        <v>92.707692307692312</v>
      </c>
      <c r="AJ78" s="2">
        <f>+IFERROR(TablaGeneral[[#This Row],[Plantas]]/TablaGeneral[[#This Row],[Rendimiento Acomodo de brotes ]],0)</f>
        <v>48.207999999999998</v>
      </c>
      <c r="AK78">
        <f>+IFERROR(TablaGeneral[[#This Row],[Plantas]]/TablaGeneral[[#This Row],[Rendimiento Desniete, deshoje ]],0)</f>
        <v>12.052</v>
      </c>
      <c r="AL78">
        <f>+IFERROR(TablaGeneral[[#This Row],[Plantas]]/TablaGeneral[[#This Row],[Rendimiento Desbrote con criterio de Poda]],0)</f>
        <v>24.103999999999999</v>
      </c>
      <c r="AM78">
        <f>+IFERROR(TablaGeneral[[#This Row],[Plantas]]/TablaGeneral[[#This Row],[Rendimiento Raleo de Racimos]],0)</f>
        <v>120.52</v>
      </c>
      <c r="AN78">
        <f t="shared" si="106"/>
        <v>0.14389812032184848</v>
      </c>
      <c r="AR78">
        <f t="shared" si="86"/>
        <v>1.5934632572652512</v>
      </c>
      <c r="AS78">
        <f t="shared" si="87"/>
        <v>5.7083538898844148</v>
      </c>
      <c r="AT78">
        <f t="shared" si="88"/>
        <v>61.17766497461929</v>
      </c>
      <c r="AU78">
        <f t="shared" si="89"/>
        <v>13.114254624591947</v>
      </c>
      <c r="AV78">
        <f t="shared" si="90"/>
        <v>9.3950732772061123</v>
      </c>
      <c r="AW78">
        <f t="shared" si="91"/>
        <v>0.7531855828615438</v>
      </c>
      <c r="AX78">
        <f t="shared" si="92"/>
        <v>16.253101736972706</v>
      </c>
      <c r="AY78">
        <f t="shared" si="93"/>
        <v>28.018784581764077</v>
      </c>
      <c r="BA78">
        <f t="shared" si="94"/>
        <v>11.258142390531928</v>
      </c>
      <c r="BC78">
        <f t="shared" si="95"/>
        <v>3.9641346463789278</v>
      </c>
      <c r="BD78">
        <f t="shared" si="96"/>
        <v>1.2685234206346618</v>
      </c>
      <c r="BE78">
        <f t="shared" si="97"/>
        <v>34.434285714285714</v>
      </c>
      <c r="BF78">
        <f t="shared" si="98"/>
        <v>3.6866415833103914</v>
      </c>
      <c r="BG78">
        <f t="shared" si="99"/>
        <v>11.33740345992117</v>
      </c>
      <c r="BH78">
        <f t="shared" si="100"/>
        <v>9.5348101265822791</v>
      </c>
      <c r="BI78">
        <f t="shared" si="101"/>
        <v>6.6993890948709538</v>
      </c>
      <c r="BJ78">
        <f t="shared" si="102"/>
        <v>18.235021772482849</v>
      </c>
      <c r="BK78">
        <f t="shared" si="103"/>
        <v>1.2686315789473683</v>
      </c>
      <c r="BL78">
        <f t="shared" si="104"/>
        <v>9.2352490421455933</v>
      </c>
      <c r="BM78">
        <f t="shared" si="105"/>
        <v>4.1231611358193634</v>
      </c>
      <c r="BN78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273.01428250045115</v>
      </c>
      <c r="BO78" s="1">
        <f>+TablaGeneral[[#This Row],[Combustible]]/100</f>
        <v>2.7301428250045117</v>
      </c>
      <c r="BP78" s="1">
        <f>+TablaGeneral[[#This Row],[Combustible]]/150</f>
        <v>1.8200952166696742</v>
      </c>
      <c r="BQ78" s="1">
        <f>+TablaGeneral[[#This Row],[Combustible]]/200</f>
        <v>1.3650714125022558</v>
      </c>
      <c r="BR78">
        <f t="shared" si="107"/>
        <v>1.8766739333540954</v>
      </c>
      <c r="BS78">
        <f t="shared" si="108"/>
        <v>3.7530556636823666</v>
      </c>
      <c r="BT78">
        <f t="shared" si="109"/>
        <v>3.7530556636823666</v>
      </c>
      <c r="BV78">
        <f t="shared" si="110"/>
        <v>2.8147915286265839</v>
      </c>
      <c r="CI78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16.980525394053792</v>
      </c>
      <c r="CJ78" s="59">
        <f>+TablaGeneral[[#This Row],[Tracto elevador]]+TablaGeneral[[#This Row],[Tractor con uñas]]+TablaGeneral[[#This Row],[Tractor con acoplado]]</f>
        <v>10.320902855991317</v>
      </c>
      <c r="CK78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0</v>
      </c>
      <c r="CL78" s="60">
        <f>+SUM(BR78:BV78)+TablaGeneral[[#This Row],[Cosecha DOV]]+TablaGeneral[[#This Row],[Corte DOV]]</f>
        <v>26.984947302831937</v>
      </c>
      <c r="CM78" s="60">
        <f>+SUM(TablaGeneral[[#This Row],[Colocación de malla]:[Descarga y carga de bines con Autoelevador]])</f>
        <v>0</v>
      </c>
      <c r="CN78" s="65">
        <f t="shared" si="112"/>
        <v>10.799283154121865</v>
      </c>
      <c r="CO78" s="65">
        <f t="shared" si="111"/>
        <v>3.9880873593646591</v>
      </c>
      <c r="CP78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78" t="str">
        <f>+TablaGeneral[[#This Row],[Variedad]]&amp;" "&amp;TablaGeneral[[#This Row],[Año de plantación]]</f>
        <v>Selma 2019</v>
      </c>
      <c r="CR78" t="str">
        <f>+IF(TablaGeneral[[#This Row],[Finca]]="El Espejo I","El Espejo I y II",IF(TablaGeneral[[#This Row],[Finca]]="El Espejo II","El Espejo I y II",TablaGeneral[[#This Row],[Finca]]))</f>
        <v>El Espejo I y II</v>
      </c>
    </row>
    <row r="79" spans="1:96">
      <c r="A79" t="s">
        <v>14</v>
      </c>
      <c r="B79">
        <v>4</v>
      </c>
      <c r="C79">
        <v>5.54</v>
      </c>
      <c r="D79" t="s">
        <v>5</v>
      </c>
      <c r="E79" s="3">
        <v>25000</v>
      </c>
      <c r="F79" s="2">
        <f>+TablaGeneral[[#This Row],[Has]]*TablaGeneral[[#This Row],[Kg x Has]]</f>
        <v>138500</v>
      </c>
      <c r="G79" s="2">
        <f>+TablaGeneral[[#This Row],[Kg 2026]]/4</f>
        <v>34625</v>
      </c>
      <c r="H79">
        <v>12052</v>
      </c>
      <c r="I79">
        <v>2019</v>
      </c>
      <c r="J79" t="s">
        <v>161</v>
      </c>
      <c r="K79">
        <f>10000/IF(LEN(TablaGeneral[[#This Row],[Marco de plantación]])&gt;3,(MID(TablaGeneral[[#This Row],[Marco de plantación]],1,3)*MID(TablaGeneral[[#This Row],[Marco de plantación]],5,3)),(3*2))</f>
        <v>2222.2222222222222</v>
      </c>
      <c r="M79">
        <f>+TablaGeneral[[#This Row],[Plantas x Has]]*TablaGeneral[[#This Row],[N° de Guías x planta]]</f>
        <v>0</v>
      </c>
      <c r="O79">
        <f>+TablaGeneral[[#This Row],[N° de Guías x planta]]*TablaGeneral[[#This Row],[N° de Yemas x Guias]]</f>
        <v>0</v>
      </c>
      <c r="Q79">
        <f>+TablaGeneral[[#This Row],[N° de Yemas x Planta]]*TablaGeneral[[#This Row],[% de Brotación]]</f>
        <v>0</v>
      </c>
      <c r="T79">
        <f>+TablaGeneral[[#This Row],[N° de Brotes x Planta]]*TablaGeneral[[#This Row],[% de Fertilidad]]*TablaGeneral[[#This Row],[Cantidad de Racimos x Brote]]</f>
        <v>0</v>
      </c>
      <c r="V79">
        <f>+TablaGeneral[[#This Row],[Cantidad de Racimos x Planta]]*TablaGeneral[[#This Row],[Peso del Racimo]]</f>
        <v>0</v>
      </c>
      <c r="W79">
        <f>+TablaGeneral[[#This Row],[Plantas]]*TablaGeneral[[#This Row],[Kg x Planta]]</f>
        <v>0</v>
      </c>
      <c r="X79">
        <f>+TablaGeneral[[#This Row],[Kg x Cuartel]]/TablaGeneral[[#This Row],[Has]]</f>
        <v>0</v>
      </c>
      <c r="Y79" t="s">
        <v>162</v>
      </c>
      <c r="Z79">
        <v>120</v>
      </c>
      <c r="AA79">
        <f>+TablaGeneral[[#This Row],[Rendimiento Poda]]</f>
        <v>120</v>
      </c>
      <c r="AB79">
        <v>130</v>
      </c>
      <c r="AC79">
        <v>250</v>
      </c>
      <c r="AD79">
        <v>1000</v>
      </c>
      <c r="AE79">
        <v>500</v>
      </c>
      <c r="AF79">
        <v>100</v>
      </c>
      <c r="AG79">
        <f>+IFERROR(TablaGeneral[[#This Row],[Plantas]]/TablaGeneral[[#This Row],[Rendimiento Poda]],0)</f>
        <v>100.43333333333334</v>
      </c>
      <c r="AH79">
        <f>+TablaGeneral[[#This Row],[Plantas]]/TablaGeneral[[#This Row],[Rendimiento Atada]]</f>
        <v>100.43333333333334</v>
      </c>
      <c r="AI79">
        <f>+IFERROR(TablaGeneral[[#This Row],[Plantas]]/TablaGeneral[[#This Row],[Rendimiento Desbrote de troncos]],0)</f>
        <v>92.707692307692312</v>
      </c>
      <c r="AJ79" s="2">
        <f>+IFERROR(TablaGeneral[[#This Row],[Plantas]]/TablaGeneral[[#This Row],[Rendimiento Acomodo de brotes ]],0)</f>
        <v>48.207999999999998</v>
      </c>
      <c r="AK79">
        <f>+IFERROR(TablaGeneral[[#This Row],[Plantas]]/TablaGeneral[[#This Row],[Rendimiento Desniete, deshoje ]],0)</f>
        <v>12.052</v>
      </c>
      <c r="AL79">
        <f>+IFERROR(TablaGeneral[[#This Row],[Plantas]]/TablaGeneral[[#This Row],[Rendimiento Desbrote con criterio de Poda]],0)</f>
        <v>24.103999999999999</v>
      </c>
      <c r="AM79">
        <f>+IFERROR(TablaGeneral[[#This Row],[Plantas]]/TablaGeneral[[#This Row],[Rendimiento Raleo de Racimos]],0)</f>
        <v>120.52</v>
      </c>
      <c r="AN79">
        <f t="shared" si="106"/>
        <v>0.14389812032184848</v>
      </c>
      <c r="AR79">
        <f t="shared" si="86"/>
        <v>1.5934632572652512</v>
      </c>
      <c r="AS79">
        <f t="shared" si="87"/>
        <v>5.7083538898844148</v>
      </c>
      <c r="AT79">
        <f t="shared" si="88"/>
        <v>61.17766497461929</v>
      </c>
      <c r="AU79">
        <f t="shared" si="89"/>
        <v>13.114254624591947</v>
      </c>
      <c r="AV79">
        <f t="shared" si="90"/>
        <v>9.3950732772061123</v>
      </c>
      <c r="AW79">
        <f t="shared" si="91"/>
        <v>0.7531855828615438</v>
      </c>
      <c r="AX79">
        <f t="shared" si="92"/>
        <v>16.253101736972706</v>
      </c>
      <c r="AY79">
        <f t="shared" si="93"/>
        <v>28.018784581764077</v>
      </c>
      <c r="BA79">
        <f t="shared" si="94"/>
        <v>11.258142390531928</v>
      </c>
      <c r="BC79">
        <f t="shared" si="95"/>
        <v>3.9641346463789278</v>
      </c>
      <c r="BD79">
        <f t="shared" si="96"/>
        <v>1.2685234206346618</v>
      </c>
      <c r="BE79">
        <f t="shared" si="97"/>
        <v>34.434285714285714</v>
      </c>
      <c r="BF79">
        <f t="shared" si="98"/>
        <v>3.6866415833103914</v>
      </c>
      <c r="BG79">
        <f t="shared" si="99"/>
        <v>11.33740345992117</v>
      </c>
      <c r="BH79">
        <f t="shared" si="100"/>
        <v>9.5348101265822791</v>
      </c>
      <c r="BI79">
        <f t="shared" si="101"/>
        <v>6.6993890948709538</v>
      </c>
      <c r="BJ79">
        <f t="shared" si="102"/>
        <v>18.235021772482849</v>
      </c>
      <c r="BK79">
        <f t="shared" si="103"/>
        <v>1.2686315789473683</v>
      </c>
      <c r="BL79">
        <f t="shared" si="104"/>
        <v>9.2352490421455933</v>
      </c>
      <c r="BM79">
        <f t="shared" si="105"/>
        <v>4.1231611358193634</v>
      </c>
      <c r="BN79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273.01428250045115</v>
      </c>
      <c r="BO79" s="1">
        <f>+TablaGeneral[[#This Row],[Combustible]]/100</f>
        <v>2.7301428250045117</v>
      </c>
      <c r="BP79" s="1">
        <f>+TablaGeneral[[#This Row],[Combustible]]/150</f>
        <v>1.8200952166696742</v>
      </c>
      <c r="BQ79" s="1">
        <f>+TablaGeneral[[#This Row],[Combustible]]/200</f>
        <v>1.3650714125022558</v>
      </c>
      <c r="BR79">
        <f t="shared" si="107"/>
        <v>1.8766739333540954</v>
      </c>
      <c r="BS79">
        <f t="shared" si="108"/>
        <v>3.7530556636823666</v>
      </c>
      <c r="BT79">
        <f t="shared" si="109"/>
        <v>3.7530556636823666</v>
      </c>
      <c r="BV79">
        <f t="shared" si="110"/>
        <v>2.8147915286265839</v>
      </c>
      <c r="CI79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16.980525394053792</v>
      </c>
      <c r="CJ79" s="59">
        <f>+TablaGeneral[[#This Row],[Tracto elevador]]+TablaGeneral[[#This Row],[Tractor con uñas]]+TablaGeneral[[#This Row],[Tractor con acoplado]]</f>
        <v>10.320902855991317</v>
      </c>
      <c r="CK79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0</v>
      </c>
      <c r="CL79" s="60">
        <f>+SUM(BR79:BV79)+TablaGeneral[[#This Row],[Cosecha DOV]]+TablaGeneral[[#This Row],[Corte DOV]]</f>
        <v>26.984947302831937</v>
      </c>
      <c r="CM79" s="60">
        <f>+SUM(TablaGeneral[[#This Row],[Colocación de malla]:[Descarga y carga de bines con Autoelevador]])</f>
        <v>0</v>
      </c>
      <c r="CN79" s="65">
        <f t="shared" si="112"/>
        <v>10.799283154121865</v>
      </c>
      <c r="CO79" s="65">
        <f t="shared" si="111"/>
        <v>3.9880873593646591</v>
      </c>
      <c r="CP79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79" t="str">
        <f>+TablaGeneral[[#This Row],[Variedad]]&amp;" "&amp;TablaGeneral[[#This Row],[Año de plantación]]</f>
        <v>Selma 2019</v>
      </c>
      <c r="CR79" t="str">
        <f>+IF(TablaGeneral[[#This Row],[Finca]]="El Espejo I","El Espejo I y II",IF(TablaGeneral[[#This Row],[Finca]]="El Espejo II","El Espejo I y II",TablaGeneral[[#This Row],[Finca]]))</f>
        <v>El Espejo I y II</v>
      </c>
    </row>
    <row r="80" spans="1:96">
      <c r="A80" t="s">
        <v>14</v>
      </c>
      <c r="B80">
        <v>5</v>
      </c>
      <c r="C80">
        <v>5.54</v>
      </c>
      <c r="D80" t="s">
        <v>5</v>
      </c>
      <c r="E80" s="3">
        <v>25000</v>
      </c>
      <c r="F80" s="2">
        <f>+TablaGeneral[[#This Row],[Has]]*TablaGeneral[[#This Row],[Kg x Has]]</f>
        <v>138500</v>
      </c>
      <c r="G80" s="2">
        <f>+TablaGeneral[[#This Row],[Kg 2026]]/4</f>
        <v>34625</v>
      </c>
      <c r="H80">
        <v>12052</v>
      </c>
      <c r="I80">
        <v>2019</v>
      </c>
      <c r="J80" t="s">
        <v>161</v>
      </c>
      <c r="K80">
        <f>10000/IF(LEN(TablaGeneral[[#This Row],[Marco de plantación]])&gt;3,(MID(TablaGeneral[[#This Row],[Marco de plantación]],1,3)*MID(TablaGeneral[[#This Row],[Marco de plantación]],5,3)),(3*2))</f>
        <v>2222.2222222222222</v>
      </c>
      <c r="M80">
        <f>+TablaGeneral[[#This Row],[Plantas x Has]]*TablaGeneral[[#This Row],[N° de Guías x planta]]</f>
        <v>0</v>
      </c>
      <c r="O80">
        <f>+TablaGeneral[[#This Row],[N° de Guías x planta]]*TablaGeneral[[#This Row],[N° de Yemas x Guias]]</f>
        <v>0</v>
      </c>
      <c r="Q80">
        <f>+TablaGeneral[[#This Row],[N° de Yemas x Planta]]*TablaGeneral[[#This Row],[% de Brotación]]</f>
        <v>0</v>
      </c>
      <c r="T80">
        <f>+TablaGeneral[[#This Row],[N° de Brotes x Planta]]*TablaGeneral[[#This Row],[% de Fertilidad]]*TablaGeneral[[#This Row],[Cantidad de Racimos x Brote]]</f>
        <v>0</v>
      </c>
      <c r="V80">
        <f>+TablaGeneral[[#This Row],[Cantidad de Racimos x Planta]]*TablaGeneral[[#This Row],[Peso del Racimo]]</f>
        <v>0</v>
      </c>
      <c r="W80">
        <f>+TablaGeneral[[#This Row],[Plantas]]*TablaGeneral[[#This Row],[Kg x Planta]]</f>
        <v>0</v>
      </c>
      <c r="X80">
        <f>+TablaGeneral[[#This Row],[Kg x Cuartel]]/TablaGeneral[[#This Row],[Has]]</f>
        <v>0</v>
      </c>
      <c r="Y80" t="s">
        <v>162</v>
      </c>
      <c r="Z80">
        <v>120</v>
      </c>
      <c r="AA80">
        <f>+TablaGeneral[[#This Row],[Rendimiento Poda]]</f>
        <v>120</v>
      </c>
      <c r="AB80">
        <v>130</v>
      </c>
      <c r="AC80">
        <v>250</v>
      </c>
      <c r="AD80">
        <v>1000</v>
      </c>
      <c r="AE80">
        <v>500</v>
      </c>
      <c r="AF80">
        <v>100</v>
      </c>
      <c r="AG80">
        <f>+IFERROR(TablaGeneral[[#This Row],[Plantas]]/TablaGeneral[[#This Row],[Rendimiento Poda]],0)</f>
        <v>100.43333333333334</v>
      </c>
      <c r="AH80">
        <f>+TablaGeneral[[#This Row],[Plantas]]/TablaGeneral[[#This Row],[Rendimiento Atada]]</f>
        <v>100.43333333333334</v>
      </c>
      <c r="AI80">
        <f>+IFERROR(TablaGeneral[[#This Row],[Plantas]]/TablaGeneral[[#This Row],[Rendimiento Desbrote de troncos]],0)</f>
        <v>92.707692307692312</v>
      </c>
      <c r="AJ80" s="2">
        <f>+IFERROR(TablaGeneral[[#This Row],[Plantas]]/TablaGeneral[[#This Row],[Rendimiento Acomodo de brotes ]],0)</f>
        <v>48.207999999999998</v>
      </c>
      <c r="AK80">
        <f>+IFERROR(TablaGeneral[[#This Row],[Plantas]]/TablaGeneral[[#This Row],[Rendimiento Desniete, deshoje ]],0)</f>
        <v>12.052</v>
      </c>
      <c r="AL80">
        <f>+IFERROR(TablaGeneral[[#This Row],[Plantas]]/TablaGeneral[[#This Row],[Rendimiento Desbrote con criterio de Poda]],0)</f>
        <v>24.103999999999999</v>
      </c>
      <c r="AM80">
        <f>+IFERROR(TablaGeneral[[#This Row],[Plantas]]/TablaGeneral[[#This Row],[Rendimiento Raleo de Racimos]],0)</f>
        <v>120.52</v>
      </c>
      <c r="AN80">
        <f t="shared" si="106"/>
        <v>0.14389812032184848</v>
      </c>
      <c r="AR80">
        <f t="shared" si="86"/>
        <v>1.5934632572652512</v>
      </c>
      <c r="AS80">
        <f t="shared" si="87"/>
        <v>5.7083538898844148</v>
      </c>
      <c r="AT80">
        <f t="shared" si="88"/>
        <v>61.17766497461929</v>
      </c>
      <c r="AU80">
        <f t="shared" si="89"/>
        <v>13.114254624591947</v>
      </c>
      <c r="AV80">
        <f t="shared" si="90"/>
        <v>9.3950732772061123</v>
      </c>
      <c r="AW80">
        <f t="shared" si="91"/>
        <v>0.7531855828615438</v>
      </c>
      <c r="AX80">
        <f t="shared" si="92"/>
        <v>16.253101736972706</v>
      </c>
      <c r="AY80">
        <f t="shared" si="93"/>
        <v>28.018784581764077</v>
      </c>
      <c r="BA80">
        <f t="shared" si="94"/>
        <v>11.258142390531928</v>
      </c>
      <c r="BC80">
        <f t="shared" si="95"/>
        <v>3.9641346463789278</v>
      </c>
      <c r="BD80">
        <f t="shared" si="96"/>
        <v>1.2685234206346618</v>
      </c>
      <c r="BE80">
        <f t="shared" si="97"/>
        <v>34.434285714285714</v>
      </c>
      <c r="BF80">
        <f t="shared" si="98"/>
        <v>3.6866415833103914</v>
      </c>
      <c r="BG80">
        <f t="shared" si="99"/>
        <v>11.33740345992117</v>
      </c>
      <c r="BH80">
        <f t="shared" si="100"/>
        <v>9.5348101265822791</v>
      </c>
      <c r="BI80">
        <f t="shared" si="101"/>
        <v>6.6993890948709538</v>
      </c>
      <c r="BJ80">
        <f t="shared" si="102"/>
        <v>18.235021772482849</v>
      </c>
      <c r="BK80">
        <f t="shared" si="103"/>
        <v>1.2686315789473683</v>
      </c>
      <c r="BL80">
        <f t="shared" si="104"/>
        <v>9.2352490421455933</v>
      </c>
      <c r="BM80">
        <f t="shared" si="105"/>
        <v>4.1231611358193634</v>
      </c>
      <c r="BN80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273.01428250045115</v>
      </c>
      <c r="BO80" s="1">
        <f>+TablaGeneral[[#This Row],[Combustible]]/100</f>
        <v>2.7301428250045117</v>
      </c>
      <c r="BP80" s="1">
        <f>+TablaGeneral[[#This Row],[Combustible]]/150</f>
        <v>1.8200952166696742</v>
      </c>
      <c r="BQ80" s="1">
        <f>+TablaGeneral[[#This Row],[Combustible]]/200</f>
        <v>1.3650714125022558</v>
      </c>
      <c r="BR80">
        <f t="shared" si="107"/>
        <v>1.8766739333540954</v>
      </c>
      <c r="BS80">
        <f t="shared" si="108"/>
        <v>3.7530556636823666</v>
      </c>
      <c r="BT80">
        <f t="shared" si="109"/>
        <v>3.7530556636823666</v>
      </c>
      <c r="BV80">
        <f t="shared" si="110"/>
        <v>2.8147915286265839</v>
      </c>
      <c r="CI80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16.980525394053792</v>
      </c>
      <c r="CJ80" s="59">
        <f>+TablaGeneral[[#This Row],[Tracto elevador]]+TablaGeneral[[#This Row],[Tractor con uñas]]+TablaGeneral[[#This Row],[Tractor con acoplado]]</f>
        <v>10.320902855991317</v>
      </c>
      <c r="CK80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0</v>
      </c>
      <c r="CL80" s="60">
        <f>+SUM(BR80:BV80)+TablaGeneral[[#This Row],[Cosecha DOV]]+TablaGeneral[[#This Row],[Corte DOV]]</f>
        <v>26.984947302831937</v>
      </c>
      <c r="CM80" s="60">
        <f>+SUM(TablaGeneral[[#This Row],[Colocación de malla]:[Descarga y carga de bines con Autoelevador]])</f>
        <v>0</v>
      </c>
      <c r="CN80" s="65">
        <f t="shared" si="112"/>
        <v>10.799283154121865</v>
      </c>
      <c r="CO80" s="65">
        <f t="shared" si="111"/>
        <v>3.9880873593646591</v>
      </c>
      <c r="CP80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80" t="str">
        <f>+TablaGeneral[[#This Row],[Variedad]]&amp;" "&amp;TablaGeneral[[#This Row],[Año de plantación]]</f>
        <v>Selma 2019</v>
      </c>
      <c r="CR80" t="str">
        <f>+IF(TablaGeneral[[#This Row],[Finca]]="El Espejo I","El Espejo I y II",IF(TablaGeneral[[#This Row],[Finca]]="El Espejo II","El Espejo I y II",TablaGeneral[[#This Row],[Finca]]))</f>
        <v>El Espejo I y II</v>
      </c>
    </row>
    <row r="81" spans="1:96">
      <c r="A81" t="s">
        <v>14</v>
      </c>
      <c r="B81">
        <v>6</v>
      </c>
      <c r="C81">
        <v>5.54</v>
      </c>
      <c r="D81" t="s">
        <v>5</v>
      </c>
      <c r="E81" s="3">
        <v>25000</v>
      </c>
      <c r="F81" s="2">
        <f>+TablaGeneral[[#This Row],[Has]]*TablaGeneral[[#This Row],[Kg x Has]]</f>
        <v>138500</v>
      </c>
      <c r="G81" s="2">
        <f>+TablaGeneral[[#This Row],[Kg 2026]]/4</f>
        <v>34625</v>
      </c>
      <c r="H81">
        <v>12052</v>
      </c>
      <c r="I81">
        <v>2019</v>
      </c>
      <c r="J81" t="s">
        <v>161</v>
      </c>
      <c r="K81">
        <f>10000/IF(LEN(TablaGeneral[[#This Row],[Marco de plantación]])&gt;3,(MID(TablaGeneral[[#This Row],[Marco de plantación]],1,3)*MID(TablaGeneral[[#This Row],[Marco de plantación]],5,3)),(3*2))</f>
        <v>2222.2222222222222</v>
      </c>
      <c r="M81">
        <f>+TablaGeneral[[#This Row],[Plantas x Has]]*TablaGeneral[[#This Row],[N° de Guías x planta]]</f>
        <v>0</v>
      </c>
      <c r="O81">
        <f>+TablaGeneral[[#This Row],[N° de Guías x planta]]*TablaGeneral[[#This Row],[N° de Yemas x Guias]]</f>
        <v>0</v>
      </c>
      <c r="Q81">
        <f>+TablaGeneral[[#This Row],[N° de Yemas x Planta]]*TablaGeneral[[#This Row],[% de Brotación]]</f>
        <v>0</v>
      </c>
      <c r="T81">
        <f>+TablaGeneral[[#This Row],[N° de Brotes x Planta]]*TablaGeneral[[#This Row],[% de Fertilidad]]*TablaGeneral[[#This Row],[Cantidad de Racimos x Brote]]</f>
        <v>0</v>
      </c>
      <c r="V81">
        <f>+TablaGeneral[[#This Row],[Cantidad de Racimos x Planta]]*TablaGeneral[[#This Row],[Peso del Racimo]]</f>
        <v>0</v>
      </c>
      <c r="W81">
        <f>+TablaGeneral[[#This Row],[Plantas]]*TablaGeneral[[#This Row],[Kg x Planta]]</f>
        <v>0</v>
      </c>
      <c r="X81">
        <f>+TablaGeneral[[#This Row],[Kg x Cuartel]]/TablaGeneral[[#This Row],[Has]]</f>
        <v>0</v>
      </c>
      <c r="Y81" t="s">
        <v>162</v>
      </c>
      <c r="Z81">
        <v>120</v>
      </c>
      <c r="AA81">
        <f>+TablaGeneral[[#This Row],[Rendimiento Poda]]</f>
        <v>120</v>
      </c>
      <c r="AB81">
        <v>130</v>
      </c>
      <c r="AC81">
        <v>250</v>
      </c>
      <c r="AD81">
        <v>1000</v>
      </c>
      <c r="AE81">
        <v>500</v>
      </c>
      <c r="AF81">
        <v>100</v>
      </c>
      <c r="AG81">
        <f>+IFERROR(TablaGeneral[[#This Row],[Plantas]]/TablaGeneral[[#This Row],[Rendimiento Poda]],0)</f>
        <v>100.43333333333334</v>
      </c>
      <c r="AH81">
        <f>+TablaGeneral[[#This Row],[Plantas]]/TablaGeneral[[#This Row],[Rendimiento Atada]]</f>
        <v>100.43333333333334</v>
      </c>
      <c r="AI81">
        <f>+IFERROR(TablaGeneral[[#This Row],[Plantas]]/TablaGeneral[[#This Row],[Rendimiento Desbrote de troncos]],0)</f>
        <v>92.707692307692312</v>
      </c>
      <c r="AJ81" s="2">
        <f>+IFERROR(TablaGeneral[[#This Row],[Plantas]]/TablaGeneral[[#This Row],[Rendimiento Acomodo de brotes ]],0)</f>
        <v>48.207999999999998</v>
      </c>
      <c r="AK81">
        <f>+IFERROR(TablaGeneral[[#This Row],[Plantas]]/TablaGeneral[[#This Row],[Rendimiento Desniete, deshoje ]],0)</f>
        <v>12.052</v>
      </c>
      <c r="AL81">
        <f>+IFERROR(TablaGeneral[[#This Row],[Plantas]]/TablaGeneral[[#This Row],[Rendimiento Desbrote con criterio de Poda]],0)</f>
        <v>24.103999999999999</v>
      </c>
      <c r="AM81">
        <f>+IFERROR(TablaGeneral[[#This Row],[Plantas]]/TablaGeneral[[#This Row],[Rendimiento Raleo de Racimos]],0)</f>
        <v>120.52</v>
      </c>
      <c r="AN81">
        <f t="shared" si="106"/>
        <v>0.14389812032184848</v>
      </c>
      <c r="AR81">
        <f t="shared" si="86"/>
        <v>1.5934632572652512</v>
      </c>
      <c r="AS81">
        <f t="shared" si="87"/>
        <v>5.7083538898844148</v>
      </c>
      <c r="AT81">
        <f t="shared" si="88"/>
        <v>61.17766497461929</v>
      </c>
      <c r="AU81">
        <f t="shared" si="89"/>
        <v>13.114254624591947</v>
      </c>
      <c r="AV81">
        <f t="shared" si="90"/>
        <v>9.3950732772061123</v>
      </c>
      <c r="AW81">
        <f t="shared" si="91"/>
        <v>0.7531855828615438</v>
      </c>
      <c r="AX81">
        <f t="shared" si="92"/>
        <v>16.253101736972706</v>
      </c>
      <c r="AY81">
        <f t="shared" si="93"/>
        <v>28.018784581764077</v>
      </c>
      <c r="BA81">
        <f t="shared" si="94"/>
        <v>11.258142390531928</v>
      </c>
      <c r="BC81">
        <f t="shared" si="95"/>
        <v>3.9641346463789278</v>
      </c>
      <c r="BD81">
        <f t="shared" si="96"/>
        <v>1.2685234206346618</v>
      </c>
      <c r="BE81">
        <f t="shared" si="97"/>
        <v>34.434285714285714</v>
      </c>
      <c r="BF81">
        <f t="shared" si="98"/>
        <v>3.6866415833103914</v>
      </c>
      <c r="BG81">
        <f t="shared" si="99"/>
        <v>11.33740345992117</v>
      </c>
      <c r="BH81">
        <f t="shared" si="100"/>
        <v>9.5348101265822791</v>
      </c>
      <c r="BI81">
        <f t="shared" si="101"/>
        <v>6.6993890948709538</v>
      </c>
      <c r="BJ81">
        <f t="shared" si="102"/>
        <v>18.235021772482849</v>
      </c>
      <c r="BK81">
        <f t="shared" si="103"/>
        <v>1.2686315789473683</v>
      </c>
      <c r="BL81">
        <f t="shared" si="104"/>
        <v>9.2352490421455933</v>
      </c>
      <c r="BM81">
        <f t="shared" si="105"/>
        <v>4.1231611358193634</v>
      </c>
      <c r="BN81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273.01428250045115</v>
      </c>
      <c r="BO81" s="1">
        <f>+TablaGeneral[[#This Row],[Combustible]]/100</f>
        <v>2.7301428250045117</v>
      </c>
      <c r="BP81" s="1">
        <f>+TablaGeneral[[#This Row],[Combustible]]/150</f>
        <v>1.8200952166696742</v>
      </c>
      <c r="BQ81" s="1">
        <f>+TablaGeneral[[#This Row],[Combustible]]/200</f>
        <v>1.3650714125022558</v>
      </c>
      <c r="BR81">
        <f t="shared" si="107"/>
        <v>1.8766739333540954</v>
      </c>
      <c r="BS81">
        <f t="shared" si="108"/>
        <v>3.7530556636823666</v>
      </c>
      <c r="BT81">
        <f t="shared" si="109"/>
        <v>3.7530556636823666</v>
      </c>
      <c r="BV81">
        <f t="shared" si="110"/>
        <v>2.8147915286265839</v>
      </c>
      <c r="CI81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16.980525394053792</v>
      </c>
      <c r="CJ81" s="59">
        <f>+TablaGeneral[[#This Row],[Tracto elevador]]+TablaGeneral[[#This Row],[Tractor con uñas]]+TablaGeneral[[#This Row],[Tractor con acoplado]]</f>
        <v>10.320902855991317</v>
      </c>
      <c r="CK81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0</v>
      </c>
      <c r="CL81" s="60">
        <f>+SUM(BR81:BV81)+TablaGeneral[[#This Row],[Cosecha DOV]]+TablaGeneral[[#This Row],[Corte DOV]]</f>
        <v>26.984947302831937</v>
      </c>
      <c r="CM81" s="60">
        <f>+SUM(TablaGeneral[[#This Row],[Colocación de malla]:[Descarga y carga de bines con Autoelevador]])</f>
        <v>0</v>
      </c>
      <c r="CN81" s="65">
        <f t="shared" si="112"/>
        <v>10.799283154121865</v>
      </c>
      <c r="CO81" s="65">
        <f t="shared" si="111"/>
        <v>3.9880873593646591</v>
      </c>
      <c r="CP81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81" t="str">
        <f>+TablaGeneral[[#This Row],[Variedad]]&amp;" "&amp;TablaGeneral[[#This Row],[Año de plantación]]</f>
        <v>Selma 2019</v>
      </c>
      <c r="CR81" t="str">
        <f>+IF(TablaGeneral[[#This Row],[Finca]]="El Espejo I","El Espejo I y II",IF(TablaGeneral[[#This Row],[Finca]]="El Espejo II","El Espejo I y II",TablaGeneral[[#This Row],[Finca]]))</f>
        <v>El Espejo I y II</v>
      </c>
    </row>
    <row r="82" spans="1:96">
      <c r="A82" t="s">
        <v>14</v>
      </c>
      <c r="B82">
        <v>7</v>
      </c>
      <c r="C82">
        <v>5.54</v>
      </c>
      <c r="D82" t="s">
        <v>5</v>
      </c>
      <c r="E82" s="3">
        <v>25000</v>
      </c>
      <c r="F82" s="2">
        <f>+TablaGeneral[[#This Row],[Has]]*TablaGeneral[[#This Row],[Kg x Has]]</f>
        <v>138500</v>
      </c>
      <c r="G82" s="2">
        <f>+TablaGeneral[[#This Row],[Kg 2026]]/4</f>
        <v>34625</v>
      </c>
      <c r="H82">
        <v>12052</v>
      </c>
      <c r="I82">
        <v>2019</v>
      </c>
      <c r="J82" t="s">
        <v>161</v>
      </c>
      <c r="K82">
        <f>10000/IF(LEN(TablaGeneral[[#This Row],[Marco de plantación]])&gt;3,(MID(TablaGeneral[[#This Row],[Marco de plantación]],1,3)*MID(TablaGeneral[[#This Row],[Marco de plantación]],5,3)),(3*2))</f>
        <v>2222.2222222222222</v>
      </c>
      <c r="M82">
        <f>+TablaGeneral[[#This Row],[Plantas x Has]]*TablaGeneral[[#This Row],[N° de Guías x planta]]</f>
        <v>0</v>
      </c>
      <c r="O82">
        <f>+TablaGeneral[[#This Row],[N° de Guías x planta]]*TablaGeneral[[#This Row],[N° de Yemas x Guias]]</f>
        <v>0</v>
      </c>
      <c r="Q82">
        <f>+TablaGeneral[[#This Row],[N° de Yemas x Planta]]*TablaGeneral[[#This Row],[% de Brotación]]</f>
        <v>0</v>
      </c>
      <c r="T82">
        <f>+TablaGeneral[[#This Row],[N° de Brotes x Planta]]*TablaGeneral[[#This Row],[% de Fertilidad]]*TablaGeneral[[#This Row],[Cantidad de Racimos x Brote]]</f>
        <v>0</v>
      </c>
      <c r="V82">
        <f>+TablaGeneral[[#This Row],[Cantidad de Racimos x Planta]]*TablaGeneral[[#This Row],[Peso del Racimo]]</f>
        <v>0</v>
      </c>
      <c r="W82">
        <f>+TablaGeneral[[#This Row],[Plantas]]*TablaGeneral[[#This Row],[Kg x Planta]]</f>
        <v>0</v>
      </c>
      <c r="X82">
        <f>+TablaGeneral[[#This Row],[Kg x Cuartel]]/TablaGeneral[[#This Row],[Has]]</f>
        <v>0</v>
      </c>
      <c r="Y82" t="s">
        <v>162</v>
      </c>
      <c r="Z82">
        <v>120</v>
      </c>
      <c r="AA82">
        <f>+TablaGeneral[[#This Row],[Rendimiento Poda]]</f>
        <v>120</v>
      </c>
      <c r="AB82">
        <v>130</v>
      </c>
      <c r="AC82">
        <v>250</v>
      </c>
      <c r="AD82">
        <v>1000</v>
      </c>
      <c r="AE82">
        <v>500</v>
      </c>
      <c r="AF82">
        <v>100</v>
      </c>
      <c r="AG82">
        <f>+IFERROR(TablaGeneral[[#This Row],[Plantas]]/TablaGeneral[[#This Row],[Rendimiento Poda]],0)</f>
        <v>100.43333333333334</v>
      </c>
      <c r="AH82">
        <f>+TablaGeneral[[#This Row],[Plantas]]/TablaGeneral[[#This Row],[Rendimiento Atada]]</f>
        <v>100.43333333333334</v>
      </c>
      <c r="AI82">
        <f>+IFERROR(TablaGeneral[[#This Row],[Plantas]]/TablaGeneral[[#This Row],[Rendimiento Desbrote de troncos]],0)</f>
        <v>92.707692307692312</v>
      </c>
      <c r="AJ82" s="2">
        <f>+IFERROR(TablaGeneral[[#This Row],[Plantas]]/TablaGeneral[[#This Row],[Rendimiento Acomodo de brotes ]],0)</f>
        <v>48.207999999999998</v>
      </c>
      <c r="AK82">
        <f>+IFERROR(TablaGeneral[[#This Row],[Plantas]]/TablaGeneral[[#This Row],[Rendimiento Desniete, deshoje ]],0)</f>
        <v>12.052</v>
      </c>
      <c r="AL82">
        <f>+IFERROR(TablaGeneral[[#This Row],[Plantas]]/TablaGeneral[[#This Row],[Rendimiento Desbrote con criterio de Poda]],0)</f>
        <v>24.103999999999999</v>
      </c>
      <c r="AM82">
        <f>+IFERROR(TablaGeneral[[#This Row],[Plantas]]/TablaGeneral[[#This Row],[Rendimiento Raleo de Racimos]],0)</f>
        <v>120.52</v>
      </c>
      <c r="AN82">
        <f t="shared" si="106"/>
        <v>0.14389812032184848</v>
      </c>
      <c r="AR82">
        <f t="shared" si="86"/>
        <v>1.5934632572652512</v>
      </c>
      <c r="AS82">
        <f t="shared" si="87"/>
        <v>5.7083538898844148</v>
      </c>
      <c r="AT82">
        <f t="shared" si="88"/>
        <v>61.17766497461929</v>
      </c>
      <c r="AU82">
        <f t="shared" si="89"/>
        <v>13.114254624591947</v>
      </c>
      <c r="AV82">
        <f t="shared" si="90"/>
        <v>9.3950732772061123</v>
      </c>
      <c r="AW82">
        <f t="shared" si="91"/>
        <v>0.7531855828615438</v>
      </c>
      <c r="AX82">
        <f t="shared" si="92"/>
        <v>16.253101736972706</v>
      </c>
      <c r="AY82">
        <f t="shared" si="93"/>
        <v>28.018784581764077</v>
      </c>
      <c r="BA82">
        <f t="shared" si="94"/>
        <v>11.258142390531928</v>
      </c>
      <c r="BC82">
        <f t="shared" si="95"/>
        <v>3.9641346463789278</v>
      </c>
      <c r="BD82">
        <f t="shared" si="96"/>
        <v>1.2685234206346618</v>
      </c>
      <c r="BE82">
        <f t="shared" si="97"/>
        <v>34.434285714285714</v>
      </c>
      <c r="BF82">
        <f t="shared" si="98"/>
        <v>3.6866415833103914</v>
      </c>
      <c r="BG82">
        <f t="shared" si="99"/>
        <v>11.33740345992117</v>
      </c>
      <c r="BH82">
        <f t="shared" si="100"/>
        <v>9.5348101265822791</v>
      </c>
      <c r="BI82">
        <f t="shared" si="101"/>
        <v>6.6993890948709538</v>
      </c>
      <c r="BJ82">
        <f t="shared" si="102"/>
        <v>18.235021772482849</v>
      </c>
      <c r="BK82">
        <f t="shared" si="103"/>
        <v>1.2686315789473683</v>
      </c>
      <c r="BL82">
        <f t="shared" si="104"/>
        <v>9.2352490421455933</v>
      </c>
      <c r="BM82">
        <f t="shared" si="105"/>
        <v>4.1231611358193634</v>
      </c>
      <c r="BN82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273.01428250045115</v>
      </c>
      <c r="BO82" s="1">
        <f>+TablaGeneral[[#This Row],[Combustible]]/100</f>
        <v>2.7301428250045117</v>
      </c>
      <c r="BP82" s="1">
        <f>+TablaGeneral[[#This Row],[Combustible]]/150</f>
        <v>1.8200952166696742</v>
      </c>
      <c r="BQ82" s="1">
        <f>+TablaGeneral[[#This Row],[Combustible]]/200</f>
        <v>1.3650714125022558</v>
      </c>
      <c r="BR82">
        <f t="shared" si="107"/>
        <v>1.8766739333540954</v>
      </c>
      <c r="BS82">
        <f t="shared" si="108"/>
        <v>3.7530556636823666</v>
      </c>
      <c r="BT82">
        <f t="shared" si="109"/>
        <v>3.7530556636823666</v>
      </c>
      <c r="BV82">
        <f t="shared" si="110"/>
        <v>2.8147915286265839</v>
      </c>
      <c r="CI82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16.980525394053792</v>
      </c>
      <c r="CJ82" s="59">
        <f>+TablaGeneral[[#This Row],[Tracto elevador]]+TablaGeneral[[#This Row],[Tractor con uñas]]+TablaGeneral[[#This Row],[Tractor con acoplado]]</f>
        <v>10.320902855991317</v>
      </c>
      <c r="CK82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0</v>
      </c>
      <c r="CL82" s="60">
        <f>+SUM(BR82:BV82)+TablaGeneral[[#This Row],[Cosecha DOV]]+TablaGeneral[[#This Row],[Corte DOV]]</f>
        <v>26.984947302831937</v>
      </c>
      <c r="CM82" s="60">
        <f>+SUM(TablaGeneral[[#This Row],[Colocación de malla]:[Descarga y carga de bines con Autoelevador]])</f>
        <v>0</v>
      </c>
      <c r="CN82" s="65">
        <f t="shared" si="112"/>
        <v>10.799283154121865</v>
      </c>
      <c r="CO82" s="65">
        <f t="shared" si="111"/>
        <v>3.9880873593646591</v>
      </c>
      <c r="CP82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82" t="str">
        <f>+TablaGeneral[[#This Row],[Variedad]]&amp;" "&amp;TablaGeneral[[#This Row],[Año de plantación]]</f>
        <v>Selma 2019</v>
      </c>
      <c r="CR82" t="str">
        <f>+IF(TablaGeneral[[#This Row],[Finca]]="El Espejo I","El Espejo I y II",IF(TablaGeneral[[#This Row],[Finca]]="El Espejo II","El Espejo I y II",TablaGeneral[[#This Row],[Finca]]))</f>
        <v>El Espejo I y II</v>
      </c>
    </row>
    <row r="83" spans="1:96">
      <c r="A83" t="s">
        <v>14</v>
      </c>
      <c r="B83">
        <v>8</v>
      </c>
      <c r="C83">
        <v>5.54</v>
      </c>
      <c r="D83" t="s">
        <v>5</v>
      </c>
      <c r="E83" s="3">
        <v>25000</v>
      </c>
      <c r="F83" s="2">
        <f>+TablaGeneral[[#This Row],[Has]]*TablaGeneral[[#This Row],[Kg x Has]]</f>
        <v>138500</v>
      </c>
      <c r="G83" s="2">
        <f>+TablaGeneral[[#This Row],[Kg 2026]]/4</f>
        <v>34625</v>
      </c>
      <c r="H83">
        <v>12052</v>
      </c>
      <c r="I83">
        <v>2019</v>
      </c>
      <c r="J83" t="s">
        <v>161</v>
      </c>
      <c r="K83">
        <f>10000/IF(LEN(TablaGeneral[[#This Row],[Marco de plantación]])&gt;3,(MID(TablaGeneral[[#This Row],[Marco de plantación]],1,3)*MID(TablaGeneral[[#This Row],[Marco de plantación]],5,3)),(3*2))</f>
        <v>2222.2222222222222</v>
      </c>
      <c r="M83">
        <f>+TablaGeneral[[#This Row],[Plantas x Has]]*TablaGeneral[[#This Row],[N° de Guías x planta]]</f>
        <v>0</v>
      </c>
      <c r="O83">
        <f>+TablaGeneral[[#This Row],[N° de Guías x planta]]*TablaGeneral[[#This Row],[N° de Yemas x Guias]]</f>
        <v>0</v>
      </c>
      <c r="Q83">
        <f>+TablaGeneral[[#This Row],[N° de Yemas x Planta]]*TablaGeneral[[#This Row],[% de Brotación]]</f>
        <v>0</v>
      </c>
      <c r="T83">
        <f>+TablaGeneral[[#This Row],[N° de Brotes x Planta]]*TablaGeneral[[#This Row],[% de Fertilidad]]*TablaGeneral[[#This Row],[Cantidad de Racimos x Brote]]</f>
        <v>0</v>
      </c>
      <c r="V83">
        <f>+TablaGeneral[[#This Row],[Cantidad de Racimos x Planta]]*TablaGeneral[[#This Row],[Peso del Racimo]]</f>
        <v>0</v>
      </c>
      <c r="W83">
        <f>+TablaGeneral[[#This Row],[Plantas]]*TablaGeneral[[#This Row],[Kg x Planta]]</f>
        <v>0</v>
      </c>
      <c r="X83">
        <f>+TablaGeneral[[#This Row],[Kg x Cuartel]]/TablaGeneral[[#This Row],[Has]]</f>
        <v>0</v>
      </c>
      <c r="Y83" t="s">
        <v>162</v>
      </c>
      <c r="Z83">
        <v>120</v>
      </c>
      <c r="AA83">
        <f>+TablaGeneral[[#This Row],[Rendimiento Poda]]</f>
        <v>120</v>
      </c>
      <c r="AB83">
        <v>130</v>
      </c>
      <c r="AC83">
        <v>250</v>
      </c>
      <c r="AD83">
        <v>1000</v>
      </c>
      <c r="AE83">
        <v>500</v>
      </c>
      <c r="AF83">
        <v>100</v>
      </c>
      <c r="AG83">
        <f>+IFERROR(TablaGeneral[[#This Row],[Plantas]]/TablaGeneral[[#This Row],[Rendimiento Poda]],0)</f>
        <v>100.43333333333334</v>
      </c>
      <c r="AH83">
        <f>+TablaGeneral[[#This Row],[Plantas]]/TablaGeneral[[#This Row],[Rendimiento Atada]]</f>
        <v>100.43333333333334</v>
      </c>
      <c r="AI83">
        <f>+IFERROR(TablaGeneral[[#This Row],[Plantas]]/TablaGeneral[[#This Row],[Rendimiento Desbrote de troncos]],0)</f>
        <v>92.707692307692312</v>
      </c>
      <c r="AJ83" s="2">
        <f>+IFERROR(TablaGeneral[[#This Row],[Plantas]]/TablaGeneral[[#This Row],[Rendimiento Acomodo de brotes ]],0)</f>
        <v>48.207999999999998</v>
      </c>
      <c r="AK83">
        <f>+IFERROR(TablaGeneral[[#This Row],[Plantas]]/TablaGeneral[[#This Row],[Rendimiento Desniete, deshoje ]],0)</f>
        <v>12.052</v>
      </c>
      <c r="AL83">
        <f>+IFERROR(TablaGeneral[[#This Row],[Plantas]]/TablaGeneral[[#This Row],[Rendimiento Desbrote con criterio de Poda]],0)</f>
        <v>24.103999999999999</v>
      </c>
      <c r="AM83">
        <f>+IFERROR(TablaGeneral[[#This Row],[Plantas]]/TablaGeneral[[#This Row],[Rendimiento Raleo de Racimos]],0)</f>
        <v>120.52</v>
      </c>
      <c r="AN83">
        <f t="shared" si="106"/>
        <v>0.14389812032184848</v>
      </c>
      <c r="AR83">
        <f t="shared" si="86"/>
        <v>1.5934632572652512</v>
      </c>
      <c r="AS83">
        <f t="shared" si="87"/>
        <v>5.7083538898844148</v>
      </c>
      <c r="AT83">
        <f t="shared" si="88"/>
        <v>61.17766497461929</v>
      </c>
      <c r="AU83">
        <f t="shared" si="89"/>
        <v>13.114254624591947</v>
      </c>
      <c r="AV83">
        <f t="shared" si="90"/>
        <v>9.3950732772061123</v>
      </c>
      <c r="AW83">
        <f t="shared" si="91"/>
        <v>0.7531855828615438</v>
      </c>
      <c r="AX83">
        <f t="shared" si="92"/>
        <v>16.253101736972706</v>
      </c>
      <c r="AY83">
        <f t="shared" si="93"/>
        <v>28.018784581764077</v>
      </c>
      <c r="BA83">
        <f t="shared" si="94"/>
        <v>11.258142390531928</v>
      </c>
      <c r="BC83">
        <f t="shared" si="95"/>
        <v>3.9641346463789278</v>
      </c>
      <c r="BD83">
        <f t="shared" si="96"/>
        <v>1.2685234206346618</v>
      </c>
      <c r="BE83">
        <f t="shared" si="97"/>
        <v>34.434285714285714</v>
      </c>
      <c r="BF83">
        <f t="shared" si="98"/>
        <v>3.6866415833103914</v>
      </c>
      <c r="BG83">
        <f t="shared" si="99"/>
        <v>11.33740345992117</v>
      </c>
      <c r="BH83">
        <f t="shared" si="100"/>
        <v>9.5348101265822791</v>
      </c>
      <c r="BI83">
        <f t="shared" si="101"/>
        <v>6.6993890948709538</v>
      </c>
      <c r="BJ83">
        <f t="shared" si="102"/>
        <v>18.235021772482849</v>
      </c>
      <c r="BK83">
        <f t="shared" si="103"/>
        <v>1.2686315789473683</v>
      </c>
      <c r="BL83">
        <f t="shared" si="104"/>
        <v>9.2352490421455933</v>
      </c>
      <c r="BM83">
        <f t="shared" si="105"/>
        <v>4.1231611358193634</v>
      </c>
      <c r="BN83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273.01428250045115</v>
      </c>
      <c r="BO83" s="1">
        <f>+TablaGeneral[[#This Row],[Combustible]]/100</f>
        <v>2.7301428250045117</v>
      </c>
      <c r="BP83" s="1">
        <f>+TablaGeneral[[#This Row],[Combustible]]/150</f>
        <v>1.8200952166696742</v>
      </c>
      <c r="BQ83" s="1">
        <f>+TablaGeneral[[#This Row],[Combustible]]/200</f>
        <v>1.3650714125022558</v>
      </c>
      <c r="BR83">
        <f t="shared" si="107"/>
        <v>1.8766739333540954</v>
      </c>
      <c r="BS83">
        <f t="shared" si="108"/>
        <v>3.7530556636823666</v>
      </c>
      <c r="BT83">
        <f t="shared" si="109"/>
        <v>3.7530556636823666</v>
      </c>
      <c r="BV83">
        <f t="shared" si="110"/>
        <v>2.8147915286265839</v>
      </c>
      <c r="CI83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16.980525394053792</v>
      </c>
      <c r="CJ83" s="59">
        <f>+TablaGeneral[[#This Row],[Tracto elevador]]+TablaGeneral[[#This Row],[Tractor con uñas]]+TablaGeneral[[#This Row],[Tractor con acoplado]]</f>
        <v>10.320902855991317</v>
      </c>
      <c r="CK83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0</v>
      </c>
      <c r="CL83" s="60">
        <f>+SUM(BR83:BV83)+TablaGeneral[[#This Row],[Cosecha DOV]]+TablaGeneral[[#This Row],[Corte DOV]]</f>
        <v>26.984947302831937</v>
      </c>
      <c r="CM83" s="60">
        <f>+SUM(TablaGeneral[[#This Row],[Colocación de malla]:[Descarga y carga de bines con Autoelevador]])</f>
        <v>0</v>
      </c>
      <c r="CN83" s="65">
        <f t="shared" si="112"/>
        <v>10.799283154121865</v>
      </c>
      <c r="CO83" s="65">
        <f t="shared" si="111"/>
        <v>3.9880873593646591</v>
      </c>
      <c r="CP83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83" t="str">
        <f>+TablaGeneral[[#This Row],[Variedad]]&amp;" "&amp;TablaGeneral[[#This Row],[Año de plantación]]</f>
        <v>Selma 2019</v>
      </c>
      <c r="CR83" t="str">
        <f>+IF(TablaGeneral[[#This Row],[Finca]]="El Espejo I","El Espejo I y II",IF(TablaGeneral[[#This Row],[Finca]]="El Espejo II","El Espejo I y II",TablaGeneral[[#This Row],[Finca]]))</f>
        <v>El Espejo I y II</v>
      </c>
    </row>
    <row r="84" spans="1:96">
      <c r="A84" t="s">
        <v>15</v>
      </c>
      <c r="B84">
        <v>22</v>
      </c>
      <c r="C84">
        <v>3.64</v>
      </c>
      <c r="D84" t="s">
        <v>10</v>
      </c>
      <c r="E84" s="2">
        <v>20000</v>
      </c>
      <c r="F84" s="2">
        <f>+TablaGeneral[[#This Row],[Has]]*TablaGeneral[[#This Row],[Kg x Has]]</f>
        <v>72800</v>
      </c>
      <c r="G84" s="2">
        <f>+TablaGeneral[[#This Row],[Kg 2026]]/4</f>
        <v>18200</v>
      </c>
      <c r="H84">
        <v>5986</v>
      </c>
      <c r="I84">
        <v>2021</v>
      </c>
      <c r="K84">
        <f>10000/IF(LEN(TablaGeneral[[#This Row],[Marco de plantación]])&gt;3,(MID(TablaGeneral[[#This Row],[Marco de plantación]],1,3)*MID(TablaGeneral[[#This Row],[Marco de plantación]],5,3)),(3*2))</f>
        <v>1666.6666666666667</v>
      </c>
      <c r="M84">
        <f>+TablaGeneral[[#This Row],[Plantas x Has]]*TablaGeneral[[#This Row],[N° de Guías x planta]]</f>
        <v>0</v>
      </c>
      <c r="O84">
        <f>+TablaGeneral[[#This Row],[N° de Guías x planta]]*TablaGeneral[[#This Row],[N° de Yemas x Guias]]</f>
        <v>0</v>
      </c>
      <c r="Q84">
        <f>+TablaGeneral[[#This Row],[N° de Yemas x Planta]]*TablaGeneral[[#This Row],[% de Brotación]]</f>
        <v>0</v>
      </c>
      <c r="T84">
        <f>+TablaGeneral[[#This Row],[N° de Brotes x Planta]]*TablaGeneral[[#This Row],[% de Fertilidad]]*TablaGeneral[[#This Row],[Cantidad de Racimos x Brote]]</f>
        <v>0</v>
      </c>
      <c r="V84">
        <f>+TablaGeneral[[#This Row],[Cantidad de Racimos x Planta]]*TablaGeneral[[#This Row],[Peso del Racimo]]</f>
        <v>0</v>
      </c>
      <c r="W84">
        <f>+TablaGeneral[[#This Row],[Plantas]]*TablaGeneral[[#This Row],[Kg x Planta]]</f>
        <v>0</v>
      </c>
      <c r="X84">
        <f>+TablaGeneral[[#This Row],[Kg x Cuartel]]/TablaGeneral[[#This Row],[Has]]</f>
        <v>0</v>
      </c>
      <c r="Y84" t="s">
        <v>163</v>
      </c>
      <c r="Z84">
        <v>120</v>
      </c>
      <c r="AA84">
        <f>+TablaGeneral[[#This Row],[Rendimiento Poda]]*1.5</f>
        <v>180</v>
      </c>
      <c r="AB84">
        <v>130</v>
      </c>
      <c r="AC84">
        <v>500</v>
      </c>
      <c r="AD84">
        <v>1000</v>
      </c>
      <c r="AE84">
        <v>500</v>
      </c>
      <c r="AF84">
        <v>100</v>
      </c>
      <c r="AG84">
        <f>+IFERROR(TablaGeneral[[#This Row],[Plantas]]/TablaGeneral[[#This Row],[Rendimiento Poda]],0)</f>
        <v>49.883333333333333</v>
      </c>
      <c r="AH84">
        <f>+TablaGeneral[[#This Row],[Plantas]]/TablaGeneral[[#This Row],[Rendimiento Atada]]</f>
        <v>33.255555555555553</v>
      </c>
      <c r="AI84">
        <f>+IFERROR(TablaGeneral[[#This Row],[Plantas]]/TablaGeneral[[#This Row],[Rendimiento Desbrote de troncos]],0)</f>
        <v>46.04615384615385</v>
      </c>
      <c r="AJ84" s="2">
        <f>+IFERROR(TablaGeneral[[#This Row],[Plantas]]/TablaGeneral[[#This Row],[Rendimiento Acomodo de brotes ]],0)</f>
        <v>11.972</v>
      </c>
      <c r="AK84">
        <f>+IFERROR(TablaGeneral[[#This Row],[Plantas]]/TablaGeneral[[#This Row],[Rendimiento Desniete, deshoje ]],0)</f>
        <v>5.9859999999999998</v>
      </c>
      <c r="AL84">
        <f>+IFERROR(TablaGeneral[[#This Row],[Plantas]]/TablaGeneral[[#This Row],[Rendimiento Desbrote con criterio de Poda]],0)</f>
        <v>11.972</v>
      </c>
      <c r="AM84">
        <f>+IFERROR(TablaGeneral[[#This Row],[Plantas]]/TablaGeneral[[#This Row],[Rendimiento Raleo de Racimos]],0)</f>
        <v>59.86</v>
      </c>
      <c r="AN84">
        <f>+H84/100580.3681</f>
        <v>5.9514596268414328E-2</v>
      </c>
      <c r="AR84">
        <f>+H84/9164.11</f>
        <v>0.65320036533825976</v>
      </c>
      <c r="AS84">
        <f>+H84/2558.05898</f>
        <v>2.3400555056787629</v>
      </c>
      <c r="AT84">
        <f>+H84/238.011</f>
        <v>25.150098104709446</v>
      </c>
      <c r="AU84">
        <f>+H84/1113.43</f>
        <v>5.3761799125225647</v>
      </c>
      <c r="AV84">
        <f>+H84/1554.19</f>
        <v>3.8515239449488154</v>
      </c>
      <c r="AW84">
        <f>+H84/19386.6</f>
        <v>0.30876997513746612</v>
      </c>
      <c r="AX84">
        <f>+H84/898.39</f>
        <v>6.6630305323968431</v>
      </c>
      <c r="AY84">
        <f>+H84/521.141</f>
        <v>11.486334792311487</v>
      </c>
      <c r="BA84">
        <f>+H84/1296.99</f>
        <v>4.615301582895782</v>
      </c>
      <c r="BC84">
        <f>+H84/3683.46</f>
        <v>1.6251024851634062</v>
      </c>
      <c r="BD84">
        <f>+H84/11510.8</f>
        <v>0.52003335997498001</v>
      </c>
      <c r="BE84">
        <f>+H84/424.047</f>
        <v>14.116359743141679</v>
      </c>
      <c r="BF84">
        <f>+H84/3960.72</f>
        <v>1.5113413722757478</v>
      </c>
      <c r="BG84">
        <f>+H84/1287.93</f>
        <v>4.6477681240440081</v>
      </c>
      <c r="BH84">
        <f>+H84/1531.41</f>
        <v>3.9088160584036933</v>
      </c>
      <c r="BI84">
        <f>+H84/2179.56</f>
        <v>2.7464258841234011</v>
      </c>
      <c r="BJ84">
        <f>+H84/800.753</f>
        <v>7.4754637197737628</v>
      </c>
      <c r="BK84">
        <f>+H84/11509.8</f>
        <v>0.52007854176440949</v>
      </c>
      <c r="BL84">
        <f>+H84/1581.09</f>
        <v>3.7859957371180641</v>
      </c>
      <c r="BM84">
        <f>+H84/3541.39</f>
        <v>1.6902967478871291</v>
      </c>
      <c r="BN84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240.81091725843166</v>
      </c>
      <c r="BO84" s="1">
        <f>+TablaGeneral[[#This Row],[Combustible]]/100</f>
        <v>2.4081091725843167</v>
      </c>
      <c r="BP84" s="1">
        <f>+TablaGeneral[[#This Row],[Combustible]]/150</f>
        <v>1.6054061150562111</v>
      </c>
      <c r="BQ84" s="1">
        <f>+TablaGeneral[[#This Row],[Combustible]]/200</f>
        <v>1.2040545862921583</v>
      </c>
      <c r="BR84">
        <f t="shared" ref="BR84:BR108" si="113">+F84/30626</f>
        <v>2.3770652386860838</v>
      </c>
      <c r="BS84">
        <f t="shared" ref="BS84:BS108" si="114">+F84/30626</f>
        <v>2.3770652386860838</v>
      </c>
      <c r="BT84">
        <f t="shared" ref="BT84:BT108" si="115">+F84/14940</f>
        <v>4.8728246318607766</v>
      </c>
      <c r="BU84">
        <f t="shared" ref="BU84:BU108" si="116">+F84/112391</f>
        <v>0.64773869793844707</v>
      </c>
      <c r="BV84">
        <f t="shared" ref="BV84:BV108" si="117">+F84/30626</f>
        <v>2.3770652386860838</v>
      </c>
      <c r="BW84">
        <f t="shared" ref="BW84:BW108" si="118">+F84/26645.3</f>
        <v>2.732189166569714</v>
      </c>
      <c r="BX84">
        <f t="shared" ref="BX84:BX108" si="119">+F84/15923.3</f>
        <v>4.5719166253226406</v>
      </c>
      <c r="BY84">
        <f t="shared" ref="BY84:BY108" si="120">+F84/7925</f>
        <v>9.1861198738170344</v>
      </c>
      <c r="BZ84">
        <f t="shared" ref="BZ84:BZ108" si="121">+F84/13208</f>
        <v>5.5118110236220472</v>
      </c>
      <c r="CA84">
        <f t="shared" ref="CA84:CA108" si="122">+F84/10585.1</f>
        <v>6.8775920869902034</v>
      </c>
      <c r="CB84">
        <f t="shared" ref="CB84:CB108" si="123">+F84/26645.3</f>
        <v>2.732189166569714</v>
      </c>
      <c r="CC84">
        <f t="shared" ref="CC84:CC108" si="124">+F84/70246.8</f>
        <v>1.0363461396106299</v>
      </c>
      <c r="CF84">
        <f>+F84/3992.41</f>
        <v>18.234600153791821</v>
      </c>
      <c r="CG84">
        <f t="shared" ref="CG84:CG108" si="125">+F84/48294</f>
        <v>1.5074336356483207</v>
      </c>
      <c r="CH84">
        <f t="shared" ref="CH84:CH108" si="126">+F84/51514.3</f>
        <v>1.4131998299501303</v>
      </c>
      <c r="CI84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6.9615865256891301</v>
      </c>
      <c r="CJ84" s="59">
        <f>+TablaGeneral[[#This Row],[Tracto elevador]]+TablaGeneral[[#This Row],[Tractor con uñas]]+TablaGeneral[[#This Row],[Tractor con acoplado]]</f>
        <v>9.6269551092329451</v>
      </c>
      <c r="CK84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7.4925500909210916</v>
      </c>
      <c r="CL84" s="60">
        <f>+SUM(BR84:BV84)+TablaGeneral[[#This Row],[Cosecha DOV]]+TablaGeneral[[#This Row],[Corte DOV]]</f>
        <v>12.651759045857476</v>
      </c>
      <c r="CM84" s="60">
        <f>+SUM(TablaGeneral[[#This Row],[Colocación de malla]:[Descarga y carga de bines con Autoelevador]])</f>
        <v>53.803397701892258</v>
      </c>
      <c r="CN84" s="64"/>
      <c r="CO84" s="64"/>
      <c r="CP84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84" t="str">
        <f>+TablaGeneral[[#This Row],[Variedad]]&amp;" "&amp;TablaGeneral[[#This Row],[Año de plantación]]</f>
        <v>Fiesta 2021</v>
      </c>
      <c r="CR84" t="str">
        <f>+IF(TablaGeneral[[#This Row],[Finca]]="El Espejo I","El Espejo I y II",IF(TablaGeneral[[#This Row],[Finca]]="El Espejo II","El Espejo I y II",TablaGeneral[[#This Row],[Finca]]))</f>
        <v>El Espejo III</v>
      </c>
    </row>
    <row r="85" spans="1:96">
      <c r="A85" t="s">
        <v>15</v>
      </c>
      <c r="B85">
        <v>23</v>
      </c>
      <c r="C85">
        <v>3.64</v>
      </c>
      <c r="D85" t="s">
        <v>10</v>
      </c>
      <c r="E85" s="2">
        <v>20000</v>
      </c>
      <c r="F85" s="2">
        <f>+TablaGeneral[[#This Row],[Has]]*TablaGeneral[[#This Row],[Kg x Has]]</f>
        <v>72800</v>
      </c>
      <c r="G85" s="2">
        <f>+TablaGeneral[[#This Row],[Kg 2026]]/4</f>
        <v>18200</v>
      </c>
      <c r="H85">
        <v>5986</v>
      </c>
      <c r="I85">
        <v>2021</v>
      </c>
      <c r="K85">
        <f>10000/IF(LEN(TablaGeneral[[#This Row],[Marco de plantación]])&gt;3,(MID(TablaGeneral[[#This Row],[Marco de plantación]],1,3)*MID(TablaGeneral[[#This Row],[Marco de plantación]],5,3)),(3*2))</f>
        <v>1666.6666666666667</v>
      </c>
      <c r="M85">
        <f>+TablaGeneral[[#This Row],[Plantas x Has]]*TablaGeneral[[#This Row],[N° de Guías x planta]]</f>
        <v>0</v>
      </c>
      <c r="O85">
        <f>+TablaGeneral[[#This Row],[N° de Guías x planta]]*TablaGeneral[[#This Row],[N° de Yemas x Guias]]</f>
        <v>0</v>
      </c>
      <c r="Q85">
        <f>+TablaGeneral[[#This Row],[N° de Yemas x Planta]]*TablaGeneral[[#This Row],[% de Brotación]]</f>
        <v>0</v>
      </c>
      <c r="T85">
        <f>+TablaGeneral[[#This Row],[N° de Brotes x Planta]]*TablaGeneral[[#This Row],[% de Fertilidad]]*TablaGeneral[[#This Row],[Cantidad de Racimos x Brote]]</f>
        <v>0</v>
      </c>
      <c r="V85">
        <f>+TablaGeneral[[#This Row],[Cantidad de Racimos x Planta]]*TablaGeneral[[#This Row],[Peso del Racimo]]</f>
        <v>0</v>
      </c>
      <c r="W85">
        <f>+TablaGeneral[[#This Row],[Plantas]]*TablaGeneral[[#This Row],[Kg x Planta]]</f>
        <v>0</v>
      </c>
      <c r="X85">
        <f>+TablaGeneral[[#This Row],[Kg x Cuartel]]/TablaGeneral[[#This Row],[Has]]</f>
        <v>0</v>
      </c>
      <c r="Y85" t="s">
        <v>163</v>
      </c>
      <c r="Z85">
        <v>120</v>
      </c>
      <c r="AA85">
        <f>+TablaGeneral[[#This Row],[Rendimiento Poda]]*1.5</f>
        <v>180</v>
      </c>
      <c r="AB85">
        <v>130</v>
      </c>
      <c r="AC85">
        <v>500</v>
      </c>
      <c r="AD85">
        <v>1000</v>
      </c>
      <c r="AE85">
        <v>500</v>
      </c>
      <c r="AF85">
        <v>100</v>
      </c>
      <c r="AG85">
        <f>+IFERROR(TablaGeneral[[#This Row],[Plantas]]/TablaGeneral[[#This Row],[Rendimiento Poda]],0)</f>
        <v>49.883333333333333</v>
      </c>
      <c r="AH85">
        <f>+TablaGeneral[[#This Row],[Plantas]]/TablaGeneral[[#This Row],[Rendimiento Atada]]</f>
        <v>33.255555555555553</v>
      </c>
      <c r="AI85">
        <f>+IFERROR(TablaGeneral[[#This Row],[Plantas]]/TablaGeneral[[#This Row],[Rendimiento Desbrote de troncos]],0)</f>
        <v>46.04615384615385</v>
      </c>
      <c r="AJ85" s="2">
        <f>+IFERROR(TablaGeneral[[#This Row],[Plantas]]/TablaGeneral[[#This Row],[Rendimiento Acomodo de brotes ]],0)</f>
        <v>11.972</v>
      </c>
      <c r="AK85">
        <f>+IFERROR(TablaGeneral[[#This Row],[Plantas]]/TablaGeneral[[#This Row],[Rendimiento Desniete, deshoje ]],0)</f>
        <v>5.9859999999999998</v>
      </c>
      <c r="AL85">
        <f>+IFERROR(TablaGeneral[[#This Row],[Plantas]]/TablaGeneral[[#This Row],[Rendimiento Desbrote con criterio de Poda]],0)</f>
        <v>11.972</v>
      </c>
      <c r="AM85">
        <f>+IFERROR(TablaGeneral[[#This Row],[Plantas]]/TablaGeneral[[#This Row],[Rendimiento Raleo de Racimos]],0)</f>
        <v>59.86</v>
      </c>
      <c r="AN85">
        <f t="shared" ref="AN85:AN109" si="127">+H85/100580.3681</f>
        <v>5.9514596268414328E-2</v>
      </c>
      <c r="AR85">
        <f t="shared" ref="AR85:AR109" si="128">+H85/9164.11</f>
        <v>0.65320036533825976</v>
      </c>
      <c r="AS85">
        <f t="shared" ref="AS85:AS109" si="129">+H85/2558.05898</f>
        <v>2.3400555056787629</v>
      </c>
      <c r="AT85">
        <f t="shared" ref="AT85:AT109" si="130">+H85/238.011</f>
        <v>25.150098104709446</v>
      </c>
      <c r="AU85">
        <f t="shared" ref="AU85:AU109" si="131">+H85/1113.43</f>
        <v>5.3761799125225647</v>
      </c>
      <c r="AV85">
        <f t="shared" ref="AV85:AV109" si="132">+H85/1554.19</f>
        <v>3.8515239449488154</v>
      </c>
      <c r="AW85">
        <f t="shared" ref="AW85:AW109" si="133">+H85/19386.6</f>
        <v>0.30876997513746612</v>
      </c>
      <c r="AX85">
        <f t="shared" ref="AX85:AX109" si="134">+H85/898.39</f>
        <v>6.6630305323968431</v>
      </c>
      <c r="AY85">
        <f t="shared" ref="AY85:AY109" si="135">+H85/521.141</f>
        <v>11.486334792311487</v>
      </c>
      <c r="BA85">
        <f t="shared" ref="BA85:BA109" si="136">+H85/1296.99</f>
        <v>4.615301582895782</v>
      </c>
      <c r="BC85">
        <f t="shared" ref="BC85:BC109" si="137">+H85/3683.46</f>
        <v>1.6251024851634062</v>
      </c>
      <c r="BD85">
        <f t="shared" ref="BD85:BD109" si="138">+H85/11510.8</f>
        <v>0.52003335997498001</v>
      </c>
      <c r="BE85">
        <f t="shared" ref="BE85:BE109" si="139">+H85/424.047</f>
        <v>14.116359743141679</v>
      </c>
      <c r="BF85">
        <f t="shared" ref="BF85:BF109" si="140">+H85/3960.72</f>
        <v>1.5113413722757478</v>
      </c>
      <c r="BG85">
        <f t="shared" ref="BG85:BG109" si="141">+H85/1287.93</f>
        <v>4.6477681240440081</v>
      </c>
      <c r="BH85">
        <f t="shared" ref="BH85:BH109" si="142">+H85/1531.41</f>
        <v>3.9088160584036933</v>
      </c>
      <c r="BI85">
        <f t="shared" ref="BI85:BI109" si="143">+H85/2179.56</f>
        <v>2.7464258841234011</v>
      </c>
      <c r="BJ85">
        <f t="shared" ref="BJ85:BJ109" si="144">+H85/800.753</f>
        <v>7.4754637197737628</v>
      </c>
      <c r="BK85">
        <f t="shared" ref="BK85:BK109" si="145">+H85/11509.8</f>
        <v>0.52007854176440949</v>
      </c>
      <c r="BL85">
        <f t="shared" ref="BL85:BL109" si="146">+H85/1581.09</f>
        <v>3.7859957371180641</v>
      </c>
      <c r="BM85">
        <f t="shared" ref="BM85:BM109" si="147">+H85/3541.39</f>
        <v>1.6902967478871291</v>
      </c>
      <c r="BN85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240.81091725843166</v>
      </c>
      <c r="BO85" s="1">
        <f>+TablaGeneral[[#This Row],[Combustible]]/100</f>
        <v>2.4081091725843167</v>
      </c>
      <c r="BP85" s="1">
        <f>+TablaGeneral[[#This Row],[Combustible]]/150</f>
        <v>1.6054061150562111</v>
      </c>
      <c r="BQ85" s="1">
        <f>+TablaGeneral[[#This Row],[Combustible]]/200</f>
        <v>1.2040545862921583</v>
      </c>
      <c r="BR85">
        <f t="shared" si="113"/>
        <v>2.3770652386860838</v>
      </c>
      <c r="BS85">
        <f t="shared" si="114"/>
        <v>2.3770652386860838</v>
      </c>
      <c r="BT85">
        <f t="shared" si="115"/>
        <v>4.8728246318607766</v>
      </c>
      <c r="BU85">
        <f t="shared" si="116"/>
        <v>0.64773869793844707</v>
      </c>
      <c r="BV85">
        <f t="shared" si="117"/>
        <v>2.3770652386860838</v>
      </c>
      <c r="BW85">
        <f t="shared" si="118"/>
        <v>2.732189166569714</v>
      </c>
      <c r="BX85">
        <f t="shared" si="119"/>
        <v>4.5719166253226406</v>
      </c>
      <c r="BY85">
        <f t="shared" si="120"/>
        <v>9.1861198738170344</v>
      </c>
      <c r="BZ85">
        <f t="shared" si="121"/>
        <v>5.5118110236220472</v>
      </c>
      <c r="CA85">
        <f t="shared" si="122"/>
        <v>6.8775920869902034</v>
      </c>
      <c r="CB85">
        <f t="shared" si="123"/>
        <v>2.732189166569714</v>
      </c>
      <c r="CC85">
        <f t="shared" si="124"/>
        <v>1.0363461396106299</v>
      </c>
      <c r="CF85">
        <f t="shared" ref="CF85:CF108" si="148">+F85/3992.41</f>
        <v>18.234600153791821</v>
      </c>
      <c r="CG85">
        <f t="shared" si="125"/>
        <v>1.5074336356483207</v>
      </c>
      <c r="CH85">
        <f t="shared" si="126"/>
        <v>1.4131998299501303</v>
      </c>
      <c r="CI85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6.9615865256891301</v>
      </c>
      <c r="CJ85" s="59">
        <f>+TablaGeneral[[#This Row],[Tracto elevador]]+TablaGeneral[[#This Row],[Tractor con uñas]]+TablaGeneral[[#This Row],[Tractor con acoplado]]</f>
        <v>9.6269551092329451</v>
      </c>
      <c r="CK85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7.4925500909210916</v>
      </c>
      <c r="CL85" s="60">
        <f>+SUM(BR85:BV85)+TablaGeneral[[#This Row],[Cosecha DOV]]+TablaGeneral[[#This Row],[Corte DOV]]</f>
        <v>12.651759045857476</v>
      </c>
      <c r="CM85" s="60">
        <f>+SUM(TablaGeneral[[#This Row],[Colocación de malla]:[Descarga y carga de bines con Autoelevador]])</f>
        <v>53.803397701892258</v>
      </c>
      <c r="CN85" s="64"/>
      <c r="CO85" s="64"/>
      <c r="CP85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85" t="str">
        <f>+TablaGeneral[[#This Row],[Variedad]]&amp;" "&amp;TablaGeneral[[#This Row],[Año de plantación]]</f>
        <v>Fiesta 2021</v>
      </c>
      <c r="CR85" t="str">
        <f>+IF(TablaGeneral[[#This Row],[Finca]]="El Espejo I","El Espejo I y II",IF(TablaGeneral[[#This Row],[Finca]]="El Espejo II","El Espejo I y II",TablaGeneral[[#This Row],[Finca]]))</f>
        <v>El Espejo III</v>
      </c>
    </row>
    <row r="86" spans="1:96">
      <c r="A86" t="s">
        <v>15</v>
      </c>
      <c r="B86">
        <v>24</v>
      </c>
      <c r="C86">
        <v>3.64</v>
      </c>
      <c r="D86" t="s">
        <v>6</v>
      </c>
      <c r="E86" s="2">
        <v>16000</v>
      </c>
      <c r="F86" s="2">
        <f>+TablaGeneral[[#This Row],[Has]]*TablaGeneral[[#This Row],[Kg x Has]]</f>
        <v>58240</v>
      </c>
      <c r="G86" s="2">
        <f>+TablaGeneral[[#This Row],[Kg 2026]]/4</f>
        <v>14560</v>
      </c>
      <c r="H86">
        <v>5986</v>
      </c>
      <c r="I86">
        <v>2021</v>
      </c>
      <c r="K86">
        <f>10000/IF(LEN(TablaGeneral[[#This Row],[Marco de plantación]])&gt;3,(MID(TablaGeneral[[#This Row],[Marco de plantación]],1,3)*MID(TablaGeneral[[#This Row],[Marco de plantación]],5,3)),(3*2))</f>
        <v>1666.6666666666667</v>
      </c>
      <c r="M86">
        <f>+TablaGeneral[[#This Row],[Plantas x Has]]*TablaGeneral[[#This Row],[N° de Guías x planta]]</f>
        <v>0</v>
      </c>
      <c r="O86">
        <f>+TablaGeneral[[#This Row],[N° de Guías x planta]]*TablaGeneral[[#This Row],[N° de Yemas x Guias]]</f>
        <v>0</v>
      </c>
      <c r="Q86">
        <f>+TablaGeneral[[#This Row],[N° de Yemas x Planta]]*TablaGeneral[[#This Row],[% de Brotación]]</f>
        <v>0</v>
      </c>
      <c r="T86">
        <f>+TablaGeneral[[#This Row],[N° de Brotes x Planta]]*TablaGeneral[[#This Row],[% de Fertilidad]]*TablaGeneral[[#This Row],[Cantidad de Racimos x Brote]]</f>
        <v>0</v>
      </c>
      <c r="V86">
        <f>+TablaGeneral[[#This Row],[Cantidad de Racimos x Planta]]*TablaGeneral[[#This Row],[Peso del Racimo]]</f>
        <v>0</v>
      </c>
      <c r="W86">
        <f>+TablaGeneral[[#This Row],[Plantas]]*TablaGeneral[[#This Row],[Kg x Planta]]</f>
        <v>0</v>
      </c>
      <c r="X86">
        <f>+TablaGeneral[[#This Row],[Kg x Cuartel]]/TablaGeneral[[#This Row],[Has]]</f>
        <v>0</v>
      </c>
      <c r="Y86" t="s">
        <v>163</v>
      </c>
      <c r="Z86">
        <v>200</v>
      </c>
      <c r="AA86">
        <f>+TablaGeneral[[#This Row],[Rendimiento Poda]]*1.5</f>
        <v>300</v>
      </c>
      <c r="AB86">
        <v>130</v>
      </c>
      <c r="AC86">
        <v>500</v>
      </c>
      <c r="AE86">
        <v>500</v>
      </c>
      <c r="AF86">
        <v>150</v>
      </c>
      <c r="AG86">
        <f>+IFERROR(TablaGeneral[[#This Row],[Plantas]]/TablaGeneral[[#This Row],[Rendimiento Poda]],0)</f>
        <v>29.93</v>
      </c>
      <c r="AH86">
        <f>+TablaGeneral[[#This Row],[Plantas]]/TablaGeneral[[#This Row],[Rendimiento Atada]]</f>
        <v>19.953333333333333</v>
      </c>
      <c r="AI86">
        <f>+IFERROR(TablaGeneral[[#This Row],[Plantas]]/TablaGeneral[[#This Row],[Rendimiento Desbrote de troncos]],0)</f>
        <v>46.04615384615385</v>
      </c>
      <c r="AJ86" s="2">
        <f>+IFERROR(TablaGeneral[[#This Row],[Plantas]]/TablaGeneral[[#This Row],[Rendimiento Acomodo de brotes ]],0)</f>
        <v>11.972</v>
      </c>
      <c r="AK86">
        <f>+IFERROR(TablaGeneral[[#This Row],[Plantas]]/TablaGeneral[[#This Row],[Rendimiento Desniete, deshoje ]],0)</f>
        <v>0</v>
      </c>
      <c r="AL86">
        <f>+IFERROR(TablaGeneral[[#This Row],[Plantas]]/TablaGeneral[[#This Row],[Rendimiento Desbrote con criterio de Poda]],0)</f>
        <v>11.972</v>
      </c>
      <c r="AM86">
        <f>+IFERROR(TablaGeneral[[#This Row],[Plantas]]/TablaGeneral[[#This Row],[Rendimiento Raleo de Racimos]],0)</f>
        <v>39.906666666666666</v>
      </c>
      <c r="AN86">
        <f t="shared" si="127"/>
        <v>5.9514596268414328E-2</v>
      </c>
      <c r="AR86">
        <f t="shared" si="128"/>
        <v>0.65320036533825976</v>
      </c>
      <c r="AS86">
        <f t="shared" si="129"/>
        <v>2.3400555056787629</v>
      </c>
      <c r="AT86">
        <f t="shared" si="130"/>
        <v>25.150098104709446</v>
      </c>
      <c r="AU86">
        <f t="shared" si="131"/>
        <v>5.3761799125225647</v>
      </c>
      <c r="AV86">
        <f t="shared" si="132"/>
        <v>3.8515239449488154</v>
      </c>
      <c r="AW86">
        <f t="shared" si="133"/>
        <v>0.30876997513746612</v>
      </c>
      <c r="AX86">
        <f t="shared" si="134"/>
        <v>6.6630305323968431</v>
      </c>
      <c r="AY86">
        <f t="shared" si="135"/>
        <v>11.486334792311487</v>
      </c>
      <c r="BA86">
        <f t="shared" si="136"/>
        <v>4.615301582895782</v>
      </c>
      <c r="BC86">
        <f t="shared" si="137"/>
        <v>1.6251024851634062</v>
      </c>
      <c r="BD86">
        <f t="shared" si="138"/>
        <v>0.52003335997498001</v>
      </c>
      <c r="BE86">
        <f t="shared" si="139"/>
        <v>14.116359743141679</v>
      </c>
      <c r="BF86">
        <f t="shared" si="140"/>
        <v>1.5113413722757478</v>
      </c>
      <c r="BG86">
        <f t="shared" si="141"/>
        <v>4.6477681240440081</v>
      </c>
      <c r="BH86">
        <f t="shared" si="142"/>
        <v>3.9088160584036933</v>
      </c>
      <c r="BI86">
        <f t="shared" si="143"/>
        <v>2.7464258841234011</v>
      </c>
      <c r="BJ86">
        <f t="shared" si="144"/>
        <v>7.4754637197737628</v>
      </c>
      <c r="BK86">
        <f t="shared" si="145"/>
        <v>0.52007854176440949</v>
      </c>
      <c r="BL86">
        <f t="shared" si="146"/>
        <v>3.7859957371180641</v>
      </c>
      <c r="BM86">
        <f t="shared" si="147"/>
        <v>1.6902967478871291</v>
      </c>
      <c r="BN86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206.57190685812361</v>
      </c>
      <c r="BO86" s="1">
        <f>+TablaGeneral[[#This Row],[Combustible]]/100</f>
        <v>2.0657190685812363</v>
      </c>
      <c r="BP86" s="1">
        <f>+TablaGeneral[[#This Row],[Combustible]]/150</f>
        <v>1.377146045720824</v>
      </c>
      <c r="BQ86" s="1">
        <f>+TablaGeneral[[#This Row],[Combustible]]/200</f>
        <v>1.0328595342906182</v>
      </c>
      <c r="BR86">
        <f t="shared" si="113"/>
        <v>1.9016521909488671</v>
      </c>
      <c r="BS86">
        <f t="shared" si="114"/>
        <v>1.9016521909488671</v>
      </c>
      <c r="BT86">
        <f t="shared" si="115"/>
        <v>3.8982597054886212</v>
      </c>
      <c r="BU86">
        <f t="shared" si="116"/>
        <v>0.51819095835075757</v>
      </c>
      <c r="BV86">
        <f t="shared" si="117"/>
        <v>1.9016521909488671</v>
      </c>
      <c r="BW86">
        <f t="shared" si="118"/>
        <v>2.1857513332557712</v>
      </c>
      <c r="BX86">
        <f t="shared" si="119"/>
        <v>3.6575333002581125</v>
      </c>
      <c r="BY86">
        <f t="shared" si="120"/>
        <v>7.3488958990536277</v>
      </c>
      <c r="BZ86">
        <f t="shared" si="121"/>
        <v>4.409448818897638</v>
      </c>
      <c r="CA86">
        <f t="shared" si="122"/>
        <v>5.5020736695921624</v>
      </c>
      <c r="CB86">
        <f t="shared" si="123"/>
        <v>2.1857513332557712</v>
      </c>
      <c r="CC86">
        <f t="shared" si="124"/>
        <v>0.82907691168850395</v>
      </c>
      <c r="CF86">
        <f t="shared" si="148"/>
        <v>14.587680123033456</v>
      </c>
      <c r="CG86">
        <f t="shared" si="125"/>
        <v>1.2059469085186565</v>
      </c>
      <c r="CH86">
        <f t="shared" si="126"/>
        <v>1.1305598639601042</v>
      </c>
      <c r="CI86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6.9615865256891301</v>
      </c>
      <c r="CJ86" s="59">
        <f>+TablaGeneral[[#This Row],[Tracto elevador]]+TablaGeneral[[#This Row],[Tractor con uñas]]+TablaGeneral[[#This Row],[Tractor con acoplado]]</f>
        <v>7.7015640873863553</v>
      </c>
      <c r="CK86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5.9940400727368734</v>
      </c>
      <c r="CL86" s="60">
        <f>+SUM(BR86:BV86)+TablaGeneral[[#This Row],[Cosecha DOV]]+TablaGeneral[[#This Row],[Corte DOV]]</f>
        <v>10.121407236685981</v>
      </c>
      <c r="CM86" s="60">
        <f>+SUM(TablaGeneral[[#This Row],[Colocación de malla]:[Descarga y carga de bines con Autoelevador]])</f>
        <v>43.042718161513804</v>
      </c>
      <c r="CN86" s="64"/>
      <c r="CO86" s="64"/>
      <c r="CP86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86" t="str">
        <f>+TablaGeneral[[#This Row],[Variedad]]&amp;" "&amp;TablaGeneral[[#This Row],[Año de plantación]]</f>
        <v>Flame 2021</v>
      </c>
      <c r="CR86" t="str">
        <f>+IF(TablaGeneral[[#This Row],[Finca]]="El Espejo I","El Espejo I y II",IF(TablaGeneral[[#This Row],[Finca]]="El Espejo II","El Espejo I y II",TablaGeneral[[#This Row],[Finca]]))</f>
        <v>El Espejo III</v>
      </c>
    </row>
    <row r="87" spans="1:96">
      <c r="A87" t="s">
        <v>15</v>
      </c>
      <c r="B87">
        <v>25</v>
      </c>
      <c r="C87">
        <v>2</v>
      </c>
      <c r="D87" t="s">
        <v>6</v>
      </c>
      <c r="E87" s="2">
        <v>16000</v>
      </c>
      <c r="F87" s="2">
        <f>+TablaGeneral[[#This Row],[Has]]*TablaGeneral[[#This Row],[Kg x Has]]</f>
        <v>32000</v>
      </c>
      <c r="G87" s="2">
        <f>+TablaGeneral[[#This Row],[Kg 2026]]/4</f>
        <v>8000</v>
      </c>
      <c r="H87">
        <v>3260</v>
      </c>
      <c r="I87">
        <v>2021</v>
      </c>
      <c r="K87">
        <f>10000/IF(LEN(TablaGeneral[[#This Row],[Marco de plantación]])&gt;3,(MID(TablaGeneral[[#This Row],[Marco de plantación]],1,3)*MID(TablaGeneral[[#This Row],[Marco de plantación]],5,3)),(3*2))</f>
        <v>1666.6666666666667</v>
      </c>
      <c r="M87">
        <f>+TablaGeneral[[#This Row],[Plantas x Has]]*TablaGeneral[[#This Row],[N° de Guías x planta]]</f>
        <v>0</v>
      </c>
      <c r="O87">
        <f>+TablaGeneral[[#This Row],[N° de Guías x planta]]*TablaGeneral[[#This Row],[N° de Yemas x Guias]]</f>
        <v>0</v>
      </c>
      <c r="Q87">
        <f>+TablaGeneral[[#This Row],[N° de Yemas x Planta]]*TablaGeneral[[#This Row],[% de Brotación]]</f>
        <v>0</v>
      </c>
      <c r="T87">
        <f>+TablaGeneral[[#This Row],[N° de Brotes x Planta]]*TablaGeneral[[#This Row],[% de Fertilidad]]*TablaGeneral[[#This Row],[Cantidad de Racimos x Brote]]</f>
        <v>0</v>
      </c>
      <c r="V87">
        <f>+TablaGeneral[[#This Row],[Cantidad de Racimos x Planta]]*TablaGeneral[[#This Row],[Peso del Racimo]]</f>
        <v>0</v>
      </c>
      <c r="W87">
        <f>+TablaGeneral[[#This Row],[Plantas]]*TablaGeneral[[#This Row],[Kg x Planta]]</f>
        <v>0</v>
      </c>
      <c r="X87">
        <f>+TablaGeneral[[#This Row],[Kg x Cuartel]]/TablaGeneral[[#This Row],[Has]]</f>
        <v>0</v>
      </c>
      <c r="Y87" t="s">
        <v>163</v>
      </c>
      <c r="Z87">
        <v>200</v>
      </c>
      <c r="AA87">
        <f>+TablaGeneral[[#This Row],[Rendimiento Poda]]*1.5</f>
        <v>300</v>
      </c>
      <c r="AB87">
        <v>130</v>
      </c>
      <c r="AC87">
        <v>500</v>
      </c>
      <c r="AE87">
        <v>500</v>
      </c>
      <c r="AF87">
        <v>150</v>
      </c>
      <c r="AG87">
        <f>+IFERROR(TablaGeneral[[#This Row],[Plantas]]/TablaGeneral[[#This Row],[Rendimiento Poda]],0)</f>
        <v>16.3</v>
      </c>
      <c r="AH87">
        <f>+TablaGeneral[[#This Row],[Plantas]]/TablaGeneral[[#This Row],[Rendimiento Atada]]</f>
        <v>10.866666666666667</v>
      </c>
      <c r="AI87">
        <f>+IFERROR(TablaGeneral[[#This Row],[Plantas]]/TablaGeneral[[#This Row],[Rendimiento Desbrote de troncos]],0)</f>
        <v>25.076923076923077</v>
      </c>
      <c r="AJ87" s="2">
        <f>+IFERROR(TablaGeneral[[#This Row],[Plantas]]/TablaGeneral[[#This Row],[Rendimiento Acomodo de brotes ]],0)</f>
        <v>6.52</v>
      </c>
      <c r="AK87">
        <f>+IFERROR(TablaGeneral[[#This Row],[Plantas]]/TablaGeneral[[#This Row],[Rendimiento Desniete, deshoje ]],0)</f>
        <v>0</v>
      </c>
      <c r="AL87">
        <f>+IFERROR(TablaGeneral[[#This Row],[Plantas]]/TablaGeneral[[#This Row],[Rendimiento Desbrote con criterio de Poda]],0)</f>
        <v>6.52</v>
      </c>
      <c r="AM87">
        <f>+IFERROR(TablaGeneral[[#This Row],[Plantas]]/TablaGeneral[[#This Row],[Rendimiento Raleo de Racimos]],0)</f>
        <v>21.733333333333334</v>
      </c>
      <c r="AN87">
        <f t="shared" si="127"/>
        <v>3.2411891719851441E-2</v>
      </c>
      <c r="AR87">
        <f t="shared" si="128"/>
        <v>0.35573558152401047</v>
      </c>
      <c r="AS87">
        <f t="shared" si="129"/>
        <v>1.2744037668748358</v>
      </c>
      <c r="AT87">
        <f t="shared" si="130"/>
        <v>13.696845944095021</v>
      </c>
      <c r="AU87">
        <f t="shared" si="131"/>
        <v>2.927889494624718</v>
      </c>
      <c r="AV87">
        <f t="shared" si="132"/>
        <v>2.0975556399153255</v>
      </c>
      <c r="AW87">
        <f t="shared" si="133"/>
        <v>0.16815738706116598</v>
      </c>
      <c r="AX87">
        <f t="shared" si="134"/>
        <v>3.628713587640112</v>
      </c>
      <c r="AY87">
        <f t="shared" si="135"/>
        <v>6.2555047482351229</v>
      </c>
      <c r="BA87">
        <f t="shared" si="136"/>
        <v>2.5135120548346555</v>
      </c>
      <c r="BC87">
        <f t="shared" si="137"/>
        <v>0.88503743762657938</v>
      </c>
      <c r="BD87">
        <f t="shared" si="138"/>
        <v>0.28321228759078432</v>
      </c>
      <c r="BE87">
        <f t="shared" si="139"/>
        <v>7.6878270569064275</v>
      </c>
      <c r="BF87">
        <f t="shared" si="140"/>
        <v>0.82308267183744377</v>
      </c>
      <c r="BG87">
        <f t="shared" si="141"/>
        <v>2.5311934654833723</v>
      </c>
      <c r="BH87">
        <f t="shared" si="142"/>
        <v>2.1287571584356897</v>
      </c>
      <c r="BI87">
        <f t="shared" si="143"/>
        <v>1.4957147314136798</v>
      </c>
      <c r="BJ87">
        <f t="shared" si="144"/>
        <v>4.0711680131076626</v>
      </c>
      <c r="BK87">
        <f t="shared" si="145"/>
        <v>0.28323689377747663</v>
      </c>
      <c r="BL87">
        <f t="shared" si="146"/>
        <v>2.0618687108260758</v>
      </c>
      <c r="BM87">
        <f t="shared" si="147"/>
        <v>0.92054249884932193</v>
      </c>
      <c r="BN87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113.16365629391325</v>
      </c>
      <c r="BO87" s="1">
        <f>+TablaGeneral[[#This Row],[Combustible]]/100</f>
        <v>1.1316365629391325</v>
      </c>
      <c r="BP87" s="1">
        <f>+TablaGeneral[[#This Row],[Combustible]]/150</f>
        <v>0.75442437529275497</v>
      </c>
      <c r="BQ87" s="1">
        <f>+TablaGeneral[[#This Row],[Combustible]]/200</f>
        <v>0.56581828146956625</v>
      </c>
      <c r="BR87">
        <f t="shared" si="113"/>
        <v>1.0448638411806961</v>
      </c>
      <c r="BS87">
        <f t="shared" si="114"/>
        <v>1.0448638411806961</v>
      </c>
      <c r="BT87">
        <f t="shared" si="115"/>
        <v>2.14190093708166</v>
      </c>
      <c r="BU87">
        <f t="shared" si="116"/>
        <v>0.28472030678613058</v>
      </c>
      <c r="BV87">
        <f t="shared" si="117"/>
        <v>1.0448638411806961</v>
      </c>
      <c r="BW87">
        <f t="shared" si="118"/>
        <v>1.2009622710196546</v>
      </c>
      <c r="BX87">
        <f t="shared" si="119"/>
        <v>2.0096336814605014</v>
      </c>
      <c r="BY87">
        <f t="shared" si="120"/>
        <v>4.0378548895899051</v>
      </c>
      <c r="BZ87">
        <f t="shared" si="121"/>
        <v>2.4227740763173835</v>
      </c>
      <c r="CA87">
        <f t="shared" si="122"/>
        <v>3.0231174008748143</v>
      </c>
      <c r="CB87">
        <f t="shared" si="123"/>
        <v>1.2009622710196546</v>
      </c>
      <c r="CC87">
        <f t="shared" si="124"/>
        <v>0.45553676466401316</v>
      </c>
      <c r="CF87">
        <f t="shared" si="148"/>
        <v>8.0152088588095918</v>
      </c>
      <c r="CG87">
        <f t="shared" si="125"/>
        <v>0.66260819149376737</v>
      </c>
      <c r="CH87">
        <f t="shared" si="126"/>
        <v>0.62118673843961769</v>
      </c>
      <c r="CI87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3.7913083985543876</v>
      </c>
      <c r="CJ87" s="59">
        <f>+TablaGeneral[[#This Row],[Tracto elevador]]+TablaGeneral[[#This Row],[Tractor con uñas]]+TablaGeneral[[#This Row],[Tractor con acoplado]]</f>
        <v>4.2316286194430521</v>
      </c>
      <c r="CK87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3.2934286113938862</v>
      </c>
      <c r="CL87" s="60">
        <f>+SUM(BR87:BV87)+TablaGeneral[[#This Row],[Cosecha DOV]]+TablaGeneral[[#This Row],[Corte DOV]]</f>
        <v>5.561212767409879</v>
      </c>
      <c r="CM87" s="60">
        <f>+SUM(TablaGeneral[[#This Row],[Colocación de malla]:[Descarga y carga de bines con Autoelevador]])</f>
        <v>23.649845143688903</v>
      </c>
      <c r="CN87" s="64"/>
      <c r="CO87" s="64"/>
      <c r="CP87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87" t="str">
        <f>+TablaGeneral[[#This Row],[Variedad]]&amp;" "&amp;TablaGeneral[[#This Row],[Año de plantación]]</f>
        <v>Flame 2021</v>
      </c>
      <c r="CR87" t="str">
        <f>+IF(TablaGeneral[[#This Row],[Finca]]="El Espejo I","El Espejo I y II",IF(TablaGeneral[[#This Row],[Finca]]="El Espejo II","El Espejo I y II",TablaGeneral[[#This Row],[Finca]]))</f>
        <v>El Espejo III</v>
      </c>
    </row>
    <row r="88" spans="1:96">
      <c r="A88" t="s">
        <v>15</v>
      </c>
      <c r="B88">
        <v>26</v>
      </c>
      <c r="C88">
        <v>2.8</v>
      </c>
      <c r="D88" t="s">
        <v>10</v>
      </c>
      <c r="E88" s="2">
        <v>16000</v>
      </c>
      <c r="F88" s="2">
        <f>+TablaGeneral[[#This Row],[Has]]*TablaGeneral[[#This Row],[Kg x Has]]</f>
        <v>44800</v>
      </c>
      <c r="G88" s="2">
        <f>+TablaGeneral[[#This Row],[Kg 2026]]/4</f>
        <v>11200</v>
      </c>
      <c r="H88">
        <v>4565</v>
      </c>
      <c r="I88">
        <v>2021</v>
      </c>
      <c r="K88">
        <f>10000/IF(LEN(TablaGeneral[[#This Row],[Marco de plantación]])&gt;3,(MID(TablaGeneral[[#This Row],[Marco de plantación]],1,3)*MID(TablaGeneral[[#This Row],[Marco de plantación]],5,3)),(3*2))</f>
        <v>1666.6666666666667</v>
      </c>
      <c r="M88">
        <f>+TablaGeneral[[#This Row],[Plantas x Has]]*TablaGeneral[[#This Row],[N° de Guías x planta]]</f>
        <v>0</v>
      </c>
      <c r="O88">
        <f>+TablaGeneral[[#This Row],[N° de Guías x planta]]*TablaGeneral[[#This Row],[N° de Yemas x Guias]]</f>
        <v>0</v>
      </c>
      <c r="Q88">
        <f>+TablaGeneral[[#This Row],[N° de Yemas x Planta]]*TablaGeneral[[#This Row],[% de Brotación]]</f>
        <v>0</v>
      </c>
      <c r="T88">
        <f>+TablaGeneral[[#This Row],[N° de Brotes x Planta]]*TablaGeneral[[#This Row],[% de Fertilidad]]*TablaGeneral[[#This Row],[Cantidad de Racimos x Brote]]</f>
        <v>0</v>
      </c>
      <c r="V88">
        <f>+TablaGeneral[[#This Row],[Cantidad de Racimos x Planta]]*TablaGeneral[[#This Row],[Peso del Racimo]]</f>
        <v>0</v>
      </c>
      <c r="W88">
        <f>+TablaGeneral[[#This Row],[Plantas]]*TablaGeneral[[#This Row],[Kg x Planta]]</f>
        <v>0</v>
      </c>
      <c r="X88">
        <f>+TablaGeneral[[#This Row],[Kg x Cuartel]]/TablaGeneral[[#This Row],[Has]]</f>
        <v>0</v>
      </c>
      <c r="Y88" t="s">
        <v>163</v>
      </c>
      <c r="Z88">
        <v>200</v>
      </c>
      <c r="AA88">
        <f>+TablaGeneral[[#This Row],[Rendimiento Poda]]*1.5</f>
        <v>300</v>
      </c>
      <c r="AB88">
        <v>130</v>
      </c>
      <c r="AC88">
        <v>500</v>
      </c>
      <c r="AE88">
        <v>500</v>
      </c>
      <c r="AF88">
        <v>150</v>
      </c>
      <c r="AG88">
        <f>+IFERROR(TablaGeneral[[#This Row],[Plantas]]/TablaGeneral[[#This Row],[Rendimiento Poda]],0)</f>
        <v>22.824999999999999</v>
      </c>
      <c r="AH88">
        <f>+TablaGeneral[[#This Row],[Plantas]]/TablaGeneral[[#This Row],[Rendimiento Atada]]</f>
        <v>15.216666666666667</v>
      </c>
      <c r="AI88">
        <f>+IFERROR(TablaGeneral[[#This Row],[Plantas]]/TablaGeneral[[#This Row],[Rendimiento Desbrote de troncos]],0)</f>
        <v>35.115384615384613</v>
      </c>
      <c r="AJ88" s="2">
        <f>+IFERROR(TablaGeneral[[#This Row],[Plantas]]/TablaGeneral[[#This Row],[Rendimiento Acomodo de brotes ]],0)</f>
        <v>9.1300000000000008</v>
      </c>
      <c r="AK88">
        <f>+IFERROR(TablaGeneral[[#This Row],[Plantas]]/TablaGeneral[[#This Row],[Rendimiento Desniete, deshoje ]],0)</f>
        <v>0</v>
      </c>
      <c r="AL88">
        <f>+IFERROR(TablaGeneral[[#This Row],[Plantas]]/TablaGeneral[[#This Row],[Rendimiento Desbrote con criterio de Poda]],0)</f>
        <v>9.1300000000000008</v>
      </c>
      <c r="AM88">
        <f>+IFERROR(TablaGeneral[[#This Row],[Plantas]]/TablaGeneral[[#This Row],[Rendimiento Raleo de Racimos]],0)</f>
        <v>30.433333333333334</v>
      </c>
      <c r="AN88">
        <f t="shared" si="127"/>
        <v>4.5386590705865586E-2</v>
      </c>
      <c r="AR88">
        <f t="shared" si="128"/>
        <v>0.49813893547764043</v>
      </c>
      <c r="AS88">
        <f t="shared" si="129"/>
        <v>1.7845561950256519</v>
      </c>
      <c r="AT88">
        <f t="shared" si="130"/>
        <v>19.179785808218949</v>
      </c>
      <c r="AU88">
        <f t="shared" si="131"/>
        <v>4.0999434180864531</v>
      </c>
      <c r="AV88">
        <f t="shared" si="132"/>
        <v>2.9372213178568898</v>
      </c>
      <c r="AW88">
        <f t="shared" si="133"/>
        <v>0.23547192390620328</v>
      </c>
      <c r="AX88">
        <f t="shared" si="134"/>
        <v>5.0813121250236533</v>
      </c>
      <c r="AY88">
        <f t="shared" si="135"/>
        <v>8.7596255140163617</v>
      </c>
      <c r="BA88">
        <f t="shared" si="136"/>
        <v>3.5196878927362585</v>
      </c>
      <c r="BC88">
        <f t="shared" si="137"/>
        <v>1.2393238965537836</v>
      </c>
      <c r="BD88">
        <f t="shared" si="138"/>
        <v>0.39658407756194186</v>
      </c>
      <c r="BE88">
        <f t="shared" si="139"/>
        <v>10.765316108827559</v>
      </c>
      <c r="BF88">
        <f t="shared" si="140"/>
        <v>1.1525682199196106</v>
      </c>
      <c r="BG88">
        <f t="shared" si="141"/>
        <v>3.54444729139006</v>
      </c>
      <c r="BH88">
        <f t="shared" si="142"/>
        <v>2.9809130148033511</v>
      </c>
      <c r="BI88">
        <f t="shared" si="143"/>
        <v>2.0944594321789718</v>
      </c>
      <c r="BJ88">
        <f t="shared" si="144"/>
        <v>5.700884042894625</v>
      </c>
      <c r="BK88">
        <f t="shared" si="145"/>
        <v>0.39661853377122108</v>
      </c>
      <c r="BL88">
        <f t="shared" si="146"/>
        <v>2.8872486702211768</v>
      </c>
      <c r="BM88">
        <f t="shared" si="147"/>
        <v>1.2890418733886977</v>
      </c>
      <c r="BN88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158.44074859184221</v>
      </c>
      <c r="BO88" s="1">
        <f>+TablaGeneral[[#This Row],[Combustible]]/100</f>
        <v>1.5844074859184221</v>
      </c>
      <c r="BP88" s="1">
        <f>+TablaGeneral[[#This Row],[Combustible]]/150</f>
        <v>1.0562716572789481</v>
      </c>
      <c r="BQ88" s="1">
        <f>+TablaGeneral[[#This Row],[Combustible]]/200</f>
        <v>0.79220374295921103</v>
      </c>
      <c r="BR88">
        <f t="shared" si="113"/>
        <v>1.4628093776529747</v>
      </c>
      <c r="BS88">
        <f t="shared" si="114"/>
        <v>1.4628093776529747</v>
      </c>
      <c r="BT88">
        <f t="shared" si="115"/>
        <v>2.9986613119143239</v>
      </c>
      <c r="BU88">
        <f t="shared" si="116"/>
        <v>0.39860842950058278</v>
      </c>
      <c r="BV88">
        <f t="shared" si="117"/>
        <v>1.4628093776529747</v>
      </c>
      <c r="BW88">
        <f t="shared" si="118"/>
        <v>1.6813471794275163</v>
      </c>
      <c r="BX88">
        <f t="shared" si="119"/>
        <v>2.8134871540447017</v>
      </c>
      <c r="BY88">
        <f t="shared" si="120"/>
        <v>5.6529968454258679</v>
      </c>
      <c r="BZ88">
        <f t="shared" si="121"/>
        <v>3.3918837068443368</v>
      </c>
      <c r="CA88">
        <f t="shared" si="122"/>
        <v>4.2323643612247404</v>
      </c>
      <c r="CB88">
        <f t="shared" si="123"/>
        <v>1.6813471794275163</v>
      </c>
      <c r="CC88">
        <f t="shared" si="124"/>
        <v>0.63775147052961845</v>
      </c>
      <c r="CF88">
        <f t="shared" si="148"/>
        <v>11.221292402333429</v>
      </c>
      <c r="CG88">
        <f t="shared" si="125"/>
        <v>0.9276514680912743</v>
      </c>
      <c r="CH88">
        <f t="shared" si="126"/>
        <v>0.86966143381546479</v>
      </c>
      <c r="CI88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5.3089947360125089</v>
      </c>
      <c r="CJ88" s="59">
        <f>+TablaGeneral[[#This Row],[Tracto elevador]]+TablaGeneral[[#This Row],[Tractor con uñas]]+TablaGeneral[[#This Row],[Tractor con acoplado]]</f>
        <v>5.9242800672202733</v>
      </c>
      <c r="CK88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4.610800055951441</v>
      </c>
      <c r="CL88" s="60">
        <f>+SUM(BR88:BV88)+TablaGeneral[[#This Row],[Cosecha DOV]]+TablaGeneral[[#This Row],[Corte DOV]]</f>
        <v>7.785697874373831</v>
      </c>
      <c r="CM88" s="60">
        <f>+SUM(TablaGeneral[[#This Row],[Colocación de malla]:[Descarga y carga de bines con Autoelevador]])</f>
        <v>33.109783201164468</v>
      </c>
      <c r="CN88" s="64"/>
      <c r="CO88" s="64"/>
      <c r="CP88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88" t="str">
        <f>+TablaGeneral[[#This Row],[Variedad]]&amp;" "&amp;TablaGeneral[[#This Row],[Año de plantación]]</f>
        <v>Fiesta 2021</v>
      </c>
      <c r="CR88" t="str">
        <f>+IF(TablaGeneral[[#This Row],[Finca]]="El Espejo I","El Espejo I y II",IF(TablaGeneral[[#This Row],[Finca]]="El Espejo II","El Espejo I y II",TablaGeneral[[#This Row],[Finca]]))</f>
        <v>El Espejo III</v>
      </c>
    </row>
    <row r="89" spans="1:96">
      <c r="A89" t="s">
        <v>15</v>
      </c>
      <c r="B89">
        <v>27</v>
      </c>
      <c r="C89">
        <v>2.85</v>
      </c>
      <c r="D89" t="s">
        <v>10</v>
      </c>
      <c r="E89" s="2">
        <v>16000</v>
      </c>
      <c r="F89" s="2">
        <f>+TablaGeneral[[#This Row],[Has]]*TablaGeneral[[#This Row],[Kg x Has]]</f>
        <v>45600</v>
      </c>
      <c r="G89" s="2">
        <f>+TablaGeneral[[#This Row],[Kg 2026]]/4</f>
        <v>11400</v>
      </c>
      <c r="H89">
        <v>4648</v>
      </c>
      <c r="I89">
        <v>2021</v>
      </c>
      <c r="K89">
        <f>10000/IF(LEN(TablaGeneral[[#This Row],[Marco de plantación]])&gt;3,(MID(TablaGeneral[[#This Row],[Marco de plantación]],1,3)*MID(TablaGeneral[[#This Row],[Marco de plantación]],5,3)),(3*2))</f>
        <v>1666.6666666666667</v>
      </c>
      <c r="M89">
        <f>+TablaGeneral[[#This Row],[Plantas x Has]]*TablaGeneral[[#This Row],[N° de Guías x planta]]</f>
        <v>0</v>
      </c>
      <c r="O89">
        <f>+TablaGeneral[[#This Row],[N° de Guías x planta]]*TablaGeneral[[#This Row],[N° de Yemas x Guias]]</f>
        <v>0</v>
      </c>
      <c r="Q89">
        <f>+TablaGeneral[[#This Row],[N° de Yemas x Planta]]*TablaGeneral[[#This Row],[% de Brotación]]</f>
        <v>0</v>
      </c>
      <c r="T89">
        <f>+TablaGeneral[[#This Row],[N° de Brotes x Planta]]*TablaGeneral[[#This Row],[% de Fertilidad]]*TablaGeneral[[#This Row],[Cantidad de Racimos x Brote]]</f>
        <v>0</v>
      </c>
      <c r="V89">
        <f>+TablaGeneral[[#This Row],[Cantidad de Racimos x Planta]]*TablaGeneral[[#This Row],[Peso del Racimo]]</f>
        <v>0</v>
      </c>
      <c r="W89">
        <f>+TablaGeneral[[#This Row],[Plantas]]*TablaGeneral[[#This Row],[Kg x Planta]]</f>
        <v>0</v>
      </c>
      <c r="X89">
        <f>+TablaGeneral[[#This Row],[Kg x Cuartel]]/TablaGeneral[[#This Row],[Has]]</f>
        <v>0</v>
      </c>
      <c r="Y89" t="s">
        <v>163</v>
      </c>
      <c r="Z89">
        <v>200</v>
      </c>
      <c r="AA89">
        <f>+TablaGeneral[[#This Row],[Rendimiento Poda]]*1.5</f>
        <v>300</v>
      </c>
      <c r="AB89">
        <v>130</v>
      </c>
      <c r="AC89">
        <v>500</v>
      </c>
      <c r="AE89">
        <v>500</v>
      </c>
      <c r="AF89">
        <v>150</v>
      </c>
      <c r="AG89">
        <f>+IFERROR(TablaGeneral[[#This Row],[Plantas]]/TablaGeneral[[#This Row],[Rendimiento Poda]],0)</f>
        <v>23.24</v>
      </c>
      <c r="AH89">
        <f>+TablaGeneral[[#This Row],[Plantas]]/TablaGeneral[[#This Row],[Rendimiento Atada]]</f>
        <v>15.493333333333334</v>
      </c>
      <c r="AI89">
        <f>+IFERROR(TablaGeneral[[#This Row],[Plantas]]/TablaGeneral[[#This Row],[Rendimiento Desbrote de troncos]],0)</f>
        <v>35.753846153846155</v>
      </c>
      <c r="AJ89" s="2">
        <f>+IFERROR(TablaGeneral[[#This Row],[Plantas]]/TablaGeneral[[#This Row],[Rendimiento Acomodo de brotes ]],0)</f>
        <v>9.2959999999999994</v>
      </c>
      <c r="AK89">
        <f>+IFERROR(TablaGeneral[[#This Row],[Plantas]]/TablaGeneral[[#This Row],[Rendimiento Desniete, deshoje ]],0)</f>
        <v>0</v>
      </c>
      <c r="AL89">
        <f>+IFERROR(TablaGeneral[[#This Row],[Plantas]]/TablaGeneral[[#This Row],[Rendimiento Desbrote con criterio de Poda]],0)</f>
        <v>9.2959999999999994</v>
      </c>
      <c r="AM89">
        <f>+IFERROR(TablaGeneral[[#This Row],[Plantas]]/TablaGeneral[[#This Row],[Rendimiento Raleo de Racimos]],0)</f>
        <v>30.986666666666668</v>
      </c>
      <c r="AN89">
        <f t="shared" si="127"/>
        <v>4.6211801445972235E-2</v>
      </c>
      <c r="AR89">
        <f t="shared" si="128"/>
        <v>0.50719600703177936</v>
      </c>
      <c r="AS89">
        <f t="shared" si="129"/>
        <v>1.8170026712988456</v>
      </c>
      <c r="AT89">
        <f t="shared" si="130"/>
        <v>19.528509186550203</v>
      </c>
      <c r="AU89">
        <f t="shared" si="131"/>
        <v>4.1744878438698434</v>
      </c>
      <c r="AV89">
        <f t="shared" si="132"/>
        <v>2.9906253418179243</v>
      </c>
      <c r="AW89">
        <f t="shared" si="133"/>
        <v>0.23975323161358877</v>
      </c>
      <c r="AX89">
        <f t="shared" si="134"/>
        <v>5.1736996182059016</v>
      </c>
      <c r="AY89">
        <f t="shared" si="135"/>
        <v>8.9188914324530213</v>
      </c>
      <c r="BA89">
        <f t="shared" si="136"/>
        <v>3.583682218058736</v>
      </c>
      <c r="BC89">
        <f t="shared" si="137"/>
        <v>1.2618570583093069</v>
      </c>
      <c r="BD89">
        <f t="shared" si="138"/>
        <v>0.40379469715397714</v>
      </c>
      <c r="BE89">
        <f t="shared" si="139"/>
        <v>10.96104912898806</v>
      </c>
      <c r="BF89">
        <f t="shared" si="140"/>
        <v>1.1735240057363308</v>
      </c>
      <c r="BG89">
        <f t="shared" si="141"/>
        <v>3.6088917875971518</v>
      </c>
      <c r="BH89">
        <f t="shared" si="142"/>
        <v>3.035111433254321</v>
      </c>
      <c r="BI89">
        <f t="shared" si="143"/>
        <v>2.1325405127640442</v>
      </c>
      <c r="BJ89">
        <f t="shared" si="144"/>
        <v>5.8045364800381636</v>
      </c>
      <c r="BK89">
        <f t="shared" si="145"/>
        <v>0.40382977983978874</v>
      </c>
      <c r="BL89">
        <f t="shared" si="146"/>
        <v>2.9397441005888343</v>
      </c>
      <c r="BM89">
        <f t="shared" si="147"/>
        <v>1.3124789983594014</v>
      </c>
      <c r="BN89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161.28728466973556</v>
      </c>
      <c r="BO89" s="1">
        <f>+TablaGeneral[[#This Row],[Combustible]]/100</f>
        <v>1.6128728466973556</v>
      </c>
      <c r="BP89" s="1">
        <f>+TablaGeneral[[#This Row],[Combustible]]/150</f>
        <v>1.0752485644649037</v>
      </c>
      <c r="BQ89" s="1">
        <f>+TablaGeneral[[#This Row],[Combustible]]/200</f>
        <v>0.80643642334867782</v>
      </c>
      <c r="BR89">
        <f t="shared" si="113"/>
        <v>1.4889309736824921</v>
      </c>
      <c r="BS89">
        <f t="shared" si="114"/>
        <v>1.4889309736824921</v>
      </c>
      <c r="BT89">
        <f t="shared" si="115"/>
        <v>3.0522088353413657</v>
      </c>
      <c r="BU89">
        <f t="shared" si="116"/>
        <v>0.40572643717023604</v>
      </c>
      <c r="BV89">
        <f t="shared" si="117"/>
        <v>1.4889309736824921</v>
      </c>
      <c r="BW89">
        <f t="shared" si="118"/>
        <v>1.7113712362030078</v>
      </c>
      <c r="BX89">
        <f t="shared" si="119"/>
        <v>2.8637279960812143</v>
      </c>
      <c r="BY89">
        <f t="shared" si="120"/>
        <v>5.7539432176656149</v>
      </c>
      <c r="BZ89">
        <f t="shared" si="121"/>
        <v>3.4524530587522713</v>
      </c>
      <c r="CA89">
        <f t="shared" si="122"/>
        <v>4.307942296246611</v>
      </c>
      <c r="CB89">
        <f t="shared" si="123"/>
        <v>1.7113712362030078</v>
      </c>
      <c r="CC89">
        <f t="shared" si="124"/>
        <v>0.64913988964621872</v>
      </c>
      <c r="CF89">
        <f t="shared" si="148"/>
        <v>11.421672623803667</v>
      </c>
      <c r="CG89">
        <f t="shared" si="125"/>
        <v>0.94421667287861843</v>
      </c>
      <c r="CH89">
        <f t="shared" si="126"/>
        <v>0.88519110227645526</v>
      </c>
      <c r="CI89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5.4055219130309187</v>
      </c>
      <c r="CJ89" s="59">
        <f>+TablaGeneral[[#This Row],[Tracto elevador]]+TablaGeneral[[#This Row],[Tractor con uñas]]+TablaGeneral[[#This Row],[Tractor con acoplado]]</f>
        <v>6.0300707827063498</v>
      </c>
      <c r="CK89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4.693135771236288</v>
      </c>
      <c r="CL89" s="60">
        <f>+SUM(BR89:BV89)+TablaGeneral[[#This Row],[Cosecha DOV]]+TablaGeneral[[#This Row],[Corte DOV]]</f>
        <v>7.9247281935590772</v>
      </c>
      <c r="CM89" s="60">
        <f>+SUM(TablaGeneral[[#This Row],[Colocación de malla]:[Descarga y carga de bines con Autoelevador]])</f>
        <v>33.701029329756686</v>
      </c>
      <c r="CN89" s="64"/>
      <c r="CO89" s="64"/>
      <c r="CP89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89" t="str">
        <f>+TablaGeneral[[#This Row],[Variedad]]&amp;" "&amp;TablaGeneral[[#This Row],[Año de plantación]]</f>
        <v>Fiesta 2021</v>
      </c>
      <c r="CR89" t="str">
        <f>+IF(TablaGeneral[[#This Row],[Finca]]="El Espejo I","El Espejo I y II",IF(TablaGeneral[[#This Row],[Finca]]="El Espejo II","El Espejo I y II",TablaGeneral[[#This Row],[Finca]]))</f>
        <v>El Espejo III</v>
      </c>
    </row>
    <row r="90" spans="1:96">
      <c r="A90" t="s">
        <v>15</v>
      </c>
      <c r="B90">
        <v>28</v>
      </c>
      <c r="C90">
        <v>4.28</v>
      </c>
      <c r="D90" t="s">
        <v>10</v>
      </c>
      <c r="E90" s="2">
        <v>16000</v>
      </c>
      <c r="F90" s="2">
        <f>+TablaGeneral[[#This Row],[Has]]*TablaGeneral[[#This Row],[Kg x Has]]</f>
        <v>68480</v>
      </c>
      <c r="G90" s="2">
        <f>+TablaGeneral[[#This Row],[Kg 2026]]/4</f>
        <v>17120</v>
      </c>
      <c r="H90">
        <v>7050</v>
      </c>
      <c r="I90">
        <v>2021</v>
      </c>
      <c r="K90">
        <f>10000/IF(LEN(TablaGeneral[[#This Row],[Marco de plantación]])&gt;3,(MID(TablaGeneral[[#This Row],[Marco de plantación]],1,3)*MID(TablaGeneral[[#This Row],[Marco de plantación]],5,3)),(3*2))</f>
        <v>1666.6666666666667</v>
      </c>
      <c r="M90">
        <f>+TablaGeneral[[#This Row],[Plantas x Has]]*TablaGeneral[[#This Row],[N° de Guías x planta]]</f>
        <v>0</v>
      </c>
      <c r="O90">
        <f>+TablaGeneral[[#This Row],[N° de Guías x planta]]*TablaGeneral[[#This Row],[N° de Yemas x Guias]]</f>
        <v>0</v>
      </c>
      <c r="Q90">
        <f>+TablaGeneral[[#This Row],[N° de Yemas x Planta]]*TablaGeneral[[#This Row],[% de Brotación]]</f>
        <v>0</v>
      </c>
      <c r="T90">
        <f>+TablaGeneral[[#This Row],[N° de Brotes x Planta]]*TablaGeneral[[#This Row],[% de Fertilidad]]*TablaGeneral[[#This Row],[Cantidad de Racimos x Brote]]</f>
        <v>0</v>
      </c>
      <c r="V90">
        <f>+TablaGeneral[[#This Row],[Cantidad de Racimos x Planta]]*TablaGeneral[[#This Row],[Peso del Racimo]]</f>
        <v>0</v>
      </c>
      <c r="W90">
        <f>+TablaGeneral[[#This Row],[Plantas]]*TablaGeneral[[#This Row],[Kg x Planta]]</f>
        <v>0</v>
      </c>
      <c r="X90">
        <f>+TablaGeneral[[#This Row],[Kg x Cuartel]]/TablaGeneral[[#This Row],[Has]]</f>
        <v>0</v>
      </c>
      <c r="Y90" t="s">
        <v>163</v>
      </c>
      <c r="Z90">
        <v>200</v>
      </c>
      <c r="AA90">
        <f>+TablaGeneral[[#This Row],[Rendimiento Poda]]*1.5</f>
        <v>300</v>
      </c>
      <c r="AB90">
        <v>130</v>
      </c>
      <c r="AC90">
        <v>500</v>
      </c>
      <c r="AE90">
        <v>500</v>
      </c>
      <c r="AF90">
        <v>150</v>
      </c>
      <c r="AG90">
        <f>+IFERROR(TablaGeneral[[#This Row],[Plantas]]/TablaGeneral[[#This Row],[Rendimiento Poda]],0)</f>
        <v>35.25</v>
      </c>
      <c r="AH90">
        <f>+TablaGeneral[[#This Row],[Plantas]]/TablaGeneral[[#This Row],[Rendimiento Atada]]</f>
        <v>23.5</v>
      </c>
      <c r="AI90">
        <f>+IFERROR(TablaGeneral[[#This Row],[Plantas]]/TablaGeneral[[#This Row],[Rendimiento Desbrote de troncos]],0)</f>
        <v>54.230769230769234</v>
      </c>
      <c r="AJ90" s="2">
        <f>+IFERROR(TablaGeneral[[#This Row],[Plantas]]/TablaGeneral[[#This Row],[Rendimiento Acomodo de brotes ]],0)</f>
        <v>14.1</v>
      </c>
      <c r="AK90">
        <f>+IFERROR(TablaGeneral[[#This Row],[Plantas]]/TablaGeneral[[#This Row],[Rendimiento Desniete, deshoje ]],0)</f>
        <v>0</v>
      </c>
      <c r="AL90">
        <f>+IFERROR(TablaGeneral[[#This Row],[Plantas]]/TablaGeneral[[#This Row],[Rendimiento Desbrote con criterio de Poda]],0)</f>
        <v>14.1</v>
      </c>
      <c r="AM90">
        <f>+IFERROR(TablaGeneral[[#This Row],[Plantas]]/TablaGeneral[[#This Row],[Rendimiento Raleo de Racimos]],0)</f>
        <v>47</v>
      </c>
      <c r="AN90">
        <f t="shared" si="127"/>
        <v>7.0093201418697126E-2</v>
      </c>
      <c r="AR90">
        <f t="shared" si="128"/>
        <v>0.76930547538167915</v>
      </c>
      <c r="AS90">
        <f t="shared" si="129"/>
        <v>2.7559958762170531</v>
      </c>
      <c r="AT90">
        <f t="shared" si="130"/>
        <v>29.620479725726963</v>
      </c>
      <c r="AU90">
        <f t="shared" si="131"/>
        <v>6.3317855635289151</v>
      </c>
      <c r="AV90">
        <f t="shared" si="132"/>
        <v>4.53612492681075</v>
      </c>
      <c r="AW90">
        <f t="shared" si="133"/>
        <v>0.36365324502491414</v>
      </c>
      <c r="AX90">
        <f t="shared" si="134"/>
        <v>7.8473714088536157</v>
      </c>
      <c r="AY90">
        <f t="shared" si="135"/>
        <v>13.528008734680251</v>
      </c>
      <c r="BA90">
        <f t="shared" si="136"/>
        <v>5.4356625725718777</v>
      </c>
      <c r="BC90">
        <f t="shared" si="137"/>
        <v>1.9139613298366209</v>
      </c>
      <c r="BD90">
        <f t="shared" si="138"/>
        <v>0.61246829064878205</v>
      </c>
      <c r="BE90">
        <f t="shared" si="139"/>
        <v>16.625515567849789</v>
      </c>
      <c r="BF90">
        <f t="shared" si="140"/>
        <v>1.7799793976852694</v>
      </c>
      <c r="BG90">
        <f t="shared" si="141"/>
        <v>5.4738999790361271</v>
      </c>
      <c r="BH90">
        <f t="shared" si="142"/>
        <v>4.6036006033655257</v>
      </c>
      <c r="BI90">
        <f t="shared" si="143"/>
        <v>3.2345978087320377</v>
      </c>
      <c r="BJ90">
        <f t="shared" si="144"/>
        <v>8.8042130344812932</v>
      </c>
      <c r="BK90">
        <f t="shared" si="145"/>
        <v>0.61252150341448164</v>
      </c>
      <c r="BL90">
        <f t="shared" si="146"/>
        <v>4.4589492059275564</v>
      </c>
      <c r="BM90">
        <f t="shared" si="147"/>
        <v>1.9907437475115703</v>
      </c>
      <c r="BN90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243.02617630374004</v>
      </c>
      <c r="BO90" s="1">
        <f>+TablaGeneral[[#This Row],[Combustible]]/100</f>
        <v>2.4302617630374006</v>
      </c>
      <c r="BP90" s="1">
        <f>+TablaGeneral[[#This Row],[Combustible]]/150</f>
        <v>1.6201745086916004</v>
      </c>
      <c r="BQ90" s="1">
        <f>+TablaGeneral[[#This Row],[Combustible]]/200</f>
        <v>1.2151308815187003</v>
      </c>
      <c r="BR90">
        <f t="shared" si="113"/>
        <v>2.2360086201266896</v>
      </c>
      <c r="BS90">
        <f t="shared" si="114"/>
        <v>2.2360086201266896</v>
      </c>
      <c r="BT90">
        <f t="shared" si="115"/>
        <v>4.5836680053547525</v>
      </c>
      <c r="BU90">
        <f t="shared" si="116"/>
        <v>0.60930145652231937</v>
      </c>
      <c r="BV90">
        <f t="shared" si="117"/>
        <v>2.2360086201266896</v>
      </c>
      <c r="BW90">
        <f t="shared" si="118"/>
        <v>2.5700592599820609</v>
      </c>
      <c r="BX90">
        <f t="shared" si="119"/>
        <v>4.300616078325473</v>
      </c>
      <c r="BY90">
        <f t="shared" si="120"/>
        <v>8.6410094637223978</v>
      </c>
      <c r="BZ90">
        <f t="shared" si="121"/>
        <v>5.1847365233192004</v>
      </c>
      <c r="CA90">
        <f t="shared" si="122"/>
        <v>6.4694712378721029</v>
      </c>
      <c r="CB90">
        <f t="shared" si="123"/>
        <v>2.5700592599820609</v>
      </c>
      <c r="CC90">
        <f t="shared" si="124"/>
        <v>0.97484867638098816</v>
      </c>
      <c r="CF90">
        <f t="shared" si="148"/>
        <v>17.152546957852525</v>
      </c>
      <c r="CG90">
        <f t="shared" si="125"/>
        <v>1.417981529796662</v>
      </c>
      <c r="CH90">
        <f t="shared" si="126"/>
        <v>1.3293396202607819</v>
      </c>
      <c r="CI90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8.1989951563829546</v>
      </c>
      <c r="CJ90" s="59">
        <f>+TablaGeneral[[#This Row],[Tracto elevador]]+TablaGeneral[[#This Row],[Tractor con uñas]]+TablaGeneral[[#This Row],[Tractor con acoplado]]</f>
        <v>9.0556852456081316</v>
      </c>
      <c r="CK90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7.0479372283829171</v>
      </c>
      <c r="CL90" s="60">
        <f>+SUM(BR90:BV90)+TablaGeneral[[#This Row],[Cosecha DOV]]+TablaGeneral[[#This Row],[Corte DOV]]</f>
        <v>11.90099532225714</v>
      </c>
      <c r="CM90" s="60">
        <f>+SUM(TablaGeneral[[#This Row],[Colocación de malla]:[Descarga y carga de bines con Autoelevador]])</f>
        <v>50.610668607494247</v>
      </c>
      <c r="CN90" s="64"/>
      <c r="CO90" s="64"/>
      <c r="CP90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90" t="str">
        <f>+TablaGeneral[[#This Row],[Variedad]]&amp;" "&amp;TablaGeneral[[#This Row],[Año de plantación]]</f>
        <v>Fiesta 2021</v>
      </c>
      <c r="CR90" t="str">
        <f>+IF(TablaGeneral[[#This Row],[Finca]]="El Espejo I","El Espejo I y II",IF(TablaGeneral[[#This Row],[Finca]]="El Espejo II","El Espejo I y II",TablaGeneral[[#This Row],[Finca]]))</f>
        <v>El Espejo III</v>
      </c>
    </row>
    <row r="91" spans="1:96">
      <c r="A91" t="s">
        <v>15</v>
      </c>
      <c r="B91">
        <v>29</v>
      </c>
      <c r="C91">
        <v>2.25</v>
      </c>
      <c r="D91" t="s">
        <v>6</v>
      </c>
      <c r="E91" s="2">
        <v>16000</v>
      </c>
      <c r="F91" s="2">
        <f>+TablaGeneral[[#This Row],[Has]]*TablaGeneral[[#This Row],[Kg x Has]]</f>
        <v>36000</v>
      </c>
      <c r="G91" s="2">
        <f>+TablaGeneral[[#This Row],[Kg 2026]]/4</f>
        <v>9000</v>
      </c>
      <c r="H91">
        <v>3679</v>
      </c>
      <c r="I91">
        <v>2021</v>
      </c>
      <c r="K91">
        <f>10000/IF(LEN(TablaGeneral[[#This Row],[Marco de plantación]])&gt;3,(MID(TablaGeneral[[#This Row],[Marco de plantación]],1,3)*MID(TablaGeneral[[#This Row],[Marco de plantación]],5,3)),(3*2))</f>
        <v>1666.6666666666667</v>
      </c>
      <c r="M91">
        <f>+TablaGeneral[[#This Row],[Plantas x Has]]*TablaGeneral[[#This Row],[N° de Guías x planta]]</f>
        <v>0</v>
      </c>
      <c r="O91">
        <f>+TablaGeneral[[#This Row],[N° de Guías x planta]]*TablaGeneral[[#This Row],[N° de Yemas x Guias]]</f>
        <v>0</v>
      </c>
      <c r="Q91">
        <f>+TablaGeneral[[#This Row],[N° de Yemas x Planta]]*TablaGeneral[[#This Row],[% de Brotación]]</f>
        <v>0</v>
      </c>
      <c r="T91">
        <f>+TablaGeneral[[#This Row],[N° de Brotes x Planta]]*TablaGeneral[[#This Row],[% de Fertilidad]]*TablaGeneral[[#This Row],[Cantidad de Racimos x Brote]]</f>
        <v>0</v>
      </c>
      <c r="V91">
        <f>+TablaGeneral[[#This Row],[Cantidad de Racimos x Planta]]*TablaGeneral[[#This Row],[Peso del Racimo]]</f>
        <v>0</v>
      </c>
      <c r="W91">
        <f>+TablaGeneral[[#This Row],[Plantas]]*TablaGeneral[[#This Row],[Kg x Planta]]</f>
        <v>0</v>
      </c>
      <c r="X91">
        <f>+TablaGeneral[[#This Row],[Kg x Cuartel]]/TablaGeneral[[#This Row],[Has]]</f>
        <v>0</v>
      </c>
      <c r="Y91" t="s">
        <v>163</v>
      </c>
      <c r="Z91">
        <v>200</v>
      </c>
      <c r="AA91">
        <f>+TablaGeneral[[#This Row],[Rendimiento Poda]]*1.5</f>
        <v>300</v>
      </c>
      <c r="AB91">
        <v>130</v>
      </c>
      <c r="AC91">
        <v>500</v>
      </c>
      <c r="AE91">
        <v>500</v>
      </c>
      <c r="AF91">
        <v>150</v>
      </c>
      <c r="AG91">
        <f>+IFERROR(TablaGeneral[[#This Row],[Plantas]]/TablaGeneral[[#This Row],[Rendimiento Poda]],0)</f>
        <v>18.395</v>
      </c>
      <c r="AH91">
        <f>+TablaGeneral[[#This Row],[Plantas]]/TablaGeneral[[#This Row],[Rendimiento Atada]]</f>
        <v>12.263333333333334</v>
      </c>
      <c r="AI91">
        <f>+IFERROR(TablaGeneral[[#This Row],[Plantas]]/TablaGeneral[[#This Row],[Rendimiento Desbrote de troncos]],0)</f>
        <v>28.3</v>
      </c>
      <c r="AJ91" s="2">
        <f>+IFERROR(TablaGeneral[[#This Row],[Plantas]]/TablaGeneral[[#This Row],[Rendimiento Acomodo de brotes ]],0)</f>
        <v>7.3579999999999997</v>
      </c>
      <c r="AK91">
        <f>+IFERROR(TablaGeneral[[#This Row],[Plantas]]/TablaGeneral[[#This Row],[Rendimiento Desniete, deshoje ]],0)</f>
        <v>0</v>
      </c>
      <c r="AL91">
        <f>+IFERROR(TablaGeneral[[#This Row],[Plantas]]/TablaGeneral[[#This Row],[Rendimiento Desbrote con criterio de Poda]],0)</f>
        <v>7.3579999999999997</v>
      </c>
      <c r="AM91">
        <f>+IFERROR(TablaGeneral[[#This Row],[Plantas]]/TablaGeneral[[#This Row],[Rendimiento Raleo de Racimos]],0)</f>
        <v>24.526666666666667</v>
      </c>
      <c r="AN91">
        <f t="shared" si="127"/>
        <v>3.6577714612678967E-2</v>
      </c>
      <c r="AR91">
        <f t="shared" si="128"/>
        <v>0.40145742467080814</v>
      </c>
      <c r="AS91">
        <f t="shared" si="129"/>
        <v>1.4381998338443316</v>
      </c>
      <c r="AT91">
        <f t="shared" si="130"/>
        <v>15.457268781694964</v>
      </c>
      <c r="AU91">
        <f t="shared" si="131"/>
        <v>3.3042041259890604</v>
      </c>
      <c r="AV91">
        <f t="shared" si="132"/>
        <v>2.3671494476222339</v>
      </c>
      <c r="AW91">
        <f t="shared" si="133"/>
        <v>0.18977025368037717</v>
      </c>
      <c r="AX91">
        <f t="shared" si="134"/>
        <v>4.0951034628613412</v>
      </c>
      <c r="AY91">
        <f t="shared" si="135"/>
        <v>7.0595098063671831</v>
      </c>
      <c r="BA91">
        <f t="shared" si="136"/>
        <v>2.8365677453180056</v>
      </c>
      <c r="BC91">
        <f t="shared" si="137"/>
        <v>0.99878918191048638</v>
      </c>
      <c r="BD91">
        <f t="shared" si="138"/>
        <v>0.31961288529033605</v>
      </c>
      <c r="BE91">
        <f t="shared" si="139"/>
        <v>8.6759250743431728</v>
      </c>
      <c r="BF91">
        <f t="shared" si="140"/>
        <v>0.9288715183098023</v>
      </c>
      <c r="BG91">
        <f t="shared" si="141"/>
        <v>2.8565217053721863</v>
      </c>
      <c r="BH91">
        <f t="shared" si="142"/>
        <v>2.4023612226640805</v>
      </c>
      <c r="BI91">
        <f t="shared" si="143"/>
        <v>1.6879553671383216</v>
      </c>
      <c r="BJ91">
        <f t="shared" si="144"/>
        <v>4.5944254970009473</v>
      </c>
      <c r="BK91">
        <f t="shared" si="145"/>
        <v>0.31964065405133019</v>
      </c>
      <c r="BL91">
        <f t="shared" si="146"/>
        <v>2.3268757629230468</v>
      </c>
      <c r="BM91">
        <f t="shared" si="147"/>
        <v>1.038857623701428</v>
      </c>
      <c r="BN91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127.44285580483455</v>
      </c>
      <c r="BO91" s="1">
        <f>+TablaGeneral[[#This Row],[Combustible]]/100</f>
        <v>1.2744285580483454</v>
      </c>
      <c r="BP91" s="1">
        <f>+TablaGeneral[[#This Row],[Combustible]]/150</f>
        <v>0.84961903869889699</v>
      </c>
      <c r="BQ91" s="1">
        <f>+TablaGeneral[[#This Row],[Combustible]]/200</f>
        <v>0.63721427902417271</v>
      </c>
      <c r="BR91">
        <f t="shared" si="113"/>
        <v>1.1754718213282831</v>
      </c>
      <c r="BS91">
        <f t="shared" si="114"/>
        <v>1.1754718213282831</v>
      </c>
      <c r="BT91">
        <f t="shared" si="115"/>
        <v>2.4096385542168677</v>
      </c>
      <c r="BU91">
        <f t="shared" si="116"/>
        <v>0.32031034513439688</v>
      </c>
      <c r="BV91">
        <f t="shared" si="117"/>
        <v>1.1754718213282831</v>
      </c>
      <c r="BW91">
        <f t="shared" si="118"/>
        <v>1.3510825548971113</v>
      </c>
      <c r="BX91">
        <f t="shared" si="119"/>
        <v>2.2608378916430643</v>
      </c>
      <c r="BY91">
        <f t="shared" si="120"/>
        <v>4.5425867507886437</v>
      </c>
      <c r="BZ91">
        <f t="shared" si="121"/>
        <v>2.7256208358570562</v>
      </c>
      <c r="CA91">
        <f t="shared" si="122"/>
        <v>3.4010070759841664</v>
      </c>
      <c r="CB91">
        <f t="shared" si="123"/>
        <v>1.3510825548971113</v>
      </c>
      <c r="CC91">
        <f t="shared" si="124"/>
        <v>0.51247886024701483</v>
      </c>
      <c r="CF91">
        <f t="shared" si="148"/>
        <v>9.0171099661607901</v>
      </c>
      <c r="CG91">
        <f t="shared" si="125"/>
        <v>0.74543421543048827</v>
      </c>
      <c r="CH91">
        <f t="shared" si="126"/>
        <v>0.6988350807445699</v>
      </c>
      <c r="CI91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4.2785961957918994</v>
      </c>
      <c r="CJ91" s="59">
        <f>+TablaGeneral[[#This Row],[Tracto elevador]]+TablaGeneral[[#This Row],[Tractor con uñas]]+TablaGeneral[[#This Row],[Tractor con acoplado]]</f>
        <v>4.7605821968734343</v>
      </c>
      <c r="CK91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3.7051071878181228</v>
      </c>
      <c r="CL91" s="60">
        <f>+SUM(BR91:BV91)+TablaGeneral[[#This Row],[Cosecha DOV]]+TablaGeneral[[#This Row],[Corte DOV]]</f>
        <v>6.2563643633361146</v>
      </c>
      <c r="CM91" s="60">
        <f>+SUM(TablaGeneral[[#This Row],[Colocación de malla]:[Descarga y carga de bines con Autoelevador]])</f>
        <v>26.606075786650017</v>
      </c>
      <c r="CN91" s="64"/>
      <c r="CO91" s="64"/>
      <c r="CP91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91" t="str">
        <f>+TablaGeneral[[#This Row],[Variedad]]&amp;" "&amp;TablaGeneral[[#This Row],[Año de plantación]]</f>
        <v>Flame 2021</v>
      </c>
      <c r="CR91" t="str">
        <f>+IF(TablaGeneral[[#This Row],[Finca]]="El Espejo I","El Espejo I y II",IF(TablaGeneral[[#This Row],[Finca]]="El Espejo II","El Espejo I y II",TablaGeneral[[#This Row],[Finca]]))</f>
        <v>El Espejo III</v>
      </c>
    </row>
    <row r="92" spans="1:96">
      <c r="A92" t="s">
        <v>15</v>
      </c>
      <c r="B92">
        <v>30</v>
      </c>
      <c r="C92">
        <v>4.32</v>
      </c>
      <c r="D92" t="s">
        <v>10</v>
      </c>
      <c r="E92" s="2">
        <v>16000</v>
      </c>
      <c r="F92" s="2">
        <f>+TablaGeneral[[#This Row],[Has]]*TablaGeneral[[#This Row],[Kg x Has]]</f>
        <v>69120</v>
      </c>
      <c r="G92" s="2">
        <f>+TablaGeneral[[#This Row],[Kg 2026]]/4</f>
        <v>17280</v>
      </c>
      <c r="H92">
        <v>7140</v>
      </c>
      <c r="I92">
        <v>2021</v>
      </c>
      <c r="K92">
        <f>10000/IF(LEN(TablaGeneral[[#This Row],[Marco de plantación]])&gt;3,(MID(TablaGeneral[[#This Row],[Marco de plantación]],1,3)*MID(TablaGeneral[[#This Row],[Marco de plantación]],5,3)),(3*2))</f>
        <v>1666.6666666666667</v>
      </c>
      <c r="M92">
        <f>+TablaGeneral[[#This Row],[Plantas x Has]]*TablaGeneral[[#This Row],[N° de Guías x planta]]</f>
        <v>0</v>
      </c>
      <c r="O92">
        <f>+TablaGeneral[[#This Row],[N° de Guías x planta]]*TablaGeneral[[#This Row],[N° de Yemas x Guias]]</f>
        <v>0</v>
      </c>
      <c r="Q92">
        <f>+TablaGeneral[[#This Row],[N° de Yemas x Planta]]*TablaGeneral[[#This Row],[% de Brotación]]</f>
        <v>0</v>
      </c>
      <c r="T92">
        <f>+TablaGeneral[[#This Row],[N° de Brotes x Planta]]*TablaGeneral[[#This Row],[% de Fertilidad]]*TablaGeneral[[#This Row],[Cantidad de Racimos x Brote]]</f>
        <v>0</v>
      </c>
      <c r="V92">
        <f>+TablaGeneral[[#This Row],[Cantidad de Racimos x Planta]]*TablaGeneral[[#This Row],[Peso del Racimo]]</f>
        <v>0</v>
      </c>
      <c r="W92">
        <f>+TablaGeneral[[#This Row],[Plantas]]*TablaGeneral[[#This Row],[Kg x Planta]]</f>
        <v>0</v>
      </c>
      <c r="X92">
        <f>+TablaGeneral[[#This Row],[Kg x Cuartel]]/TablaGeneral[[#This Row],[Has]]</f>
        <v>0</v>
      </c>
      <c r="Y92" t="s">
        <v>163</v>
      </c>
      <c r="Z92">
        <v>200</v>
      </c>
      <c r="AA92">
        <f>+TablaGeneral[[#This Row],[Rendimiento Poda]]*1.5</f>
        <v>300</v>
      </c>
      <c r="AB92">
        <v>130</v>
      </c>
      <c r="AC92">
        <v>500</v>
      </c>
      <c r="AE92">
        <v>500</v>
      </c>
      <c r="AF92">
        <v>150</v>
      </c>
      <c r="AG92">
        <f>+IFERROR(TablaGeneral[[#This Row],[Plantas]]/TablaGeneral[[#This Row],[Rendimiento Poda]],0)</f>
        <v>35.700000000000003</v>
      </c>
      <c r="AH92">
        <f>+TablaGeneral[[#This Row],[Plantas]]/TablaGeneral[[#This Row],[Rendimiento Atada]]</f>
        <v>23.8</v>
      </c>
      <c r="AI92">
        <f>+IFERROR(TablaGeneral[[#This Row],[Plantas]]/TablaGeneral[[#This Row],[Rendimiento Desbrote de troncos]],0)</f>
        <v>54.92307692307692</v>
      </c>
      <c r="AJ92" s="2">
        <f>+IFERROR(TablaGeneral[[#This Row],[Plantas]]/TablaGeneral[[#This Row],[Rendimiento Acomodo de brotes ]],0)</f>
        <v>14.28</v>
      </c>
      <c r="AK92">
        <f>+IFERROR(TablaGeneral[[#This Row],[Plantas]]/TablaGeneral[[#This Row],[Rendimiento Desniete, deshoje ]],0)</f>
        <v>0</v>
      </c>
      <c r="AL92">
        <f>+IFERROR(TablaGeneral[[#This Row],[Plantas]]/TablaGeneral[[#This Row],[Rendimiento Desbrote con criterio de Poda]],0)</f>
        <v>14.28</v>
      </c>
      <c r="AM92">
        <f>+IFERROR(TablaGeneral[[#This Row],[Plantas]]/TablaGeneral[[#This Row],[Rendimiento Raleo de Racimos]],0)</f>
        <v>47.6</v>
      </c>
      <c r="AN92">
        <f t="shared" si="127"/>
        <v>7.0988008245318798E-2</v>
      </c>
      <c r="AR92">
        <f t="shared" si="128"/>
        <v>0.7791263963439985</v>
      </c>
      <c r="AS92">
        <f t="shared" si="129"/>
        <v>2.7911788022964195</v>
      </c>
      <c r="AT92">
        <f t="shared" si="130"/>
        <v>29.998613509459648</v>
      </c>
      <c r="AU92">
        <f t="shared" si="131"/>
        <v>6.4126168685952409</v>
      </c>
      <c r="AV92">
        <f t="shared" si="132"/>
        <v>4.5940329045998238</v>
      </c>
      <c r="AW92">
        <f t="shared" si="133"/>
        <v>0.36829562687629602</v>
      </c>
      <c r="AX92">
        <f t="shared" si="134"/>
        <v>7.9475506183283429</v>
      </c>
      <c r="AY92">
        <f t="shared" si="135"/>
        <v>13.700706718527233</v>
      </c>
      <c r="BA92">
        <f t="shared" si="136"/>
        <v>5.5050540096685401</v>
      </c>
      <c r="BC92">
        <f t="shared" si="137"/>
        <v>1.9383948787281524</v>
      </c>
      <c r="BD92">
        <f t="shared" si="138"/>
        <v>0.62028703478472391</v>
      </c>
      <c r="BE92">
        <f t="shared" si="139"/>
        <v>16.837756192120214</v>
      </c>
      <c r="BF92">
        <f t="shared" si="140"/>
        <v>1.8027025389323155</v>
      </c>
      <c r="BG92">
        <f t="shared" si="141"/>
        <v>5.5437795532365888</v>
      </c>
      <c r="BH92">
        <f t="shared" si="142"/>
        <v>4.6623699727701915</v>
      </c>
      <c r="BI92">
        <f t="shared" si="143"/>
        <v>3.2758905467158508</v>
      </c>
      <c r="BJ92">
        <f t="shared" si="144"/>
        <v>8.9166072434321197</v>
      </c>
      <c r="BK92">
        <f t="shared" si="145"/>
        <v>0.620340926862326</v>
      </c>
      <c r="BL92">
        <f t="shared" si="146"/>
        <v>4.5158719617479086</v>
      </c>
      <c r="BM92">
        <f t="shared" si="147"/>
        <v>2.0161574974798033</v>
      </c>
      <c r="BN92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245.57786798263717</v>
      </c>
      <c r="BO92" s="1">
        <f>+TablaGeneral[[#This Row],[Combustible]]/100</f>
        <v>2.4557786798263717</v>
      </c>
      <c r="BP92" s="1">
        <f>+TablaGeneral[[#This Row],[Combustible]]/150</f>
        <v>1.6371857865509145</v>
      </c>
      <c r="BQ92" s="1">
        <f>+TablaGeneral[[#This Row],[Combustible]]/200</f>
        <v>1.2278893399131858</v>
      </c>
      <c r="BR92">
        <f t="shared" si="113"/>
        <v>2.2569058969503035</v>
      </c>
      <c r="BS92">
        <f t="shared" si="114"/>
        <v>2.2569058969503035</v>
      </c>
      <c r="BT92">
        <f t="shared" si="115"/>
        <v>4.6265060240963853</v>
      </c>
      <c r="BU92">
        <f t="shared" si="116"/>
        <v>0.61499586265804207</v>
      </c>
      <c r="BV92">
        <f t="shared" si="117"/>
        <v>2.2569058969503035</v>
      </c>
      <c r="BW92">
        <f t="shared" si="118"/>
        <v>2.5940785054024538</v>
      </c>
      <c r="BX92">
        <f t="shared" si="119"/>
        <v>4.3408087519546825</v>
      </c>
      <c r="BY92">
        <f t="shared" si="120"/>
        <v>8.7217665615141957</v>
      </c>
      <c r="BZ92">
        <f t="shared" si="121"/>
        <v>5.2331920048455478</v>
      </c>
      <c r="CA92">
        <f t="shared" si="122"/>
        <v>6.5299335858895997</v>
      </c>
      <c r="CB92">
        <f t="shared" si="123"/>
        <v>2.5940785054024538</v>
      </c>
      <c r="CC92">
        <f t="shared" si="124"/>
        <v>0.98395941167426837</v>
      </c>
      <c r="CF92">
        <f t="shared" si="148"/>
        <v>17.312851135028719</v>
      </c>
      <c r="CG92">
        <f t="shared" si="125"/>
        <v>1.4312336936265375</v>
      </c>
      <c r="CH92">
        <f t="shared" si="126"/>
        <v>1.3417633550295742</v>
      </c>
      <c r="CI92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8.3036631796559277</v>
      </c>
      <c r="CJ92" s="59">
        <f>+TablaGeneral[[#This Row],[Tracto elevador]]+TablaGeneral[[#This Row],[Tractor con uñas]]+TablaGeneral[[#This Row],[Tractor con acoplado]]</f>
        <v>9.1403178179969924</v>
      </c>
      <c r="CK92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7.1138058006107938</v>
      </c>
      <c r="CL92" s="60">
        <f>+SUM(BR92:BV92)+TablaGeneral[[#This Row],[Cosecha DOV]]+TablaGeneral[[#This Row],[Corte DOV]]</f>
        <v>12.012219577605338</v>
      </c>
      <c r="CM92" s="60">
        <f>+SUM(TablaGeneral[[#This Row],[Colocación de malla]:[Descarga y carga de bines con Autoelevador]])</f>
        <v>51.083665510368029</v>
      </c>
      <c r="CN92" s="64"/>
      <c r="CO92" s="64"/>
      <c r="CP92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92" t="str">
        <f>+TablaGeneral[[#This Row],[Variedad]]&amp;" "&amp;TablaGeneral[[#This Row],[Año de plantación]]</f>
        <v>Fiesta 2021</v>
      </c>
      <c r="CR92" t="str">
        <f>+IF(TablaGeneral[[#This Row],[Finca]]="El Espejo I","El Espejo I y II",IF(TablaGeneral[[#This Row],[Finca]]="El Espejo II","El Espejo I y II",TablaGeneral[[#This Row],[Finca]]))</f>
        <v>El Espejo III</v>
      </c>
    </row>
    <row r="93" spans="1:96">
      <c r="A93" t="s">
        <v>15</v>
      </c>
      <c r="B93">
        <v>31</v>
      </c>
      <c r="C93">
        <v>4.26</v>
      </c>
      <c r="D93" t="s">
        <v>10</v>
      </c>
      <c r="E93" s="2">
        <v>16000</v>
      </c>
      <c r="F93" s="2">
        <f>+TablaGeneral[[#This Row],[Has]]*TablaGeneral[[#This Row],[Kg x Has]]</f>
        <v>68160</v>
      </c>
      <c r="G93" s="2">
        <f>+TablaGeneral[[#This Row],[Kg 2026]]/4</f>
        <v>17040</v>
      </c>
      <c r="H93">
        <v>7055</v>
      </c>
      <c r="I93">
        <v>2021</v>
      </c>
      <c r="K93">
        <f>10000/IF(LEN(TablaGeneral[[#This Row],[Marco de plantación]])&gt;3,(MID(TablaGeneral[[#This Row],[Marco de plantación]],1,3)*MID(TablaGeneral[[#This Row],[Marco de plantación]],5,3)),(3*2))</f>
        <v>1666.6666666666667</v>
      </c>
      <c r="M93">
        <f>+TablaGeneral[[#This Row],[Plantas x Has]]*TablaGeneral[[#This Row],[N° de Guías x planta]]</f>
        <v>0</v>
      </c>
      <c r="O93">
        <f>+TablaGeneral[[#This Row],[N° de Guías x planta]]*TablaGeneral[[#This Row],[N° de Yemas x Guias]]</f>
        <v>0</v>
      </c>
      <c r="Q93">
        <f>+TablaGeneral[[#This Row],[N° de Yemas x Planta]]*TablaGeneral[[#This Row],[% de Brotación]]</f>
        <v>0</v>
      </c>
      <c r="T93">
        <f>+TablaGeneral[[#This Row],[N° de Brotes x Planta]]*TablaGeneral[[#This Row],[% de Fertilidad]]*TablaGeneral[[#This Row],[Cantidad de Racimos x Brote]]</f>
        <v>0</v>
      </c>
      <c r="V93">
        <f>+TablaGeneral[[#This Row],[Cantidad de Racimos x Planta]]*TablaGeneral[[#This Row],[Peso del Racimo]]</f>
        <v>0</v>
      </c>
      <c r="W93">
        <f>+TablaGeneral[[#This Row],[Plantas]]*TablaGeneral[[#This Row],[Kg x Planta]]</f>
        <v>0</v>
      </c>
      <c r="X93">
        <f>+TablaGeneral[[#This Row],[Kg x Cuartel]]/TablaGeneral[[#This Row],[Has]]</f>
        <v>0</v>
      </c>
      <c r="Y93" t="s">
        <v>163</v>
      </c>
      <c r="Z93">
        <v>200</v>
      </c>
      <c r="AA93">
        <f>+TablaGeneral[[#This Row],[Rendimiento Poda]]*1.5</f>
        <v>300</v>
      </c>
      <c r="AB93">
        <v>130</v>
      </c>
      <c r="AC93">
        <v>500</v>
      </c>
      <c r="AE93">
        <v>500</v>
      </c>
      <c r="AF93">
        <v>150</v>
      </c>
      <c r="AG93">
        <f>+IFERROR(TablaGeneral[[#This Row],[Plantas]]/TablaGeneral[[#This Row],[Rendimiento Poda]],0)</f>
        <v>35.274999999999999</v>
      </c>
      <c r="AH93">
        <f>+TablaGeneral[[#This Row],[Plantas]]/TablaGeneral[[#This Row],[Rendimiento Atada]]</f>
        <v>23.516666666666666</v>
      </c>
      <c r="AI93">
        <f>+IFERROR(TablaGeneral[[#This Row],[Plantas]]/TablaGeneral[[#This Row],[Rendimiento Desbrote de troncos]],0)</f>
        <v>54.269230769230766</v>
      </c>
      <c r="AJ93" s="2">
        <f>+IFERROR(TablaGeneral[[#This Row],[Plantas]]/TablaGeneral[[#This Row],[Rendimiento Acomodo de brotes ]],0)</f>
        <v>14.11</v>
      </c>
      <c r="AK93">
        <f>+IFERROR(TablaGeneral[[#This Row],[Plantas]]/TablaGeneral[[#This Row],[Rendimiento Desniete, deshoje ]],0)</f>
        <v>0</v>
      </c>
      <c r="AL93">
        <f>+IFERROR(TablaGeneral[[#This Row],[Plantas]]/TablaGeneral[[#This Row],[Rendimiento Desbrote con criterio de Poda]],0)</f>
        <v>14.11</v>
      </c>
      <c r="AM93">
        <f>+IFERROR(TablaGeneral[[#This Row],[Plantas]]/TablaGeneral[[#This Row],[Rendimiento Raleo de Racimos]],0)</f>
        <v>47.033333333333331</v>
      </c>
      <c r="AN93">
        <f t="shared" si="127"/>
        <v>7.0142912909065006E-2</v>
      </c>
      <c r="AR93">
        <f t="shared" si="128"/>
        <v>0.76985108210180797</v>
      </c>
      <c r="AS93">
        <f t="shared" si="129"/>
        <v>2.7579504832214621</v>
      </c>
      <c r="AT93">
        <f t="shared" si="130"/>
        <v>29.641487158156558</v>
      </c>
      <c r="AU93">
        <f t="shared" si="131"/>
        <v>6.3362761915881549</v>
      </c>
      <c r="AV93">
        <f t="shared" si="132"/>
        <v>4.5393420366879207</v>
      </c>
      <c r="AW93">
        <f t="shared" si="133"/>
        <v>0.36391115512776867</v>
      </c>
      <c r="AX93">
        <f t="shared" si="134"/>
        <v>7.8529369204911008</v>
      </c>
      <c r="AY93">
        <f t="shared" si="135"/>
        <v>13.537603067116194</v>
      </c>
      <c r="BA93">
        <f t="shared" si="136"/>
        <v>5.4395176524105811</v>
      </c>
      <c r="BC93">
        <f t="shared" si="137"/>
        <v>1.9153187492194839</v>
      </c>
      <c r="BD93">
        <f t="shared" si="138"/>
        <v>0.61290266532300108</v>
      </c>
      <c r="BE93">
        <f t="shared" si="139"/>
        <v>16.637306713642591</v>
      </c>
      <c r="BF93">
        <f t="shared" si="140"/>
        <v>1.7812417944212164</v>
      </c>
      <c r="BG93">
        <f t="shared" si="141"/>
        <v>5.4777821776028199</v>
      </c>
      <c r="BH93">
        <f t="shared" si="142"/>
        <v>4.6068655683324513</v>
      </c>
      <c r="BI93">
        <f t="shared" si="143"/>
        <v>3.2368918497311383</v>
      </c>
      <c r="BJ93">
        <f t="shared" si="144"/>
        <v>8.8104571572007835</v>
      </c>
      <c r="BK93">
        <f t="shared" si="145"/>
        <v>0.61295591582825071</v>
      </c>
      <c r="BL93">
        <f t="shared" si="146"/>
        <v>4.4621115812509098</v>
      </c>
      <c r="BM93">
        <f t="shared" si="147"/>
        <v>1.9921556225098056</v>
      </c>
      <c r="BN93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242.33181948247466</v>
      </c>
      <c r="BO93" s="1">
        <f>+TablaGeneral[[#This Row],[Combustible]]/100</f>
        <v>2.4233181948247466</v>
      </c>
      <c r="BP93" s="1">
        <f>+TablaGeneral[[#This Row],[Combustible]]/150</f>
        <v>1.6155454632164976</v>
      </c>
      <c r="BQ93" s="1">
        <f>+TablaGeneral[[#This Row],[Combustible]]/200</f>
        <v>1.2116590974123733</v>
      </c>
      <c r="BR93">
        <f t="shared" si="113"/>
        <v>2.2255599817148828</v>
      </c>
      <c r="BS93">
        <f t="shared" si="114"/>
        <v>2.2255599817148828</v>
      </c>
      <c r="BT93">
        <f t="shared" si="115"/>
        <v>4.5622489959839356</v>
      </c>
      <c r="BU93">
        <f t="shared" si="116"/>
        <v>0.60645425345445814</v>
      </c>
      <c r="BV93">
        <f t="shared" si="117"/>
        <v>2.2255599817148828</v>
      </c>
      <c r="BW93">
        <f t="shared" si="118"/>
        <v>2.5580496372718642</v>
      </c>
      <c r="BX93">
        <f t="shared" si="119"/>
        <v>4.2805197415108678</v>
      </c>
      <c r="BY93">
        <f t="shared" si="120"/>
        <v>8.6006309148264979</v>
      </c>
      <c r="BZ93">
        <f t="shared" si="121"/>
        <v>5.1605087825560263</v>
      </c>
      <c r="CA93">
        <f t="shared" si="122"/>
        <v>6.4392400638633545</v>
      </c>
      <c r="CB93">
        <f t="shared" si="123"/>
        <v>2.5580496372718642</v>
      </c>
      <c r="CC93">
        <f t="shared" si="124"/>
        <v>0.97029330873434805</v>
      </c>
      <c r="CF93">
        <f t="shared" si="148"/>
        <v>17.072394869264429</v>
      </c>
      <c r="CG93">
        <f t="shared" si="125"/>
        <v>1.4113554478817245</v>
      </c>
      <c r="CH93">
        <f t="shared" si="126"/>
        <v>1.3231277528763856</v>
      </c>
      <c r="CI93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8.204810046564786</v>
      </c>
      <c r="CJ93" s="59">
        <f>+TablaGeneral[[#This Row],[Tracto elevador]]+TablaGeneral[[#This Row],[Tractor con uñas]]+TablaGeneral[[#This Row],[Tractor con acoplado]]</f>
        <v>9.0133689594137003</v>
      </c>
      <c r="CK93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7.0150029422689775</v>
      </c>
      <c r="CL93" s="60">
        <f>+SUM(BR93:BV93)+TablaGeneral[[#This Row],[Cosecha DOV]]+TablaGeneral[[#This Row],[Corte DOV]]</f>
        <v>11.845383194583041</v>
      </c>
      <c r="CM93" s="60">
        <f>+SUM(TablaGeneral[[#This Row],[Colocación de malla]:[Descarga y carga de bines con Autoelevador]])</f>
        <v>50.374170156057367</v>
      </c>
      <c r="CN93" s="64"/>
      <c r="CO93" s="64"/>
      <c r="CP93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93" t="str">
        <f>+TablaGeneral[[#This Row],[Variedad]]&amp;" "&amp;TablaGeneral[[#This Row],[Año de plantación]]</f>
        <v>Fiesta 2021</v>
      </c>
      <c r="CR93" t="str">
        <f>+IF(TablaGeneral[[#This Row],[Finca]]="El Espejo I","El Espejo I y II",IF(TablaGeneral[[#This Row],[Finca]]="El Espejo II","El Espejo I y II",TablaGeneral[[#This Row],[Finca]]))</f>
        <v>El Espejo III</v>
      </c>
    </row>
    <row r="94" spans="1:96">
      <c r="A94" t="s">
        <v>15</v>
      </c>
      <c r="B94">
        <v>32</v>
      </c>
      <c r="C94">
        <v>4.54</v>
      </c>
      <c r="D94" t="s">
        <v>6</v>
      </c>
      <c r="E94" s="2">
        <v>16000</v>
      </c>
      <c r="F94" s="2">
        <f>+TablaGeneral[[#This Row],[Has]]*TablaGeneral[[#This Row],[Kg x Has]]</f>
        <v>72640</v>
      </c>
      <c r="G94" s="2">
        <f>+TablaGeneral[[#This Row],[Kg 2026]]/4</f>
        <v>18160</v>
      </c>
      <c r="H94">
        <v>7491</v>
      </c>
      <c r="I94">
        <v>2021</v>
      </c>
      <c r="K94">
        <f>10000/IF(LEN(TablaGeneral[[#This Row],[Marco de plantación]])&gt;3,(MID(TablaGeneral[[#This Row],[Marco de plantación]],1,3)*MID(TablaGeneral[[#This Row],[Marco de plantación]],5,3)),(3*2))</f>
        <v>1666.6666666666667</v>
      </c>
      <c r="M94">
        <f>+TablaGeneral[[#This Row],[Plantas x Has]]*TablaGeneral[[#This Row],[N° de Guías x planta]]</f>
        <v>0</v>
      </c>
      <c r="O94">
        <f>+TablaGeneral[[#This Row],[N° de Guías x planta]]*TablaGeneral[[#This Row],[N° de Yemas x Guias]]</f>
        <v>0</v>
      </c>
      <c r="Q94">
        <f>+TablaGeneral[[#This Row],[N° de Yemas x Planta]]*TablaGeneral[[#This Row],[% de Brotación]]</f>
        <v>0</v>
      </c>
      <c r="T94">
        <f>+TablaGeneral[[#This Row],[N° de Brotes x Planta]]*TablaGeneral[[#This Row],[% de Fertilidad]]*TablaGeneral[[#This Row],[Cantidad de Racimos x Brote]]</f>
        <v>0</v>
      </c>
      <c r="V94">
        <f>+TablaGeneral[[#This Row],[Cantidad de Racimos x Planta]]*TablaGeneral[[#This Row],[Peso del Racimo]]</f>
        <v>0</v>
      </c>
      <c r="W94">
        <f>+TablaGeneral[[#This Row],[Plantas]]*TablaGeneral[[#This Row],[Kg x Planta]]</f>
        <v>0</v>
      </c>
      <c r="X94">
        <f>+TablaGeneral[[#This Row],[Kg x Cuartel]]/TablaGeneral[[#This Row],[Has]]</f>
        <v>0</v>
      </c>
      <c r="Y94" t="s">
        <v>163</v>
      </c>
      <c r="Z94">
        <v>200</v>
      </c>
      <c r="AA94">
        <f>+TablaGeneral[[#This Row],[Rendimiento Poda]]*1.5</f>
        <v>300</v>
      </c>
      <c r="AB94">
        <v>130</v>
      </c>
      <c r="AC94">
        <v>500</v>
      </c>
      <c r="AE94">
        <v>500</v>
      </c>
      <c r="AF94">
        <v>150</v>
      </c>
      <c r="AG94">
        <f>+IFERROR(TablaGeneral[[#This Row],[Plantas]]/TablaGeneral[[#This Row],[Rendimiento Poda]],0)</f>
        <v>37.454999999999998</v>
      </c>
      <c r="AH94">
        <f>+TablaGeneral[[#This Row],[Plantas]]/TablaGeneral[[#This Row],[Rendimiento Atada]]</f>
        <v>24.97</v>
      </c>
      <c r="AI94">
        <f>+IFERROR(TablaGeneral[[#This Row],[Plantas]]/TablaGeneral[[#This Row],[Rendimiento Desbrote de troncos]],0)</f>
        <v>57.623076923076923</v>
      </c>
      <c r="AJ94" s="2">
        <f>+IFERROR(TablaGeneral[[#This Row],[Plantas]]/TablaGeneral[[#This Row],[Rendimiento Acomodo de brotes ]],0)</f>
        <v>14.981999999999999</v>
      </c>
      <c r="AK94">
        <f>+IFERROR(TablaGeneral[[#This Row],[Plantas]]/TablaGeneral[[#This Row],[Rendimiento Desniete, deshoje ]],0)</f>
        <v>0</v>
      </c>
      <c r="AL94">
        <f>+IFERROR(TablaGeneral[[#This Row],[Plantas]]/TablaGeneral[[#This Row],[Rendimiento Desbrote con criterio de Poda]],0)</f>
        <v>14.981999999999999</v>
      </c>
      <c r="AM94">
        <f>+IFERROR(TablaGeneral[[#This Row],[Plantas]]/TablaGeneral[[#This Row],[Rendimiento Raleo de Racimos]],0)</f>
        <v>49.94</v>
      </c>
      <c r="AN94">
        <f t="shared" si="127"/>
        <v>7.4477754869143292E-2</v>
      </c>
      <c r="AR94">
        <f t="shared" si="128"/>
        <v>0.81742798809704376</v>
      </c>
      <c r="AS94">
        <f t="shared" si="129"/>
        <v>2.9283922140059495</v>
      </c>
      <c r="AT94">
        <f t="shared" si="130"/>
        <v>31.473335266017116</v>
      </c>
      <c r="AU94">
        <f t="shared" si="131"/>
        <v>6.7278589583539148</v>
      </c>
      <c r="AV94">
        <f t="shared" si="132"/>
        <v>4.8198740179772095</v>
      </c>
      <c r="AW94">
        <f t="shared" si="133"/>
        <v>0.38640091609668537</v>
      </c>
      <c r="AX94">
        <f t="shared" si="134"/>
        <v>8.338249535279779</v>
      </c>
      <c r="AY94">
        <f t="shared" si="135"/>
        <v>14.374228855530463</v>
      </c>
      <c r="BA94">
        <f t="shared" si="136"/>
        <v>5.7756806143455233</v>
      </c>
      <c r="BC94">
        <f t="shared" si="137"/>
        <v>2.0336857194051245</v>
      </c>
      <c r="BD94">
        <f t="shared" si="138"/>
        <v>0.65078013691489733</v>
      </c>
      <c r="BE94">
        <f t="shared" si="139"/>
        <v>17.665494626774862</v>
      </c>
      <c r="BF94">
        <f t="shared" si="140"/>
        <v>1.8913227897957947</v>
      </c>
      <c r="BG94">
        <f t="shared" si="141"/>
        <v>5.8163098926183876</v>
      </c>
      <c r="BH94">
        <f t="shared" si="142"/>
        <v>4.8915705134483902</v>
      </c>
      <c r="BI94">
        <f t="shared" si="143"/>
        <v>3.4369322248527228</v>
      </c>
      <c r="BJ94">
        <f t="shared" si="144"/>
        <v>9.3549446583403366</v>
      </c>
      <c r="BK94">
        <f t="shared" si="145"/>
        <v>0.65083667830891945</v>
      </c>
      <c r="BL94">
        <f t="shared" si="146"/>
        <v>4.7378707094472805</v>
      </c>
      <c r="BM94">
        <f t="shared" si="147"/>
        <v>2.1152711223559111</v>
      </c>
      <c r="BN94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257.93748384420377</v>
      </c>
      <c r="BO94" s="1">
        <f>+TablaGeneral[[#This Row],[Combustible]]/100</f>
        <v>2.5793748384420376</v>
      </c>
      <c r="BP94" s="1">
        <f>+TablaGeneral[[#This Row],[Combustible]]/150</f>
        <v>1.719583225628025</v>
      </c>
      <c r="BQ94" s="1">
        <f>+TablaGeneral[[#This Row],[Combustible]]/200</f>
        <v>1.2896874192210188</v>
      </c>
      <c r="BR94">
        <f t="shared" si="113"/>
        <v>2.3718409194801802</v>
      </c>
      <c r="BS94">
        <f t="shared" si="114"/>
        <v>2.3718409194801802</v>
      </c>
      <c r="BT94">
        <f t="shared" si="115"/>
        <v>4.8621151271753682</v>
      </c>
      <c r="BU94">
        <f t="shared" si="116"/>
        <v>0.64631509640451634</v>
      </c>
      <c r="BV94">
        <f t="shared" si="117"/>
        <v>2.3718409194801802</v>
      </c>
      <c r="BW94">
        <f t="shared" si="118"/>
        <v>2.7261843552146159</v>
      </c>
      <c r="BX94">
        <f t="shared" si="119"/>
        <v>4.561868456915338</v>
      </c>
      <c r="BY94">
        <f t="shared" si="120"/>
        <v>9.1659305993690854</v>
      </c>
      <c r="BZ94">
        <f t="shared" si="121"/>
        <v>5.4996971532404606</v>
      </c>
      <c r="CA94">
        <f t="shared" si="122"/>
        <v>6.8624764999858288</v>
      </c>
      <c r="CB94">
        <f t="shared" si="123"/>
        <v>2.7261843552146159</v>
      </c>
      <c r="CC94">
        <f t="shared" si="124"/>
        <v>1.0340684557873099</v>
      </c>
      <c r="CF94">
        <f t="shared" si="148"/>
        <v>18.194524109497774</v>
      </c>
      <c r="CG94">
        <f t="shared" si="125"/>
        <v>1.5041205946908518</v>
      </c>
      <c r="CH94">
        <f t="shared" si="126"/>
        <v>1.4100938962579321</v>
      </c>
      <c r="CI94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8.7118684704205265</v>
      </c>
      <c r="CJ94" s="59">
        <f>+TablaGeneral[[#This Row],[Tracto elevador]]+TablaGeneral[[#This Row],[Tractor con uñas]]+TablaGeneral[[#This Row],[Tractor con acoplado]]</f>
        <v>9.6057969661357276</v>
      </c>
      <c r="CK94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7.4760829478641213</v>
      </c>
      <c r="CL94" s="60">
        <f>+SUM(BR94:BV94)+TablaGeneral[[#This Row],[Cosecha DOV]]+TablaGeneral[[#This Row],[Corte DOV]]</f>
        <v>12.623952982020423</v>
      </c>
      <c r="CM94" s="60">
        <f>+SUM(TablaGeneral[[#This Row],[Colocación de malla]:[Descarga y carga de bines con Autoelevador]])</f>
        <v>53.685148476173815</v>
      </c>
      <c r="CN94" s="64"/>
      <c r="CO94" s="64"/>
      <c r="CP94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94" t="str">
        <f>+TablaGeneral[[#This Row],[Variedad]]&amp;" "&amp;TablaGeneral[[#This Row],[Año de plantación]]</f>
        <v>Flame 2021</v>
      </c>
      <c r="CR94" t="str">
        <f>+IF(TablaGeneral[[#This Row],[Finca]]="El Espejo I","El Espejo I y II",IF(TablaGeneral[[#This Row],[Finca]]="El Espejo II","El Espejo I y II",TablaGeneral[[#This Row],[Finca]]))</f>
        <v>El Espejo III</v>
      </c>
    </row>
    <row r="95" spans="1:96">
      <c r="A95" t="s">
        <v>15</v>
      </c>
      <c r="B95">
        <v>33</v>
      </c>
      <c r="C95">
        <v>4.26</v>
      </c>
      <c r="D95" t="s">
        <v>10</v>
      </c>
      <c r="E95" s="2">
        <v>16000</v>
      </c>
      <c r="F95" s="2">
        <f>+TablaGeneral[[#This Row],[Has]]*TablaGeneral[[#This Row],[Kg x Has]]</f>
        <v>68160</v>
      </c>
      <c r="G95" s="2">
        <f>+TablaGeneral[[#This Row],[Kg 2026]]/4</f>
        <v>17040</v>
      </c>
      <c r="H95">
        <v>7056</v>
      </c>
      <c r="I95">
        <v>2021</v>
      </c>
      <c r="K95">
        <f>10000/IF(LEN(TablaGeneral[[#This Row],[Marco de plantación]])&gt;3,(MID(TablaGeneral[[#This Row],[Marco de plantación]],1,3)*MID(TablaGeneral[[#This Row],[Marco de plantación]],5,3)),(3*2))</f>
        <v>1666.6666666666667</v>
      </c>
      <c r="M95">
        <f>+TablaGeneral[[#This Row],[Plantas x Has]]*TablaGeneral[[#This Row],[N° de Guías x planta]]</f>
        <v>0</v>
      </c>
      <c r="O95">
        <f>+TablaGeneral[[#This Row],[N° de Guías x planta]]*TablaGeneral[[#This Row],[N° de Yemas x Guias]]</f>
        <v>0</v>
      </c>
      <c r="Q95">
        <f>+TablaGeneral[[#This Row],[N° de Yemas x Planta]]*TablaGeneral[[#This Row],[% de Brotación]]</f>
        <v>0</v>
      </c>
      <c r="T95">
        <f>+TablaGeneral[[#This Row],[N° de Brotes x Planta]]*TablaGeneral[[#This Row],[% de Fertilidad]]*TablaGeneral[[#This Row],[Cantidad de Racimos x Brote]]</f>
        <v>0</v>
      </c>
      <c r="V95">
        <f>+TablaGeneral[[#This Row],[Cantidad de Racimos x Planta]]*TablaGeneral[[#This Row],[Peso del Racimo]]</f>
        <v>0</v>
      </c>
      <c r="W95">
        <f>+TablaGeneral[[#This Row],[Plantas]]*TablaGeneral[[#This Row],[Kg x Planta]]</f>
        <v>0</v>
      </c>
      <c r="X95">
        <f>+TablaGeneral[[#This Row],[Kg x Cuartel]]/TablaGeneral[[#This Row],[Has]]</f>
        <v>0</v>
      </c>
      <c r="Y95" t="s">
        <v>163</v>
      </c>
      <c r="Z95">
        <v>200</v>
      </c>
      <c r="AA95">
        <f>+TablaGeneral[[#This Row],[Rendimiento Poda]]*1.5</f>
        <v>300</v>
      </c>
      <c r="AB95">
        <v>130</v>
      </c>
      <c r="AC95">
        <v>500</v>
      </c>
      <c r="AE95">
        <v>500</v>
      </c>
      <c r="AF95">
        <v>150</v>
      </c>
      <c r="AG95">
        <f>+IFERROR(TablaGeneral[[#This Row],[Plantas]]/TablaGeneral[[#This Row],[Rendimiento Poda]],0)</f>
        <v>35.28</v>
      </c>
      <c r="AH95">
        <f>+TablaGeneral[[#This Row],[Plantas]]/TablaGeneral[[#This Row],[Rendimiento Atada]]</f>
        <v>23.52</v>
      </c>
      <c r="AI95">
        <f>+IFERROR(TablaGeneral[[#This Row],[Plantas]]/TablaGeneral[[#This Row],[Rendimiento Desbrote de troncos]],0)</f>
        <v>54.276923076923076</v>
      </c>
      <c r="AJ95" s="2">
        <f>+IFERROR(TablaGeneral[[#This Row],[Plantas]]/TablaGeneral[[#This Row],[Rendimiento Acomodo de brotes ]],0)</f>
        <v>14.112</v>
      </c>
      <c r="AK95">
        <f>+IFERROR(TablaGeneral[[#This Row],[Plantas]]/TablaGeneral[[#This Row],[Rendimiento Desniete, deshoje ]],0)</f>
        <v>0</v>
      </c>
      <c r="AL95">
        <f>+IFERROR(TablaGeneral[[#This Row],[Plantas]]/TablaGeneral[[#This Row],[Rendimiento Desbrote con criterio de Poda]],0)</f>
        <v>14.112</v>
      </c>
      <c r="AM95">
        <f>+IFERROR(TablaGeneral[[#This Row],[Plantas]]/TablaGeneral[[#This Row],[Rendimiento Raleo de Racimos]],0)</f>
        <v>47.04</v>
      </c>
      <c r="AN95">
        <f t="shared" si="127"/>
        <v>7.015285520713857E-2</v>
      </c>
      <c r="AR95">
        <f t="shared" si="128"/>
        <v>0.76996020344583371</v>
      </c>
      <c r="AS95">
        <f t="shared" si="129"/>
        <v>2.7583414046223438</v>
      </c>
      <c r="AT95">
        <f t="shared" si="130"/>
        <v>29.645688644642476</v>
      </c>
      <c r="AU95">
        <f t="shared" si="131"/>
        <v>6.3371743172000032</v>
      </c>
      <c r="AV95">
        <f t="shared" si="132"/>
        <v>4.539985458663355</v>
      </c>
      <c r="AW95">
        <f t="shared" si="133"/>
        <v>0.3639627371483396</v>
      </c>
      <c r="AX95">
        <f t="shared" si="134"/>
        <v>7.8540500228185977</v>
      </c>
      <c r="AY95">
        <f t="shared" si="135"/>
        <v>13.539521933603384</v>
      </c>
      <c r="BA95">
        <f t="shared" si="136"/>
        <v>5.4402886683783223</v>
      </c>
      <c r="BC95">
        <f t="shared" si="137"/>
        <v>1.9155902330960564</v>
      </c>
      <c r="BD95">
        <f t="shared" si="138"/>
        <v>0.6129895402578448</v>
      </c>
      <c r="BE95">
        <f t="shared" si="139"/>
        <v>16.639664942801151</v>
      </c>
      <c r="BF95">
        <f t="shared" si="140"/>
        <v>1.7814942737684059</v>
      </c>
      <c r="BG95">
        <f t="shared" si="141"/>
        <v>5.4785586173161578</v>
      </c>
      <c r="BH95">
        <f t="shared" si="142"/>
        <v>4.6075185613258371</v>
      </c>
      <c r="BI95">
        <f t="shared" si="143"/>
        <v>3.2373506579309588</v>
      </c>
      <c r="BJ95">
        <f t="shared" si="144"/>
        <v>8.8117059817446819</v>
      </c>
      <c r="BK95">
        <f t="shared" si="145"/>
        <v>0.61304279831100461</v>
      </c>
      <c r="BL95">
        <f t="shared" si="146"/>
        <v>4.4627440563155796</v>
      </c>
      <c r="BM95">
        <f t="shared" si="147"/>
        <v>1.9924379975094526</v>
      </c>
      <c r="BN95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242.34344926283831</v>
      </c>
      <c r="BO95" s="1">
        <f>+TablaGeneral[[#This Row],[Combustible]]/100</f>
        <v>2.4234344926283828</v>
      </c>
      <c r="BP95" s="1">
        <f>+TablaGeneral[[#This Row],[Combustible]]/150</f>
        <v>1.6156229950855887</v>
      </c>
      <c r="BQ95" s="1">
        <f>+TablaGeneral[[#This Row],[Combustible]]/200</f>
        <v>1.2117172463141914</v>
      </c>
      <c r="BR95">
        <f t="shared" si="113"/>
        <v>2.2255599817148828</v>
      </c>
      <c r="BS95">
        <f t="shared" si="114"/>
        <v>2.2255599817148828</v>
      </c>
      <c r="BT95">
        <f t="shared" si="115"/>
        <v>4.5622489959839356</v>
      </c>
      <c r="BU95">
        <f t="shared" si="116"/>
        <v>0.60645425345445814</v>
      </c>
      <c r="BV95">
        <f t="shared" si="117"/>
        <v>2.2255599817148828</v>
      </c>
      <c r="BW95">
        <f t="shared" si="118"/>
        <v>2.5580496372718642</v>
      </c>
      <c r="BX95">
        <f t="shared" si="119"/>
        <v>4.2805197415108678</v>
      </c>
      <c r="BY95">
        <f t="shared" si="120"/>
        <v>8.6006309148264979</v>
      </c>
      <c r="BZ95">
        <f t="shared" si="121"/>
        <v>5.1605087825560263</v>
      </c>
      <c r="CA95">
        <f t="shared" si="122"/>
        <v>6.4392400638633545</v>
      </c>
      <c r="CB95">
        <f t="shared" si="123"/>
        <v>2.5580496372718642</v>
      </c>
      <c r="CC95">
        <f t="shared" si="124"/>
        <v>0.97029330873434805</v>
      </c>
      <c r="CF95">
        <f t="shared" si="148"/>
        <v>17.072394869264429</v>
      </c>
      <c r="CG95">
        <f t="shared" si="125"/>
        <v>1.4113554478817245</v>
      </c>
      <c r="CH95">
        <f t="shared" si="126"/>
        <v>1.3231277528763856</v>
      </c>
      <c r="CI95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8.2059730246011533</v>
      </c>
      <c r="CJ95" s="59">
        <f>+TablaGeneral[[#This Row],[Tracto elevador]]+TablaGeneral[[#This Row],[Tractor con uñas]]+TablaGeneral[[#This Row],[Tractor con acoplado]]</f>
        <v>9.0133689594137003</v>
      </c>
      <c r="CK95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7.0150029422689775</v>
      </c>
      <c r="CL95" s="60">
        <f>+SUM(BR95:BV95)+TablaGeneral[[#This Row],[Cosecha DOV]]+TablaGeneral[[#This Row],[Corte DOV]]</f>
        <v>11.845383194583041</v>
      </c>
      <c r="CM95" s="60">
        <f>+SUM(TablaGeneral[[#This Row],[Colocación de malla]:[Descarga y carga de bines con Autoelevador]])</f>
        <v>50.374170156057367</v>
      </c>
      <c r="CN95" s="64"/>
      <c r="CO95" s="64"/>
      <c r="CP95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95" t="str">
        <f>+TablaGeneral[[#This Row],[Variedad]]&amp;" "&amp;TablaGeneral[[#This Row],[Año de plantación]]</f>
        <v>Fiesta 2021</v>
      </c>
      <c r="CR95" t="str">
        <f>+IF(TablaGeneral[[#This Row],[Finca]]="El Espejo I","El Espejo I y II",IF(TablaGeneral[[#This Row],[Finca]]="El Espejo II","El Espejo I y II",TablaGeneral[[#This Row],[Finca]]))</f>
        <v>El Espejo III</v>
      </c>
    </row>
    <row r="96" spans="1:96">
      <c r="A96" t="s">
        <v>15</v>
      </c>
      <c r="B96">
        <v>34</v>
      </c>
      <c r="C96">
        <v>4.26</v>
      </c>
      <c r="D96" t="s">
        <v>10</v>
      </c>
      <c r="E96" s="2">
        <v>16000</v>
      </c>
      <c r="F96" s="2">
        <f>+TablaGeneral[[#This Row],[Has]]*TablaGeneral[[#This Row],[Kg x Has]]</f>
        <v>68160</v>
      </c>
      <c r="G96" s="2">
        <f>+TablaGeneral[[#This Row],[Kg 2026]]/4</f>
        <v>17040</v>
      </c>
      <c r="H96">
        <v>7055</v>
      </c>
      <c r="I96">
        <v>2021</v>
      </c>
      <c r="K96">
        <f>10000/IF(LEN(TablaGeneral[[#This Row],[Marco de plantación]])&gt;3,(MID(TablaGeneral[[#This Row],[Marco de plantación]],1,3)*MID(TablaGeneral[[#This Row],[Marco de plantación]],5,3)),(3*2))</f>
        <v>1666.6666666666667</v>
      </c>
      <c r="M96">
        <f>+TablaGeneral[[#This Row],[Plantas x Has]]*TablaGeneral[[#This Row],[N° de Guías x planta]]</f>
        <v>0</v>
      </c>
      <c r="O96">
        <f>+TablaGeneral[[#This Row],[N° de Guías x planta]]*TablaGeneral[[#This Row],[N° de Yemas x Guias]]</f>
        <v>0</v>
      </c>
      <c r="Q96">
        <f>+TablaGeneral[[#This Row],[N° de Yemas x Planta]]*TablaGeneral[[#This Row],[% de Brotación]]</f>
        <v>0</v>
      </c>
      <c r="T96">
        <f>+TablaGeneral[[#This Row],[N° de Brotes x Planta]]*TablaGeneral[[#This Row],[% de Fertilidad]]*TablaGeneral[[#This Row],[Cantidad de Racimos x Brote]]</f>
        <v>0</v>
      </c>
      <c r="V96">
        <f>+TablaGeneral[[#This Row],[Cantidad de Racimos x Planta]]*TablaGeneral[[#This Row],[Peso del Racimo]]</f>
        <v>0</v>
      </c>
      <c r="W96">
        <f>+TablaGeneral[[#This Row],[Plantas]]*TablaGeneral[[#This Row],[Kg x Planta]]</f>
        <v>0</v>
      </c>
      <c r="X96">
        <f>+TablaGeneral[[#This Row],[Kg x Cuartel]]/TablaGeneral[[#This Row],[Has]]</f>
        <v>0</v>
      </c>
      <c r="Y96" t="s">
        <v>163</v>
      </c>
      <c r="Z96">
        <v>200</v>
      </c>
      <c r="AA96">
        <f>+TablaGeneral[[#This Row],[Rendimiento Poda]]*1.5</f>
        <v>300</v>
      </c>
      <c r="AB96">
        <v>130</v>
      </c>
      <c r="AC96">
        <v>500</v>
      </c>
      <c r="AE96">
        <v>500</v>
      </c>
      <c r="AF96">
        <v>150</v>
      </c>
      <c r="AG96">
        <f>+IFERROR(TablaGeneral[[#This Row],[Plantas]]/TablaGeneral[[#This Row],[Rendimiento Poda]],0)</f>
        <v>35.274999999999999</v>
      </c>
      <c r="AH96">
        <f>+TablaGeneral[[#This Row],[Plantas]]/TablaGeneral[[#This Row],[Rendimiento Atada]]</f>
        <v>23.516666666666666</v>
      </c>
      <c r="AI96">
        <f>+IFERROR(TablaGeneral[[#This Row],[Plantas]]/TablaGeneral[[#This Row],[Rendimiento Desbrote de troncos]],0)</f>
        <v>54.269230769230766</v>
      </c>
      <c r="AJ96" s="2">
        <f>+IFERROR(TablaGeneral[[#This Row],[Plantas]]/TablaGeneral[[#This Row],[Rendimiento Acomodo de brotes ]],0)</f>
        <v>14.11</v>
      </c>
      <c r="AK96">
        <f>+IFERROR(TablaGeneral[[#This Row],[Plantas]]/TablaGeneral[[#This Row],[Rendimiento Desniete, deshoje ]],0)</f>
        <v>0</v>
      </c>
      <c r="AL96">
        <f>+IFERROR(TablaGeneral[[#This Row],[Plantas]]/TablaGeneral[[#This Row],[Rendimiento Desbrote con criterio de Poda]],0)</f>
        <v>14.11</v>
      </c>
      <c r="AM96">
        <f>+IFERROR(TablaGeneral[[#This Row],[Plantas]]/TablaGeneral[[#This Row],[Rendimiento Raleo de Racimos]],0)</f>
        <v>47.033333333333331</v>
      </c>
      <c r="AN96">
        <f t="shared" si="127"/>
        <v>7.0142912909065006E-2</v>
      </c>
      <c r="AR96">
        <f t="shared" si="128"/>
        <v>0.76985108210180797</v>
      </c>
      <c r="AS96">
        <f t="shared" si="129"/>
        <v>2.7579504832214621</v>
      </c>
      <c r="AT96">
        <f t="shared" si="130"/>
        <v>29.641487158156558</v>
      </c>
      <c r="AU96">
        <f t="shared" si="131"/>
        <v>6.3362761915881549</v>
      </c>
      <c r="AV96">
        <f t="shared" si="132"/>
        <v>4.5393420366879207</v>
      </c>
      <c r="AW96">
        <f t="shared" si="133"/>
        <v>0.36391115512776867</v>
      </c>
      <c r="AX96">
        <f t="shared" si="134"/>
        <v>7.8529369204911008</v>
      </c>
      <c r="AY96">
        <f t="shared" si="135"/>
        <v>13.537603067116194</v>
      </c>
      <c r="BA96">
        <f t="shared" si="136"/>
        <v>5.4395176524105811</v>
      </c>
      <c r="BC96">
        <f t="shared" si="137"/>
        <v>1.9153187492194839</v>
      </c>
      <c r="BD96">
        <f t="shared" si="138"/>
        <v>0.61290266532300108</v>
      </c>
      <c r="BE96">
        <f t="shared" si="139"/>
        <v>16.637306713642591</v>
      </c>
      <c r="BF96">
        <f t="shared" si="140"/>
        <v>1.7812417944212164</v>
      </c>
      <c r="BG96">
        <f t="shared" si="141"/>
        <v>5.4777821776028199</v>
      </c>
      <c r="BH96">
        <f t="shared" si="142"/>
        <v>4.6068655683324513</v>
      </c>
      <c r="BI96">
        <f t="shared" si="143"/>
        <v>3.2368918497311383</v>
      </c>
      <c r="BJ96">
        <f t="shared" si="144"/>
        <v>8.8104571572007835</v>
      </c>
      <c r="BK96">
        <f t="shared" si="145"/>
        <v>0.61295591582825071</v>
      </c>
      <c r="BL96">
        <f t="shared" si="146"/>
        <v>4.4621115812509098</v>
      </c>
      <c r="BM96">
        <f t="shared" si="147"/>
        <v>1.9921556225098056</v>
      </c>
      <c r="BN96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242.33181948247466</v>
      </c>
      <c r="BO96" s="1">
        <f>+TablaGeneral[[#This Row],[Combustible]]/100</f>
        <v>2.4233181948247466</v>
      </c>
      <c r="BP96" s="1">
        <f>+TablaGeneral[[#This Row],[Combustible]]/150</f>
        <v>1.6155454632164976</v>
      </c>
      <c r="BQ96" s="1">
        <f>+TablaGeneral[[#This Row],[Combustible]]/200</f>
        <v>1.2116590974123733</v>
      </c>
      <c r="BR96">
        <f t="shared" si="113"/>
        <v>2.2255599817148828</v>
      </c>
      <c r="BS96">
        <f t="shared" si="114"/>
        <v>2.2255599817148828</v>
      </c>
      <c r="BT96">
        <f t="shared" si="115"/>
        <v>4.5622489959839356</v>
      </c>
      <c r="BU96">
        <f t="shared" si="116"/>
        <v>0.60645425345445814</v>
      </c>
      <c r="BV96">
        <f t="shared" si="117"/>
        <v>2.2255599817148828</v>
      </c>
      <c r="BW96">
        <f t="shared" si="118"/>
        <v>2.5580496372718642</v>
      </c>
      <c r="BX96">
        <f t="shared" si="119"/>
        <v>4.2805197415108678</v>
      </c>
      <c r="BY96">
        <f t="shared" si="120"/>
        <v>8.6006309148264979</v>
      </c>
      <c r="BZ96">
        <f t="shared" si="121"/>
        <v>5.1605087825560263</v>
      </c>
      <c r="CA96">
        <f t="shared" si="122"/>
        <v>6.4392400638633545</v>
      </c>
      <c r="CB96">
        <f t="shared" si="123"/>
        <v>2.5580496372718642</v>
      </c>
      <c r="CC96">
        <f t="shared" si="124"/>
        <v>0.97029330873434805</v>
      </c>
      <c r="CF96">
        <f t="shared" si="148"/>
        <v>17.072394869264429</v>
      </c>
      <c r="CG96">
        <f t="shared" si="125"/>
        <v>1.4113554478817245</v>
      </c>
      <c r="CH96">
        <f t="shared" si="126"/>
        <v>1.3231277528763856</v>
      </c>
      <c r="CI96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8.204810046564786</v>
      </c>
      <c r="CJ96" s="59">
        <f>+TablaGeneral[[#This Row],[Tracto elevador]]+TablaGeneral[[#This Row],[Tractor con uñas]]+TablaGeneral[[#This Row],[Tractor con acoplado]]</f>
        <v>9.0133689594137003</v>
      </c>
      <c r="CK96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7.0150029422689775</v>
      </c>
      <c r="CL96" s="60">
        <f>+SUM(BR96:BV96)+TablaGeneral[[#This Row],[Cosecha DOV]]+TablaGeneral[[#This Row],[Corte DOV]]</f>
        <v>11.845383194583041</v>
      </c>
      <c r="CM96" s="60">
        <f>+SUM(TablaGeneral[[#This Row],[Colocación de malla]:[Descarga y carga de bines con Autoelevador]])</f>
        <v>50.374170156057367</v>
      </c>
      <c r="CN96" s="64"/>
      <c r="CO96" s="64"/>
      <c r="CP96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96" t="str">
        <f>+TablaGeneral[[#This Row],[Variedad]]&amp;" "&amp;TablaGeneral[[#This Row],[Año de plantación]]</f>
        <v>Fiesta 2021</v>
      </c>
      <c r="CR96" t="str">
        <f>+IF(TablaGeneral[[#This Row],[Finca]]="El Espejo I","El Espejo I y II",IF(TablaGeneral[[#This Row],[Finca]]="El Espejo II","El Espejo I y II",TablaGeneral[[#This Row],[Finca]]))</f>
        <v>El Espejo III</v>
      </c>
    </row>
    <row r="97" spans="1:97">
      <c r="A97" t="s">
        <v>15</v>
      </c>
      <c r="B97">
        <v>35</v>
      </c>
      <c r="C97">
        <v>4.32</v>
      </c>
      <c r="D97" t="s">
        <v>6</v>
      </c>
      <c r="E97" s="2">
        <v>16000</v>
      </c>
      <c r="F97" s="2">
        <f>+TablaGeneral[[#This Row],[Has]]*TablaGeneral[[#This Row],[Kg x Has]]</f>
        <v>69120</v>
      </c>
      <c r="G97" s="2">
        <f>+TablaGeneral[[#This Row],[Kg 2026]]/4</f>
        <v>17280</v>
      </c>
      <c r="H97">
        <v>7147</v>
      </c>
      <c r="I97">
        <v>2021</v>
      </c>
      <c r="K97">
        <f>10000/IF(LEN(TablaGeneral[[#This Row],[Marco de plantación]])&gt;3,(MID(TablaGeneral[[#This Row],[Marco de plantación]],1,3)*MID(TablaGeneral[[#This Row],[Marco de plantación]],5,3)),(3*2))</f>
        <v>1666.6666666666667</v>
      </c>
      <c r="M97">
        <f>+TablaGeneral[[#This Row],[Plantas x Has]]*TablaGeneral[[#This Row],[N° de Guías x planta]]</f>
        <v>0</v>
      </c>
      <c r="O97">
        <f>+TablaGeneral[[#This Row],[N° de Guías x planta]]*TablaGeneral[[#This Row],[N° de Yemas x Guias]]</f>
        <v>0</v>
      </c>
      <c r="Q97">
        <f>+TablaGeneral[[#This Row],[N° de Yemas x Planta]]*TablaGeneral[[#This Row],[% de Brotación]]</f>
        <v>0</v>
      </c>
      <c r="T97">
        <f>+TablaGeneral[[#This Row],[N° de Brotes x Planta]]*TablaGeneral[[#This Row],[% de Fertilidad]]*TablaGeneral[[#This Row],[Cantidad de Racimos x Brote]]</f>
        <v>0</v>
      </c>
      <c r="V97">
        <f>+TablaGeneral[[#This Row],[Cantidad de Racimos x Planta]]*TablaGeneral[[#This Row],[Peso del Racimo]]</f>
        <v>0</v>
      </c>
      <c r="W97">
        <f>+TablaGeneral[[#This Row],[Plantas]]*TablaGeneral[[#This Row],[Kg x Planta]]</f>
        <v>0</v>
      </c>
      <c r="X97">
        <f>+TablaGeneral[[#This Row],[Kg x Cuartel]]/TablaGeneral[[#This Row],[Has]]</f>
        <v>0</v>
      </c>
      <c r="Y97" t="s">
        <v>163</v>
      </c>
      <c r="Z97">
        <v>200</v>
      </c>
      <c r="AA97">
        <f>+TablaGeneral[[#This Row],[Rendimiento Poda]]*1.5</f>
        <v>300</v>
      </c>
      <c r="AB97">
        <v>130</v>
      </c>
      <c r="AC97">
        <v>500</v>
      </c>
      <c r="AE97">
        <v>500</v>
      </c>
      <c r="AF97">
        <v>150</v>
      </c>
      <c r="AG97">
        <f>+IFERROR(TablaGeneral[[#This Row],[Plantas]]/TablaGeneral[[#This Row],[Rendimiento Poda]],0)</f>
        <v>35.734999999999999</v>
      </c>
      <c r="AH97">
        <f>+TablaGeneral[[#This Row],[Plantas]]/TablaGeneral[[#This Row],[Rendimiento Atada]]</f>
        <v>23.823333333333334</v>
      </c>
      <c r="AI97">
        <f>+IFERROR(TablaGeneral[[#This Row],[Plantas]]/TablaGeneral[[#This Row],[Rendimiento Desbrote de troncos]],0)</f>
        <v>54.976923076923079</v>
      </c>
      <c r="AJ97" s="2">
        <f>+IFERROR(TablaGeneral[[#This Row],[Plantas]]/TablaGeneral[[#This Row],[Rendimiento Acomodo de brotes ]],0)</f>
        <v>14.294</v>
      </c>
      <c r="AK97">
        <f>+IFERROR(TablaGeneral[[#This Row],[Plantas]]/TablaGeneral[[#This Row],[Rendimiento Desniete, deshoje ]],0)</f>
        <v>0</v>
      </c>
      <c r="AL97">
        <f>+IFERROR(TablaGeneral[[#This Row],[Plantas]]/TablaGeneral[[#This Row],[Rendimiento Desbrote con criterio de Poda]],0)</f>
        <v>14.294</v>
      </c>
      <c r="AM97">
        <f>+IFERROR(TablaGeneral[[#This Row],[Plantas]]/TablaGeneral[[#This Row],[Rendimiento Raleo de Racimos]],0)</f>
        <v>47.646666666666668</v>
      </c>
      <c r="AN97">
        <f t="shared" si="127"/>
        <v>7.1057604331833807E-2</v>
      </c>
      <c r="AR97">
        <f t="shared" si="128"/>
        <v>0.7798902457521788</v>
      </c>
      <c r="AS97">
        <f t="shared" si="129"/>
        <v>2.7939152521025923</v>
      </c>
      <c r="AT97">
        <f t="shared" si="130"/>
        <v>30.028023914861077</v>
      </c>
      <c r="AU97">
        <f t="shared" si="131"/>
        <v>6.4189037478781783</v>
      </c>
      <c r="AV97">
        <f t="shared" si="132"/>
        <v>4.5985368584278623</v>
      </c>
      <c r="AW97">
        <f t="shared" si="133"/>
        <v>0.36865670102029241</v>
      </c>
      <c r="AX97">
        <f t="shared" si="134"/>
        <v>7.9553423346208216</v>
      </c>
      <c r="AY97">
        <f t="shared" si="135"/>
        <v>13.714138783937553</v>
      </c>
      <c r="BA97">
        <f t="shared" si="136"/>
        <v>5.510451121442725</v>
      </c>
      <c r="BC97">
        <f t="shared" si="137"/>
        <v>1.9402952658641603</v>
      </c>
      <c r="BD97">
        <f t="shared" si="138"/>
        <v>0.6208951593286306</v>
      </c>
      <c r="BE97">
        <f t="shared" si="139"/>
        <v>16.854263796230136</v>
      </c>
      <c r="BF97">
        <f t="shared" si="140"/>
        <v>1.8044698943626412</v>
      </c>
      <c r="BG97">
        <f t="shared" si="141"/>
        <v>5.5492146312299582</v>
      </c>
      <c r="BH97">
        <f t="shared" si="142"/>
        <v>4.6669409237238879</v>
      </c>
      <c r="BI97">
        <f t="shared" si="143"/>
        <v>3.2791022041145919</v>
      </c>
      <c r="BJ97">
        <f t="shared" si="144"/>
        <v>8.925349015239405</v>
      </c>
      <c r="BK97">
        <f t="shared" si="145"/>
        <v>0.62094910424160288</v>
      </c>
      <c r="BL97">
        <f t="shared" si="146"/>
        <v>4.5202992872006025</v>
      </c>
      <c r="BM97">
        <f t="shared" si="147"/>
        <v>2.0181341224773326</v>
      </c>
      <c r="BN97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245.65927644518283</v>
      </c>
      <c r="BO97" s="1">
        <f>+TablaGeneral[[#This Row],[Combustible]]/100</f>
        <v>2.4565927644518282</v>
      </c>
      <c r="BP97" s="1">
        <f>+TablaGeneral[[#This Row],[Combustible]]/150</f>
        <v>1.6377285096345522</v>
      </c>
      <c r="BQ97" s="1">
        <f>+TablaGeneral[[#This Row],[Combustible]]/200</f>
        <v>1.2282963822259141</v>
      </c>
      <c r="BR97">
        <f t="shared" si="113"/>
        <v>2.2569058969503035</v>
      </c>
      <c r="BS97">
        <f t="shared" si="114"/>
        <v>2.2569058969503035</v>
      </c>
      <c r="BT97">
        <f t="shared" si="115"/>
        <v>4.6265060240963853</v>
      </c>
      <c r="BU97">
        <f t="shared" si="116"/>
        <v>0.61499586265804207</v>
      </c>
      <c r="BV97">
        <f t="shared" si="117"/>
        <v>2.2569058969503035</v>
      </c>
      <c r="BW97">
        <f t="shared" si="118"/>
        <v>2.5940785054024538</v>
      </c>
      <c r="BX97">
        <f t="shared" si="119"/>
        <v>4.3408087519546825</v>
      </c>
      <c r="BY97">
        <f t="shared" si="120"/>
        <v>8.7217665615141957</v>
      </c>
      <c r="BZ97">
        <f t="shared" si="121"/>
        <v>5.2331920048455478</v>
      </c>
      <c r="CA97">
        <f t="shared" si="122"/>
        <v>6.5299335858895997</v>
      </c>
      <c r="CB97">
        <f t="shared" si="123"/>
        <v>2.5940785054024538</v>
      </c>
      <c r="CC97">
        <f t="shared" si="124"/>
        <v>0.98395941167426837</v>
      </c>
      <c r="CF97">
        <f t="shared" si="148"/>
        <v>17.312851135028719</v>
      </c>
      <c r="CG97">
        <f t="shared" si="125"/>
        <v>1.4312336936265375</v>
      </c>
      <c r="CH97">
        <f t="shared" si="126"/>
        <v>1.3417633550295742</v>
      </c>
      <c r="CI97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8.3118040259104937</v>
      </c>
      <c r="CJ97" s="59">
        <f>+TablaGeneral[[#This Row],[Tracto elevador]]+TablaGeneral[[#This Row],[Tractor con uñas]]+TablaGeneral[[#This Row],[Tractor con acoplado]]</f>
        <v>9.1403178179969924</v>
      </c>
      <c r="CK97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7.1138058006107938</v>
      </c>
      <c r="CL97" s="60">
        <f>+SUM(BR97:BV97)+TablaGeneral[[#This Row],[Cosecha DOV]]+TablaGeneral[[#This Row],[Corte DOV]]</f>
        <v>12.012219577605338</v>
      </c>
      <c r="CM97" s="60">
        <f>+SUM(TablaGeneral[[#This Row],[Colocación de malla]:[Descarga y carga de bines con Autoelevador]])</f>
        <v>51.083665510368029</v>
      </c>
      <c r="CN97" s="64"/>
      <c r="CO97" s="64"/>
      <c r="CP97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97" t="str">
        <f>+TablaGeneral[[#This Row],[Variedad]]&amp;" "&amp;TablaGeneral[[#This Row],[Año de plantación]]</f>
        <v>Flame 2021</v>
      </c>
      <c r="CR97" t="str">
        <f>+IF(TablaGeneral[[#This Row],[Finca]]="El Espejo I","El Espejo I y II",IF(TablaGeneral[[#This Row],[Finca]]="El Espejo II","El Espejo I y II",TablaGeneral[[#This Row],[Finca]]))</f>
        <v>El Espejo III</v>
      </c>
    </row>
    <row r="98" spans="1:97">
      <c r="A98" t="s">
        <v>15</v>
      </c>
      <c r="B98">
        <v>36</v>
      </c>
      <c r="C98">
        <v>4.32</v>
      </c>
      <c r="D98" t="s">
        <v>10</v>
      </c>
      <c r="E98" s="2">
        <v>16000</v>
      </c>
      <c r="F98" s="2">
        <f>+TablaGeneral[[#This Row],[Has]]*TablaGeneral[[#This Row],[Kg x Has]]</f>
        <v>69120</v>
      </c>
      <c r="G98" s="2">
        <f>+TablaGeneral[[#This Row],[Kg 2026]]/4</f>
        <v>17280</v>
      </c>
      <c r="H98">
        <v>7140</v>
      </c>
      <c r="I98">
        <v>2021</v>
      </c>
      <c r="K98">
        <f>10000/IF(LEN(TablaGeneral[[#This Row],[Marco de plantación]])&gt;3,(MID(TablaGeneral[[#This Row],[Marco de plantación]],1,3)*MID(TablaGeneral[[#This Row],[Marco de plantación]],5,3)),(3*2))</f>
        <v>1666.6666666666667</v>
      </c>
      <c r="M98">
        <f>+TablaGeneral[[#This Row],[Plantas x Has]]*TablaGeneral[[#This Row],[N° de Guías x planta]]</f>
        <v>0</v>
      </c>
      <c r="O98">
        <f>+TablaGeneral[[#This Row],[N° de Guías x planta]]*TablaGeneral[[#This Row],[N° de Yemas x Guias]]</f>
        <v>0</v>
      </c>
      <c r="Q98">
        <f>+TablaGeneral[[#This Row],[N° de Yemas x Planta]]*TablaGeneral[[#This Row],[% de Brotación]]</f>
        <v>0</v>
      </c>
      <c r="T98">
        <f>+TablaGeneral[[#This Row],[N° de Brotes x Planta]]*TablaGeneral[[#This Row],[% de Fertilidad]]*TablaGeneral[[#This Row],[Cantidad de Racimos x Brote]]</f>
        <v>0</v>
      </c>
      <c r="V98">
        <f>+TablaGeneral[[#This Row],[Cantidad de Racimos x Planta]]*TablaGeneral[[#This Row],[Peso del Racimo]]</f>
        <v>0</v>
      </c>
      <c r="W98">
        <f>+TablaGeneral[[#This Row],[Plantas]]*TablaGeneral[[#This Row],[Kg x Planta]]</f>
        <v>0</v>
      </c>
      <c r="X98">
        <f>+TablaGeneral[[#This Row],[Kg x Cuartel]]/TablaGeneral[[#This Row],[Has]]</f>
        <v>0</v>
      </c>
      <c r="Y98" t="s">
        <v>163</v>
      </c>
      <c r="Z98">
        <v>200</v>
      </c>
      <c r="AA98">
        <f>+TablaGeneral[[#This Row],[Rendimiento Poda]]*1.5</f>
        <v>300</v>
      </c>
      <c r="AB98">
        <v>130</v>
      </c>
      <c r="AC98">
        <v>500</v>
      </c>
      <c r="AE98">
        <v>500</v>
      </c>
      <c r="AF98">
        <v>150</v>
      </c>
      <c r="AG98">
        <f>+IFERROR(TablaGeneral[[#This Row],[Plantas]]/TablaGeneral[[#This Row],[Rendimiento Poda]],0)</f>
        <v>35.700000000000003</v>
      </c>
      <c r="AH98">
        <f>+TablaGeneral[[#This Row],[Plantas]]/TablaGeneral[[#This Row],[Rendimiento Atada]]</f>
        <v>23.8</v>
      </c>
      <c r="AI98">
        <f>+IFERROR(TablaGeneral[[#This Row],[Plantas]]/TablaGeneral[[#This Row],[Rendimiento Desbrote de troncos]],0)</f>
        <v>54.92307692307692</v>
      </c>
      <c r="AJ98" s="2">
        <f>+IFERROR(TablaGeneral[[#This Row],[Plantas]]/TablaGeneral[[#This Row],[Rendimiento Acomodo de brotes ]],0)</f>
        <v>14.28</v>
      </c>
      <c r="AK98">
        <f>+IFERROR(TablaGeneral[[#This Row],[Plantas]]/TablaGeneral[[#This Row],[Rendimiento Desniete, deshoje ]],0)</f>
        <v>0</v>
      </c>
      <c r="AL98">
        <f>+IFERROR(TablaGeneral[[#This Row],[Plantas]]/TablaGeneral[[#This Row],[Rendimiento Desbrote con criterio de Poda]],0)</f>
        <v>14.28</v>
      </c>
      <c r="AM98">
        <f>+IFERROR(TablaGeneral[[#This Row],[Plantas]]/TablaGeneral[[#This Row],[Rendimiento Raleo de Racimos]],0)</f>
        <v>47.6</v>
      </c>
      <c r="AN98">
        <f t="shared" si="127"/>
        <v>7.0988008245318798E-2</v>
      </c>
      <c r="AR98">
        <f t="shared" si="128"/>
        <v>0.7791263963439985</v>
      </c>
      <c r="AS98">
        <f t="shared" si="129"/>
        <v>2.7911788022964195</v>
      </c>
      <c r="AT98">
        <f t="shared" si="130"/>
        <v>29.998613509459648</v>
      </c>
      <c r="AU98">
        <f t="shared" si="131"/>
        <v>6.4126168685952409</v>
      </c>
      <c r="AV98">
        <f t="shared" si="132"/>
        <v>4.5940329045998238</v>
      </c>
      <c r="AW98">
        <f t="shared" si="133"/>
        <v>0.36829562687629602</v>
      </c>
      <c r="AX98">
        <f t="shared" si="134"/>
        <v>7.9475506183283429</v>
      </c>
      <c r="AY98">
        <f t="shared" si="135"/>
        <v>13.700706718527233</v>
      </c>
      <c r="BA98">
        <f t="shared" si="136"/>
        <v>5.5050540096685401</v>
      </c>
      <c r="BC98">
        <f t="shared" si="137"/>
        <v>1.9383948787281524</v>
      </c>
      <c r="BD98">
        <f t="shared" si="138"/>
        <v>0.62028703478472391</v>
      </c>
      <c r="BE98">
        <f t="shared" si="139"/>
        <v>16.837756192120214</v>
      </c>
      <c r="BF98">
        <f t="shared" si="140"/>
        <v>1.8027025389323155</v>
      </c>
      <c r="BG98">
        <f t="shared" si="141"/>
        <v>5.5437795532365888</v>
      </c>
      <c r="BH98">
        <f t="shared" si="142"/>
        <v>4.6623699727701915</v>
      </c>
      <c r="BI98">
        <f t="shared" si="143"/>
        <v>3.2758905467158508</v>
      </c>
      <c r="BJ98">
        <f t="shared" si="144"/>
        <v>8.9166072434321197</v>
      </c>
      <c r="BK98">
        <f t="shared" si="145"/>
        <v>0.620340926862326</v>
      </c>
      <c r="BL98">
        <f t="shared" si="146"/>
        <v>4.5158719617479086</v>
      </c>
      <c r="BM98">
        <f t="shared" si="147"/>
        <v>2.0161574974798033</v>
      </c>
      <c r="BN98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245.57786798263717</v>
      </c>
      <c r="BO98" s="1">
        <f>+TablaGeneral[[#This Row],[Combustible]]/100</f>
        <v>2.4557786798263717</v>
      </c>
      <c r="BP98" s="1">
        <f>+TablaGeneral[[#This Row],[Combustible]]/150</f>
        <v>1.6371857865509145</v>
      </c>
      <c r="BQ98" s="1">
        <f>+TablaGeneral[[#This Row],[Combustible]]/200</f>
        <v>1.2278893399131858</v>
      </c>
      <c r="BR98">
        <f t="shared" si="113"/>
        <v>2.2569058969503035</v>
      </c>
      <c r="BS98">
        <f t="shared" si="114"/>
        <v>2.2569058969503035</v>
      </c>
      <c r="BT98">
        <f t="shared" si="115"/>
        <v>4.6265060240963853</v>
      </c>
      <c r="BU98">
        <f t="shared" si="116"/>
        <v>0.61499586265804207</v>
      </c>
      <c r="BV98">
        <f t="shared" si="117"/>
        <v>2.2569058969503035</v>
      </c>
      <c r="BW98">
        <f t="shared" si="118"/>
        <v>2.5940785054024538</v>
      </c>
      <c r="BX98">
        <f t="shared" si="119"/>
        <v>4.3408087519546825</v>
      </c>
      <c r="BY98">
        <f t="shared" si="120"/>
        <v>8.7217665615141957</v>
      </c>
      <c r="BZ98">
        <f t="shared" si="121"/>
        <v>5.2331920048455478</v>
      </c>
      <c r="CA98">
        <f t="shared" si="122"/>
        <v>6.5299335858895997</v>
      </c>
      <c r="CB98">
        <f t="shared" si="123"/>
        <v>2.5940785054024538</v>
      </c>
      <c r="CC98">
        <f t="shared" si="124"/>
        <v>0.98395941167426837</v>
      </c>
      <c r="CF98">
        <f t="shared" si="148"/>
        <v>17.312851135028719</v>
      </c>
      <c r="CG98">
        <f t="shared" si="125"/>
        <v>1.4312336936265375</v>
      </c>
      <c r="CH98">
        <f t="shared" si="126"/>
        <v>1.3417633550295742</v>
      </c>
      <c r="CI98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8.3036631796559277</v>
      </c>
      <c r="CJ98" s="59">
        <f>+TablaGeneral[[#This Row],[Tracto elevador]]+TablaGeneral[[#This Row],[Tractor con uñas]]+TablaGeneral[[#This Row],[Tractor con acoplado]]</f>
        <v>9.1403178179969924</v>
      </c>
      <c r="CK98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7.1138058006107938</v>
      </c>
      <c r="CL98" s="60">
        <f>+SUM(BR98:BV98)+TablaGeneral[[#This Row],[Cosecha DOV]]+TablaGeneral[[#This Row],[Corte DOV]]</f>
        <v>12.012219577605338</v>
      </c>
      <c r="CM98" s="60">
        <f>+SUM(TablaGeneral[[#This Row],[Colocación de malla]:[Descarga y carga de bines con Autoelevador]])</f>
        <v>51.083665510368029</v>
      </c>
      <c r="CN98" s="64"/>
      <c r="CO98" s="64"/>
      <c r="CP98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98" t="str">
        <f>+TablaGeneral[[#This Row],[Variedad]]&amp;" "&amp;TablaGeneral[[#This Row],[Año de plantación]]</f>
        <v>Fiesta 2021</v>
      </c>
      <c r="CR98" t="str">
        <f>+IF(TablaGeneral[[#This Row],[Finca]]="El Espejo I","El Espejo I y II",IF(TablaGeneral[[#This Row],[Finca]]="El Espejo II","El Espejo I y II",TablaGeneral[[#This Row],[Finca]]))</f>
        <v>El Espejo III</v>
      </c>
    </row>
    <row r="99" spans="1:97">
      <c r="A99" t="s">
        <v>15</v>
      </c>
      <c r="B99">
        <v>37</v>
      </c>
      <c r="C99">
        <v>4.26</v>
      </c>
      <c r="D99" t="s">
        <v>10</v>
      </c>
      <c r="E99" s="2">
        <v>16000</v>
      </c>
      <c r="F99" s="2">
        <f>+TablaGeneral[[#This Row],[Has]]*TablaGeneral[[#This Row],[Kg x Has]]</f>
        <v>68160</v>
      </c>
      <c r="G99" s="2">
        <f>+TablaGeneral[[#This Row],[Kg 2026]]/4</f>
        <v>17040</v>
      </c>
      <c r="H99">
        <v>7055</v>
      </c>
      <c r="I99">
        <v>2021</v>
      </c>
      <c r="K99">
        <f>10000/IF(LEN(TablaGeneral[[#This Row],[Marco de plantación]])&gt;3,(MID(TablaGeneral[[#This Row],[Marco de plantación]],1,3)*MID(TablaGeneral[[#This Row],[Marco de plantación]],5,3)),(3*2))</f>
        <v>1666.6666666666667</v>
      </c>
      <c r="M99">
        <f>+TablaGeneral[[#This Row],[Plantas x Has]]*TablaGeneral[[#This Row],[N° de Guías x planta]]</f>
        <v>0</v>
      </c>
      <c r="O99">
        <f>+TablaGeneral[[#This Row],[N° de Guías x planta]]*TablaGeneral[[#This Row],[N° de Yemas x Guias]]</f>
        <v>0</v>
      </c>
      <c r="Q99">
        <f>+TablaGeneral[[#This Row],[N° de Yemas x Planta]]*TablaGeneral[[#This Row],[% de Brotación]]</f>
        <v>0</v>
      </c>
      <c r="T99">
        <f>+TablaGeneral[[#This Row],[N° de Brotes x Planta]]*TablaGeneral[[#This Row],[% de Fertilidad]]*TablaGeneral[[#This Row],[Cantidad de Racimos x Brote]]</f>
        <v>0</v>
      </c>
      <c r="V99">
        <f>+TablaGeneral[[#This Row],[Cantidad de Racimos x Planta]]*TablaGeneral[[#This Row],[Peso del Racimo]]</f>
        <v>0</v>
      </c>
      <c r="W99">
        <f>+TablaGeneral[[#This Row],[Plantas]]*TablaGeneral[[#This Row],[Kg x Planta]]</f>
        <v>0</v>
      </c>
      <c r="X99">
        <f>+TablaGeneral[[#This Row],[Kg x Cuartel]]/TablaGeneral[[#This Row],[Has]]</f>
        <v>0</v>
      </c>
      <c r="Y99" t="s">
        <v>163</v>
      </c>
      <c r="Z99">
        <v>200</v>
      </c>
      <c r="AA99">
        <f>+TablaGeneral[[#This Row],[Rendimiento Poda]]*1.5</f>
        <v>300</v>
      </c>
      <c r="AB99">
        <v>130</v>
      </c>
      <c r="AC99">
        <v>500</v>
      </c>
      <c r="AE99">
        <v>500</v>
      </c>
      <c r="AF99">
        <v>150</v>
      </c>
      <c r="AG99">
        <f>+IFERROR(TablaGeneral[[#This Row],[Plantas]]/TablaGeneral[[#This Row],[Rendimiento Poda]],0)</f>
        <v>35.274999999999999</v>
      </c>
      <c r="AH99">
        <f>+TablaGeneral[[#This Row],[Plantas]]/TablaGeneral[[#This Row],[Rendimiento Atada]]</f>
        <v>23.516666666666666</v>
      </c>
      <c r="AI99">
        <f>+IFERROR(TablaGeneral[[#This Row],[Plantas]]/TablaGeneral[[#This Row],[Rendimiento Desbrote de troncos]],0)</f>
        <v>54.269230769230766</v>
      </c>
      <c r="AJ99" s="2">
        <f>+IFERROR(TablaGeneral[[#This Row],[Plantas]]/TablaGeneral[[#This Row],[Rendimiento Acomodo de brotes ]],0)</f>
        <v>14.11</v>
      </c>
      <c r="AK99">
        <f>+IFERROR(TablaGeneral[[#This Row],[Plantas]]/TablaGeneral[[#This Row],[Rendimiento Desniete, deshoje ]],0)</f>
        <v>0</v>
      </c>
      <c r="AL99">
        <f>+IFERROR(TablaGeneral[[#This Row],[Plantas]]/TablaGeneral[[#This Row],[Rendimiento Desbrote con criterio de Poda]],0)</f>
        <v>14.11</v>
      </c>
      <c r="AM99">
        <f>+IFERROR(TablaGeneral[[#This Row],[Plantas]]/TablaGeneral[[#This Row],[Rendimiento Raleo de Racimos]],0)</f>
        <v>47.033333333333331</v>
      </c>
      <c r="AN99">
        <f t="shared" si="127"/>
        <v>7.0142912909065006E-2</v>
      </c>
      <c r="AR99">
        <f t="shared" si="128"/>
        <v>0.76985108210180797</v>
      </c>
      <c r="AS99">
        <f t="shared" si="129"/>
        <v>2.7579504832214621</v>
      </c>
      <c r="AT99">
        <f t="shared" si="130"/>
        <v>29.641487158156558</v>
      </c>
      <c r="AU99">
        <f t="shared" si="131"/>
        <v>6.3362761915881549</v>
      </c>
      <c r="AV99">
        <f t="shared" si="132"/>
        <v>4.5393420366879207</v>
      </c>
      <c r="AW99">
        <f t="shared" si="133"/>
        <v>0.36391115512776867</v>
      </c>
      <c r="AX99">
        <f t="shared" si="134"/>
        <v>7.8529369204911008</v>
      </c>
      <c r="AY99">
        <f t="shared" si="135"/>
        <v>13.537603067116194</v>
      </c>
      <c r="BA99">
        <f t="shared" si="136"/>
        <v>5.4395176524105811</v>
      </c>
      <c r="BC99">
        <f t="shared" si="137"/>
        <v>1.9153187492194839</v>
      </c>
      <c r="BD99">
        <f t="shared" si="138"/>
        <v>0.61290266532300108</v>
      </c>
      <c r="BE99">
        <f t="shared" si="139"/>
        <v>16.637306713642591</v>
      </c>
      <c r="BF99">
        <f t="shared" si="140"/>
        <v>1.7812417944212164</v>
      </c>
      <c r="BG99">
        <f t="shared" si="141"/>
        <v>5.4777821776028199</v>
      </c>
      <c r="BH99">
        <f t="shared" si="142"/>
        <v>4.6068655683324513</v>
      </c>
      <c r="BI99">
        <f t="shared" si="143"/>
        <v>3.2368918497311383</v>
      </c>
      <c r="BJ99">
        <f t="shared" si="144"/>
        <v>8.8104571572007835</v>
      </c>
      <c r="BK99">
        <f t="shared" si="145"/>
        <v>0.61295591582825071</v>
      </c>
      <c r="BL99">
        <f t="shared" si="146"/>
        <v>4.4621115812509098</v>
      </c>
      <c r="BM99">
        <f t="shared" si="147"/>
        <v>1.9921556225098056</v>
      </c>
      <c r="BN99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242.33181948247466</v>
      </c>
      <c r="BO99" s="1">
        <f>+TablaGeneral[[#This Row],[Combustible]]/100</f>
        <v>2.4233181948247466</v>
      </c>
      <c r="BP99" s="1">
        <f>+TablaGeneral[[#This Row],[Combustible]]/150</f>
        <v>1.6155454632164976</v>
      </c>
      <c r="BQ99" s="1">
        <f>+TablaGeneral[[#This Row],[Combustible]]/200</f>
        <v>1.2116590974123733</v>
      </c>
      <c r="BR99">
        <f t="shared" si="113"/>
        <v>2.2255599817148828</v>
      </c>
      <c r="BS99">
        <f t="shared" si="114"/>
        <v>2.2255599817148828</v>
      </c>
      <c r="BT99">
        <f t="shared" si="115"/>
        <v>4.5622489959839356</v>
      </c>
      <c r="BU99">
        <f t="shared" si="116"/>
        <v>0.60645425345445814</v>
      </c>
      <c r="BV99">
        <f t="shared" si="117"/>
        <v>2.2255599817148828</v>
      </c>
      <c r="BW99">
        <f t="shared" si="118"/>
        <v>2.5580496372718642</v>
      </c>
      <c r="BX99">
        <f t="shared" si="119"/>
        <v>4.2805197415108678</v>
      </c>
      <c r="BY99">
        <f t="shared" si="120"/>
        <v>8.6006309148264979</v>
      </c>
      <c r="BZ99">
        <f t="shared" si="121"/>
        <v>5.1605087825560263</v>
      </c>
      <c r="CA99">
        <f t="shared" si="122"/>
        <v>6.4392400638633545</v>
      </c>
      <c r="CB99">
        <f t="shared" si="123"/>
        <v>2.5580496372718642</v>
      </c>
      <c r="CC99">
        <f t="shared" si="124"/>
        <v>0.97029330873434805</v>
      </c>
      <c r="CF99">
        <f t="shared" si="148"/>
        <v>17.072394869264429</v>
      </c>
      <c r="CG99">
        <f t="shared" si="125"/>
        <v>1.4113554478817245</v>
      </c>
      <c r="CH99">
        <f t="shared" si="126"/>
        <v>1.3231277528763856</v>
      </c>
      <c r="CI99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8.204810046564786</v>
      </c>
      <c r="CJ99" s="59">
        <f>+TablaGeneral[[#This Row],[Tracto elevador]]+TablaGeneral[[#This Row],[Tractor con uñas]]+TablaGeneral[[#This Row],[Tractor con acoplado]]</f>
        <v>9.0133689594137003</v>
      </c>
      <c r="CK99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7.0150029422689775</v>
      </c>
      <c r="CL99" s="60">
        <f>+SUM(BR99:BV99)+TablaGeneral[[#This Row],[Cosecha DOV]]+TablaGeneral[[#This Row],[Corte DOV]]</f>
        <v>11.845383194583041</v>
      </c>
      <c r="CM99" s="60">
        <f>+SUM(TablaGeneral[[#This Row],[Colocación de malla]:[Descarga y carga de bines con Autoelevador]])</f>
        <v>50.374170156057367</v>
      </c>
      <c r="CN99" s="64"/>
      <c r="CO99" s="64"/>
      <c r="CP99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99" t="str">
        <f>+TablaGeneral[[#This Row],[Variedad]]&amp;" "&amp;TablaGeneral[[#This Row],[Año de plantación]]</f>
        <v>Fiesta 2021</v>
      </c>
      <c r="CR99" t="str">
        <f>+IF(TablaGeneral[[#This Row],[Finca]]="El Espejo I","El Espejo I y II",IF(TablaGeneral[[#This Row],[Finca]]="El Espejo II","El Espejo I y II",TablaGeneral[[#This Row],[Finca]]))</f>
        <v>El Espejo III</v>
      </c>
    </row>
    <row r="100" spans="1:97">
      <c r="A100" t="s">
        <v>15</v>
      </c>
      <c r="B100">
        <v>38</v>
      </c>
      <c r="C100">
        <v>4.0599999999999996</v>
      </c>
      <c r="D100" t="s">
        <v>6</v>
      </c>
      <c r="E100" s="2">
        <v>16000</v>
      </c>
      <c r="F100" s="2">
        <f>+TablaGeneral[[#This Row],[Has]]*TablaGeneral[[#This Row],[Kg x Has]]</f>
        <v>64959.999999999993</v>
      </c>
      <c r="G100" s="2">
        <f>+TablaGeneral[[#This Row],[Kg 2026]]/4</f>
        <v>16239.999999999998</v>
      </c>
      <c r="H100">
        <v>6720</v>
      </c>
      <c r="I100">
        <v>2021</v>
      </c>
      <c r="K100">
        <f>10000/IF(LEN(TablaGeneral[[#This Row],[Marco de plantación]])&gt;3,(MID(TablaGeneral[[#This Row],[Marco de plantación]],1,3)*MID(TablaGeneral[[#This Row],[Marco de plantación]],5,3)),(3*2))</f>
        <v>1666.6666666666667</v>
      </c>
      <c r="M100">
        <f>+TablaGeneral[[#This Row],[Plantas x Has]]*TablaGeneral[[#This Row],[N° de Guías x planta]]</f>
        <v>0</v>
      </c>
      <c r="O100">
        <f>+TablaGeneral[[#This Row],[N° de Guías x planta]]*TablaGeneral[[#This Row],[N° de Yemas x Guias]]</f>
        <v>0</v>
      </c>
      <c r="Q100">
        <f>+TablaGeneral[[#This Row],[N° de Yemas x Planta]]*TablaGeneral[[#This Row],[% de Brotación]]</f>
        <v>0</v>
      </c>
      <c r="T100">
        <f>+TablaGeneral[[#This Row],[N° de Brotes x Planta]]*TablaGeneral[[#This Row],[% de Fertilidad]]*TablaGeneral[[#This Row],[Cantidad de Racimos x Brote]]</f>
        <v>0</v>
      </c>
      <c r="V100">
        <f>+TablaGeneral[[#This Row],[Cantidad de Racimos x Planta]]*TablaGeneral[[#This Row],[Peso del Racimo]]</f>
        <v>0</v>
      </c>
      <c r="W100">
        <f>+TablaGeneral[[#This Row],[Plantas]]*TablaGeneral[[#This Row],[Kg x Planta]]</f>
        <v>0</v>
      </c>
      <c r="X100">
        <f>+TablaGeneral[[#This Row],[Kg x Cuartel]]/TablaGeneral[[#This Row],[Has]]</f>
        <v>0</v>
      </c>
      <c r="Y100" t="s">
        <v>163</v>
      </c>
      <c r="Z100">
        <v>200</v>
      </c>
      <c r="AA100">
        <f>+TablaGeneral[[#This Row],[Rendimiento Poda]]*1.5</f>
        <v>300</v>
      </c>
      <c r="AB100">
        <v>130</v>
      </c>
      <c r="AC100">
        <v>500</v>
      </c>
      <c r="AE100">
        <v>500</v>
      </c>
      <c r="AF100">
        <v>150</v>
      </c>
      <c r="AG100">
        <f>+IFERROR(TablaGeneral[[#This Row],[Plantas]]/TablaGeneral[[#This Row],[Rendimiento Poda]],0)</f>
        <v>33.6</v>
      </c>
      <c r="AH100">
        <f>+TablaGeneral[[#This Row],[Plantas]]/TablaGeneral[[#This Row],[Rendimiento Atada]]</f>
        <v>22.4</v>
      </c>
      <c r="AI100">
        <f>+IFERROR(TablaGeneral[[#This Row],[Plantas]]/TablaGeneral[[#This Row],[Rendimiento Desbrote de troncos]],0)</f>
        <v>51.692307692307693</v>
      </c>
      <c r="AJ100" s="2">
        <f>+IFERROR(TablaGeneral[[#This Row],[Plantas]]/TablaGeneral[[#This Row],[Rendimiento Acomodo de brotes ]],0)</f>
        <v>13.44</v>
      </c>
      <c r="AK100">
        <f>+IFERROR(TablaGeneral[[#This Row],[Plantas]]/TablaGeneral[[#This Row],[Rendimiento Desniete, deshoje ]],0)</f>
        <v>0</v>
      </c>
      <c r="AL100">
        <f>+IFERROR(TablaGeneral[[#This Row],[Plantas]]/TablaGeneral[[#This Row],[Rendimiento Desbrote con criterio de Poda]],0)</f>
        <v>13.44</v>
      </c>
      <c r="AM100">
        <f>+IFERROR(TablaGeneral[[#This Row],[Plantas]]/TablaGeneral[[#This Row],[Rendimiento Raleo de Racimos]],0)</f>
        <v>44.8</v>
      </c>
      <c r="AN100">
        <f t="shared" si="127"/>
        <v>6.6812243054417686E-2</v>
      </c>
      <c r="AR100">
        <f t="shared" si="128"/>
        <v>0.73329543185317503</v>
      </c>
      <c r="AS100">
        <f t="shared" si="129"/>
        <v>2.626991813926042</v>
      </c>
      <c r="AT100">
        <f t="shared" si="130"/>
        <v>28.233989185373787</v>
      </c>
      <c r="AU100">
        <f t="shared" si="131"/>
        <v>6.0354041116190507</v>
      </c>
      <c r="AV100">
        <f t="shared" si="132"/>
        <v>4.3237956749174806</v>
      </c>
      <c r="AW100">
        <f t="shared" si="133"/>
        <v>0.3466311782365139</v>
      </c>
      <c r="AX100">
        <f t="shared" si="134"/>
        <v>7.4800476407796168</v>
      </c>
      <c r="AY100">
        <f t="shared" si="135"/>
        <v>12.894782793907984</v>
      </c>
      <c r="BA100">
        <f t="shared" si="136"/>
        <v>5.1812273032174492</v>
      </c>
      <c r="BC100">
        <f t="shared" si="137"/>
        <v>1.8243716505676728</v>
      </c>
      <c r="BD100">
        <f t="shared" si="138"/>
        <v>0.58379956215032847</v>
      </c>
      <c r="BE100">
        <f t="shared" si="139"/>
        <v>15.847299945524906</v>
      </c>
      <c r="BF100">
        <f t="shared" si="140"/>
        <v>1.6966612131127674</v>
      </c>
      <c r="BG100">
        <f t="shared" si="141"/>
        <v>5.2176748736344365</v>
      </c>
      <c r="BH100">
        <f t="shared" si="142"/>
        <v>4.3881129155484162</v>
      </c>
      <c r="BI100">
        <f t="shared" si="143"/>
        <v>3.083191102791389</v>
      </c>
      <c r="BJ100">
        <f t="shared" si="144"/>
        <v>8.3921009349949358</v>
      </c>
      <c r="BK100">
        <f t="shared" si="145"/>
        <v>0.5838502841057186</v>
      </c>
      <c r="BL100">
        <f t="shared" si="146"/>
        <v>4.250232434586267</v>
      </c>
      <c r="BM100">
        <f t="shared" si="147"/>
        <v>1.8975599976280502</v>
      </c>
      <c r="BN100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230.91078582981032</v>
      </c>
      <c r="BO100" s="1">
        <f>+TablaGeneral[[#This Row],[Combustible]]/100</f>
        <v>2.3091078582981033</v>
      </c>
      <c r="BP100" s="1">
        <f>+TablaGeneral[[#This Row],[Combustible]]/150</f>
        <v>1.5394052388654023</v>
      </c>
      <c r="BQ100" s="1">
        <f>+TablaGeneral[[#This Row],[Combustible]]/200</f>
        <v>1.1545539291490516</v>
      </c>
      <c r="BR100">
        <f t="shared" si="113"/>
        <v>2.1210735975968129</v>
      </c>
      <c r="BS100">
        <f t="shared" si="114"/>
        <v>2.1210735975968129</v>
      </c>
      <c r="BT100">
        <f t="shared" si="115"/>
        <v>4.3480589022757696</v>
      </c>
      <c r="BU100">
        <f t="shared" si="116"/>
        <v>0.57798222277584499</v>
      </c>
      <c r="BV100">
        <f t="shared" si="117"/>
        <v>2.1210735975968129</v>
      </c>
      <c r="BW100">
        <f t="shared" si="118"/>
        <v>2.4379534101698983</v>
      </c>
      <c r="BX100">
        <f t="shared" si="119"/>
        <v>4.0795563733648175</v>
      </c>
      <c r="BY100">
        <f t="shared" si="120"/>
        <v>8.1968454258675063</v>
      </c>
      <c r="BZ100">
        <f t="shared" si="121"/>
        <v>4.9182313749242876</v>
      </c>
      <c r="CA100">
        <f t="shared" si="122"/>
        <v>6.1369283237758729</v>
      </c>
      <c r="CB100">
        <f t="shared" si="123"/>
        <v>2.4379534101698983</v>
      </c>
      <c r="CC100">
        <f t="shared" si="124"/>
        <v>0.92473963226794653</v>
      </c>
      <c r="CF100">
        <f t="shared" si="148"/>
        <v>16.270873983383471</v>
      </c>
      <c r="CG100">
        <f t="shared" si="125"/>
        <v>1.3450946287323475</v>
      </c>
      <c r="CH100">
        <f t="shared" si="126"/>
        <v>1.2610090790324238</v>
      </c>
      <c r="CI100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7.8152124043820503</v>
      </c>
      <c r="CJ100" s="59">
        <f>+TablaGeneral[[#This Row],[Tracto elevador]]+TablaGeneral[[#This Row],[Tractor con uñas]]+TablaGeneral[[#This Row],[Tractor con acoplado]]</f>
        <v>8.5902060974693946</v>
      </c>
      <c r="CK100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6.6856600811295888</v>
      </c>
      <c r="CL100" s="60">
        <f>+SUM(BR100:BV100)+TablaGeneral[[#This Row],[Cosecha DOV]]+TablaGeneral[[#This Row],[Corte DOV]]</f>
        <v>11.289261917842051</v>
      </c>
      <c r="CM100" s="60">
        <f>+SUM(TablaGeneral[[#This Row],[Colocación de malla]:[Descarga y carga de bines con Autoelevador]])</f>
        <v>48.009185641688475</v>
      </c>
      <c r="CN100" s="64"/>
      <c r="CO100" s="64"/>
      <c r="CP100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100" t="str">
        <f>+TablaGeneral[[#This Row],[Variedad]]&amp;" "&amp;TablaGeneral[[#This Row],[Año de plantación]]</f>
        <v>Flame 2021</v>
      </c>
      <c r="CR100" t="str">
        <f>+IF(TablaGeneral[[#This Row],[Finca]]="El Espejo I","El Espejo I y II",IF(TablaGeneral[[#This Row],[Finca]]="El Espejo II","El Espejo I y II",TablaGeneral[[#This Row],[Finca]]))</f>
        <v>El Espejo III</v>
      </c>
    </row>
    <row r="101" spans="1:97">
      <c r="A101" t="s">
        <v>15</v>
      </c>
      <c r="B101">
        <v>39</v>
      </c>
      <c r="C101">
        <v>4.2300000000000004</v>
      </c>
      <c r="D101" t="s">
        <v>5</v>
      </c>
      <c r="E101" s="2">
        <v>5000</v>
      </c>
      <c r="F101" s="2">
        <f>+TablaGeneral[[#This Row],[Has]]*TablaGeneral[[#This Row],[Kg x Has]]</f>
        <v>21150.000000000004</v>
      </c>
      <c r="G101" s="2">
        <f>+TablaGeneral[[#This Row],[Kg 2026]]/4</f>
        <v>5287.5000000000009</v>
      </c>
      <c r="H101">
        <v>7055</v>
      </c>
      <c r="I101">
        <v>2021</v>
      </c>
      <c r="K101">
        <f>10000/IF(LEN(TablaGeneral[[#This Row],[Marco de plantación]])&gt;3,(MID(TablaGeneral[[#This Row],[Marco de plantación]],1,3)*MID(TablaGeneral[[#This Row],[Marco de plantación]],5,3)),(3*2))</f>
        <v>1666.6666666666667</v>
      </c>
      <c r="M101">
        <f>+TablaGeneral[[#This Row],[Plantas x Has]]*TablaGeneral[[#This Row],[N° de Guías x planta]]</f>
        <v>0</v>
      </c>
      <c r="O101">
        <f>+TablaGeneral[[#This Row],[N° de Guías x planta]]*TablaGeneral[[#This Row],[N° de Yemas x Guias]]</f>
        <v>0</v>
      </c>
      <c r="Q101">
        <f>+TablaGeneral[[#This Row],[N° de Yemas x Planta]]*TablaGeneral[[#This Row],[% de Brotación]]</f>
        <v>0</v>
      </c>
      <c r="T101">
        <f>+TablaGeneral[[#This Row],[N° de Brotes x Planta]]*TablaGeneral[[#This Row],[% de Fertilidad]]*TablaGeneral[[#This Row],[Cantidad de Racimos x Brote]]</f>
        <v>0</v>
      </c>
      <c r="V101">
        <f>+TablaGeneral[[#This Row],[Cantidad de Racimos x Planta]]*TablaGeneral[[#This Row],[Peso del Racimo]]</f>
        <v>0</v>
      </c>
      <c r="W101">
        <f>+TablaGeneral[[#This Row],[Plantas]]*TablaGeneral[[#This Row],[Kg x Planta]]</f>
        <v>0</v>
      </c>
      <c r="X101">
        <f>+TablaGeneral[[#This Row],[Kg x Cuartel]]/TablaGeneral[[#This Row],[Has]]</f>
        <v>0</v>
      </c>
      <c r="Y101" t="s">
        <v>163</v>
      </c>
      <c r="Z101">
        <v>300</v>
      </c>
      <c r="AA101">
        <f>+TablaGeneral[[#This Row],[Rendimiento Poda]]*1.5</f>
        <v>450</v>
      </c>
      <c r="AB101">
        <v>130</v>
      </c>
      <c r="AC101">
        <v>500</v>
      </c>
      <c r="AE101">
        <v>500</v>
      </c>
      <c r="AF101">
        <v>500</v>
      </c>
      <c r="AG101">
        <f>+IFERROR(TablaGeneral[[#This Row],[Plantas]]/TablaGeneral[[#This Row],[Rendimiento Poda]],0)</f>
        <v>23.516666666666666</v>
      </c>
      <c r="AH101">
        <f>+TablaGeneral[[#This Row],[Plantas]]/TablaGeneral[[#This Row],[Rendimiento Atada]]</f>
        <v>15.677777777777777</v>
      </c>
      <c r="AI101">
        <f>+IFERROR(TablaGeneral[[#This Row],[Plantas]]/TablaGeneral[[#This Row],[Rendimiento Desbrote de troncos]],0)</f>
        <v>54.269230769230766</v>
      </c>
      <c r="AJ101" s="2">
        <f>+IFERROR(TablaGeneral[[#This Row],[Plantas]]/TablaGeneral[[#This Row],[Rendimiento Acomodo de brotes ]],0)</f>
        <v>14.11</v>
      </c>
      <c r="AK101">
        <f>+IFERROR(TablaGeneral[[#This Row],[Plantas]]/TablaGeneral[[#This Row],[Rendimiento Desniete, deshoje ]],0)</f>
        <v>0</v>
      </c>
      <c r="AL101">
        <f>+IFERROR(TablaGeneral[[#This Row],[Plantas]]/TablaGeneral[[#This Row],[Rendimiento Desbrote con criterio de Poda]],0)</f>
        <v>14.11</v>
      </c>
      <c r="AM101">
        <f>+IFERROR(TablaGeneral[[#This Row],[Plantas]]/TablaGeneral[[#This Row],[Rendimiento Raleo de Racimos]],0)</f>
        <v>14.11</v>
      </c>
      <c r="AN101">
        <f t="shared" si="127"/>
        <v>7.0142912909065006E-2</v>
      </c>
      <c r="AR101">
        <f t="shared" si="128"/>
        <v>0.76985108210180797</v>
      </c>
      <c r="AS101">
        <f t="shared" si="129"/>
        <v>2.7579504832214621</v>
      </c>
      <c r="AT101">
        <f t="shared" si="130"/>
        <v>29.641487158156558</v>
      </c>
      <c r="AU101">
        <f t="shared" si="131"/>
        <v>6.3362761915881549</v>
      </c>
      <c r="AV101">
        <f t="shared" si="132"/>
        <v>4.5393420366879207</v>
      </c>
      <c r="AW101">
        <f t="shared" si="133"/>
        <v>0.36391115512776867</v>
      </c>
      <c r="AX101">
        <f t="shared" si="134"/>
        <v>7.8529369204911008</v>
      </c>
      <c r="AY101">
        <f t="shared" si="135"/>
        <v>13.537603067116194</v>
      </c>
      <c r="BA101">
        <f t="shared" si="136"/>
        <v>5.4395176524105811</v>
      </c>
      <c r="BC101">
        <f t="shared" si="137"/>
        <v>1.9153187492194839</v>
      </c>
      <c r="BD101">
        <f t="shared" si="138"/>
        <v>0.61290266532300108</v>
      </c>
      <c r="BE101">
        <f t="shared" si="139"/>
        <v>16.637306713642591</v>
      </c>
      <c r="BF101">
        <f t="shared" si="140"/>
        <v>1.7812417944212164</v>
      </c>
      <c r="BG101">
        <f t="shared" si="141"/>
        <v>5.4777821776028199</v>
      </c>
      <c r="BH101">
        <f t="shared" si="142"/>
        <v>4.6068655683324513</v>
      </c>
      <c r="BI101">
        <f t="shared" si="143"/>
        <v>3.2368918497311383</v>
      </c>
      <c r="BJ101">
        <f t="shared" si="144"/>
        <v>8.8104571572007835</v>
      </c>
      <c r="BK101">
        <f t="shared" si="145"/>
        <v>0.61295591582825071</v>
      </c>
      <c r="BL101">
        <f t="shared" si="146"/>
        <v>4.4621115812509098</v>
      </c>
      <c r="BM101">
        <f t="shared" si="147"/>
        <v>1.9921556225098056</v>
      </c>
      <c r="BN101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131.78402560071078</v>
      </c>
      <c r="BO101" s="1">
        <f>+TablaGeneral[[#This Row],[Combustible]]/100</f>
        <v>1.3178402560071079</v>
      </c>
      <c r="BP101" s="1">
        <f>+TablaGeneral[[#This Row],[Combustible]]/150</f>
        <v>0.87856017067140513</v>
      </c>
      <c r="BQ101" s="1">
        <f>+TablaGeneral[[#This Row],[Combustible]]/200</f>
        <v>0.65892012800355393</v>
      </c>
      <c r="BR101">
        <f t="shared" si="113"/>
        <v>0.69058969503036649</v>
      </c>
      <c r="BS101">
        <f t="shared" si="114"/>
        <v>0.69058969503036649</v>
      </c>
      <c r="BT101">
        <f t="shared" si="115"/>
        <v>1.4156626506024099</v>
      </c>
      <c r="BU101">
        <f t="shared" si="116"/>
        <v>0.18818232776645821</v>
      </c>
      <c r="BV101">
        <f t="shared" si="117"/>
        <v>0.69058969503036649</v>
      </c>
      <c r="BW101">
        <f t="shared" si="118"/>
        <v>0.79376100100205305</v>
      </c>
      <c r="BX101">
        <f t="shared" si="119"/>
        <v>1.3282422613403004</v>
      </c>
      <c r="BY101">
        <f t="shared" si="120"/>
        <v>2.6687697160883284</v>
      </c>
      <c r="BZ101">
        <f t="shared" si="121"/>
        <v>1.6013022410660209</v>
      </c>
      <c r="CA101">
        <f t="shared" si="122"/>
        <v>1.9980916571406981</v>
      </c>
      <c r="CB101">
        <f t="shared" si="123"/>
        <v>0.79376100100205305</v>
      </c>
      <c r="CC101">
        <f t="shared" si="124"/>
        <v>0.30108133039512125</v>
      </c>
      <c r="CF101">
        <f t="shared" si="148"/>
        <v>5.2975521051194656</v>
      </c>
      <c r="CG101">
        <f t="shared" si="125"/>
        <v>0.43794260156541193</v>
      </c>
      <c r="CH101">
        <f t="shared" si="126"/>
        <v>0.41056560993743491</v>
      </c>
      <c r="CI101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8.204810046564786</v>
      </c>
      <c r="CJ101" s="59">
        <f>+TablaGeneral[[#This Row],[Tracto elevador]]+TablaGeneral[[#This Row],[Tractor con uñas]]+TablaGeneral[[#This Row],[Tractor con acoplado]]</f>
        <v>2.7968420406631429</v>
      </c>
      <c r="CK101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2.1767504728431475</v>
      </c>
      <c r="CL101" s="60">
        <f>+SUM(BR101:BV101)+TablaGeneral[[#This Row],[Cosecha DOV]]+TablaGeneral[[#This Row],[Corte DOV]]</f>
        <v>3.6756140634599674</v>
      </c>
      <c r="CM101" s="60">
        <f>+SUM(TablaGeneral[[#This Row],[Colocación de malla]:[Descarga y carga de bines con Autoelevador]])</f>
        <v>15.631069524656889</v>
      </c>
      <c r="CN101" s="64"/>
      <c r="CO101" s="64"/>
      <c r="CP101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101" t="str">
        <f>+TablaGeneral[[#This Row],[Variedad]]&amp;" "&amp;TablaGeneral[[#This Row],[Año de plantación]]</f>
        <v>Selma 2021</v>
      </c>
      <c r="CR101" t="str">
        <f>+IF(TablaGeneral[[#This Row],[Finca]]="El Espejo I","El Espejo I y II",IF(TablaGeneral[[#This Row],[Finca]]="El Espejo II","El Espejo I y II",TablaGeneral[[#This Row],[Finca]]))</f>
        <v>El Espejo III</v>
      </c>
    </row>
    <row r="102" spans="1:97">
      <c r="A102" t="s">
        <v>15</v>
      </c>
      <c r="B102">
        <v>40</v>
      </c>
      <c r="C102">
        <v>4.2300000000000004</v>
      </c>
      <c r="D102" t="s">
        <v>10</v>
      </c>
      <c r="E102" s="2">
        <v>5000</v>
      </c>
      <c r="F102" s="2">
        <f>+TablaGeneral[[#This Row],[Has]]*TablaGeneral[[#This Row],[Kg x Has]]</f>
        <v>21150.000000000004</v>
      </c>
      <c r="G102" s="2">
        <f>+TablaGeneral[[#This Row],[Kg 2026]]/4</f>
        <v>5287.5000000000009</v>
      </c>
      <c r="H102">
        <v>7055</v>
      </c>
      <c r="I102">
        <v>2021</v>
      </c>
      <c r="K102">
        <f>10000/IF(LEN(TablaGeneral[[#This Row],[Marco de plantación]])&gt;3,(MID(TablaGeneral[[#This Row],[Marco de plantación]],1,3)*MID(TablaGeneral[[#This Row],[Marco de plantación]],5,3)),(3*2))</f>
        <v>1666.6666666666667</v>
      </c>
      <c r="M102">
        <f>+TablaGeneral[[#This Row],[Plantas x Has]]*TablaGeneral[[#This Row],[N° de Guías x planta]]</f>
        <v>0</v>
      </c>
      <c r="O102">
        <f>+TablaGeneral[[#This Row],[N° de Guías x planta]]*TablaGeneral[[#This Row],[N° de Yemas x Guias]]</f>
        <v>0</v>
      </c>
      <c r="Q102">
        <f>+TablaGeneral[[#This Row],[N° de Yemas x Planta]]*TablaGeneral[[#This Row],[% de Brotación]]</f>
        <v>0</v>
      </c>
      <c r="T102">
        <f>+TablaGeneral[[#This Row],[N° de Brotes x Planta]]*TablaGeneral[[#This Row],[% de Fertilidad]]*TablaGeneral[[#This Row],[Cantidad de Racimos x Brote]]</f>
        <v>0</v>
      </c>
      <c r="V102">
        <f>+TablaGeneral[[#This Row],[Cantidad de Racimos x Planta]]*TablaGeneral[[#This Row],[Peso del Racimo]]</f>
        <v>0</v>
      </c>
      <c r="W102">
        <f>+TablaGeneral[[#This Row],[Plantas]]*TablaGeneral[[#This Row],[Kg x Planta]]</f>
        <v>0</v>
      </c>
      <c r="X102">
        <f>+TablaGeneral[[#This Row],[Kg x Cuartel]]/TablaGeneral[[#This Row],[Has]]</f>
        <v>0</v>
      </c>
      <c r="Y102" t="s">
        <v>163</v>
      </c>
      <c r="Z102">
        <v>300</v>
      </c>
      <c r="AA102">
        <f>+TablaGeneral[[#This Row],[Rendimiento Poda]]*1.5</f>
        <v>450</v>
      </c>
      <c r="AB102">
        <v>130</v>
      </c>
      <c r="AC102">
        <v>500</v>
      </c>
      <c r="AE102">
        <v>500</v>
      </c>
      <c r="AF102">
        <v>500</v>
      </c>
      <c r="AG102">
        <f>+IFERROR(TablaGeneral[[#This Row],[Plantas]]/TablaGeneral[[#This Row],[Rendimiento Poda]],0)</f>
        <v>23.516666666666666</v>
      </c>
      <c r="AH102">
        <f>+TablaGeneral[[#This Row],[Plantas]]/TablaGeneral[[#This Row],[Rendimiento Atada]]</f>
        <v>15.677777777777777</v>
      </c>
      <c r="AI102">
        <f>+IFERROR(TablaGeneral[[#This Row],[Plantas]]/TablaGeneral[[#This Row],[Rendimiento Desbrote de troncos]],0)</f>
        <v>54.269230769230766</v>
      </c>
      <c r="AJ102" s="2">
        <f>+IFERROR(TablaGeneral[[#This Row],[Plantas]]/TablaGeneral[[#This Row],[Rendimiento Acomodo de brotes ]],0)</f>
        <v>14.11</v>
      </c>
      <c r="AK102">
        <f>+IFERROR(TablaGeneral[[#This Row],[Plantas]]/TablaGeneral[[#This Row],[Rendimiento Desniete, deshoje ]],0)</f>
        <v>0</v>
      </c>
      <c r="AL102">
        <f>+IFERROR(TablaGeneral[[#This Row],[Plantas]]/TablaGeneral[[#This Row],[Rendimiento Desbrote con criterio de Poda]],0)</f>
        <v>14.11</v>
      </c>
      <c r="AM102">
        <f>+IFERROR(TablaGeneral[[#This Row],[Plantas]]/TablaGeneral[[#This Row],[Rendimiento Raleo de Racimos]],0)</f>
        <v>14.11</v>
      </c>
      <c r="AN102">
        <f t="shared" si="127"/>
        <v>7.0142912909065006E-2</v>
      </c>
      <c r="AR102">
        <f t="shared" si="128"/>
        <v>0.76985108210180797</v>
      </c>
      <c r="AS102">
        <f t="shared" si="129"/>
        <v>2.7579504832214621</v>
      </c>
      <c r="AT102">
        <f t="shared" si="130"/>
        <v>29.641487158156558</v>
      </c>
      <c r="AU102">
        <f t="shared" si="131"/>
        <v>6.3362761915881549</v>
      </c>
      <c r="AV102">
        <f t="shared" si="132"/>
        <v>4.5393420366879207</v>
      </c>
      <c r="AW102">
        <f t="shared" si="133"/>
        <v>0.36391115512776867</v>
      </c>
      <c r="AX102">
        <f t="shared" si="134"/>
        <v>7.8529369204911008</v>
      </c>
      <c r="AY102">
        <f t="shared" si="135"/>
        <v>13.537603067116194</v>
      </c>
      <c r="BA102">
        <f t="shared" si="136"/>
        <v>5.4395176524105811</v>
      </c>
      <c r="BC102">
        <f t="shared" si="137"/>
        <v>1.9153187492194839</v>
      </c>
      <c r="BD102">
        <f t="shared" si="138"/>
        <v>0.61290266532300108</v>
      </c>
      <c r="BE102">
        <f t="shared" si="139"/>
        <v>16.637306713642591</v>
      </c>
      <c r="BF102">
        <f t="shared" si="140"/>
        <v>1.7812417944212164</v>
      </c>
      <c r="BG102">
        <f t="shared" si="141"/>
        <v>5.4777821776028199</v>
      </c>
      <c r="BH102">
        <f t="shared" si="142"/>
        <v>4.6068655683324513</v>
      </c>
      <c r="BI102">
        <f t="shared" si="143"/>
        <v>3.2368918497311383</v>
      </c>
      <c r="BJ102">
        <f t="shared" si="144"/>
        <v>8.8104571572007835</v>
      </c>
      <c r="BK102">
        <f t="shared" si="145"/>
        <v>0.61295591582825071</v>
      </c>
      <c r="BL102">
        <f t="shared" si="146"/>
        <v>4.4621115812509098</v>
      </c>
      <c r="BM102">
        <f t="shared" si="147"/>
        <v>1.9921556225098056</v>
      </c>
      <c r="BN102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131.78402560071078</v>
      </c>
      <c r="BO102" s="1">
        <f>+TablaGeneral[[#This Row],[Combustible]]/100</f>
        <v>1.3178402560071079</v>
      </c>
      <c r="BP102" s="1">
        <f>+TablaGeneral[[#This Row],[Combustible]]/150</f>
        <v>0.87856017067140513</v>
      </c>
      <c r="BQ102" s="1">
        <f>+TablaGeneral[[#This Row],[Combustible]]/200</f>
        <v>0.65892012800355393</v>
      </c>
      <c r="BR102">
        <f t="shared" si="113"/>
        <v>0.69058969503036649</v>
      </c>
      <c r="BS102">
        <f t="shared" si="114"/>
        <v>0.69058969503036649</v>
      </c>
      <c r="BT102">
        <f t="shared" si="115"/>
        <v>1.4156626506024099</v>
      </c>
      <c r="BU102">
        <f t="shared" si="116"/>
        <v>0.18818232776645821</v>
      </c>
      <c r="BV102">
        <f t="shared" si="117"/>
        <v>0.69058969503036649</v>
      </c>
      <c r="BW102">
        <f t="shared" si="118"/>
        <v>0.79376100100205305</v>
      </c>
      <c r="BX102">
        <f t="shared" si="119"/>
        <v>1.3282422613403004</v>
      </c>
      <c r="BY102">
        <f t="shared" si="120"/>
        <v>2.6687697160883284</v>
      </c>
      <c r="BZ102">
        <f t="shared" si="121"/>
        <v>1.6013022410660209</v>
      </c>
      <c r="CA102">
        <f t="shared" si="122"/>
        <v>1.9980916571406981</v>
      </c>
      <c r="CB102">
        <f t="shared" si="123"/>
        <v>0.79376100100205305</v>
      </c>
      <c r="CC102">
        <f t="shared" si="124"/>
        <v>0.30108133039512125</v>
      </c>
      <c r="CF102">
        <f t="shared" si="148"/>
        <v>5.2975521051194656</v>
      </c>
      <c r="CG102">
        <f t="shared" si="125"/>
        <v>0.43794260156541193</v>
      </c>
      <c r="CH102">
        <f t="shared" si="126"/>
        <v>0.41056560993743491</v>
      </c>
      <c r="CI102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8.204810046564786</v>
      </c>
      <c r="CJ102" s="59">
        <f>+TablaGeneral[[#This Row],[Tracto elevador]]+TablaGeneral[[#This Row],[Tractor con uñas]]+TablaGeneral[[#This Row],[Tractor con acoplado]]</f>
        <v>2.7968420406631429</v>
      </c>
      <c r="CK102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2.1767504728431475</v>
      </c>
      <c r="CL102" s="60">
        <f>+SUM(BR102:BV102)+TablaGeneral[[#This Row],[Cosecha DOV]]+TablaGeneral[[#This Row],[Corte DOV]]</f>
        <v>3.6756140634599674</v>
      </c>
      <c r="CM102" s="60">
        <f>+SUM(TablaGeneral[[#This Row],[Colocación de malla]:[Descarga y carga de bines con Autoelevador]])</f>
        <v>15.631069524656889</v>
      </c>
      <c r="CN102" s="64"/>
      <c r="CO102" s="64"/>
      <c r="CP102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102" t="str">
        <f>+TablaGeneral[[#This Row],[Variedad]]&amp;" "&amp;TablaGeneral[[#This Row],[Año de plantación]]</f>
        <v>Fiesta 2021</v>
      </c>
      <c r="CR102" t="str">
        <f>+IF(TablaGeneral[[#This Row],[Finca]]="El Espejo I","El Espejo I y II",IF(TablaGeneral[[#This Row],[Finca]]="El Espejo II","El Espejo I y II",TablaGeneral[[#This Row],[Finca]]))</f>
        <v>El Espejo III</v>
      </c>
    </row>
    <row r="103" spans="1:97">
      <c r="A103" t="s">
        <v>15</v>
      </c>
      <c r="B103">
        <v>41</v>
      </c>
      <c r="C103">
        <v>3.86</v>
      </c>
      <c r="D103" t="s">
        <v>6</v>
      </c>
      <c r="E103" s="2">
        <v>5000</v>
      </c>
      <c r="F103" s="2">
        <f>+TablaGeneral[[#This Row],[Has]]*TablaGeneral[[#This Row],[Kg x Has]]</f>
        <v>19300</v>
      </c>
      <c r="G103" s="2">
        <f>+TablaGeneral[[#This Row],[Kg 2026]]/4</f>
        <v>4825</v>
      </c>
      <c r="H103">
        <v>6429</v>
      </c>
      <c r="I103">
        <v>2021</v>
      </c>
      <c r="K103">
        <f>10000/IF(LEN(TablaGeneral[[#This Row],[Marco de plantación]])&gt;3,(MID(TablaGeneral[[#This Row],[Marco de plantación]],1,3)*MID(TablaGeneral[[#This Row],[Marco de plantación]],5,3)),(3*2))</f>
        <v>1666.6666666666667</v>
      </c>
      <c r="M103">
        <f>+TablaGeneral[[#This Row],[Plantas x Has]]*TablaGeneral[[#This Row],[N° de Guías x planta]]</f>
        <v>0</v>
      </c>
      <c r="O103">
        <f>+TablaGeneral[[#This Row],[N° de Guías x planta]]*TablaGeneral[[#This Row],[N° de Yemas x Guias]]</f>
        <v>0</v>
      </c>
      <c r="Q103">
        <f>+TablaGeneral[[#This Row],[N° de Yemas x Planta]]*TablaGeneral[[#This Row],[% de Brotación]]</f>
        <v>0</v>
      </c>
      <c r="T103">
        <f>+TablaGeneral[[#This Row],[N° de Brotes x Planta]]*TablaGeneral[[#This Row],[% de Fertilidad]]*TablaGeneral[[#This Row],[Cantidad de Racimos x Brote]]</f>
        <v>0</v>
      </c>
      <c r="V103">
        <f>+TablaGeneral[[#This Row],[Cantidad de Racimos x Planta]]*TablaGeneral[[#This Row],[Peso del Racimo]]</f>
        <v>0</v>
      </c>
      <c r="W103">
        <f>+TablaGeneral[[#This Row],[Plantas]]*TablaGeneral[[#This Row],[Kg x Planta]]</f>
        <v>0</v>
      </c>
      <c r="X103">
        <f>+TablaGeneral[[#This Row],[Kg x Cuartel]]/TablaGeneral[[#This Row],[Has]]</f>
        <v>0</v>
      </c>
      <c r="Y103" t="s">
        <v>163</v>
      </c>
      <c r="Z103">
        <v>300</v>
      </c>
      <c r="AA103">
        <f>+TablaGeneral[[#This Row],[Rendimiento Poda]]*1.5</f>
        <v>450</v>
      </c>
      <c r="AB103">
        <v>130</v>
      </c>
      <c r="AC103">
        <v>500</v>
      </c>
      <c r="AE103">
        <v>500</v>
      </c>
      <c r="AF103">
        <v>500</v>
      </c>
      <c r="AG103">
        <f>+IFERROR(TablaGeneral[[#This Row],[Plantas]]/TablaGeneral[[#This Row],[Rendimiento Poda]],0)</f>
        <v>21.43</v>
      </c>
      <c r="AH103">
        <f>+TablaGeneral[[#This Row],[Plantas]]/TablaGeneral[[#This Row],[Rendimiento Atada]]</f>
        <v>14.286666666666667</v>
      </c>
      <c r="AI103">
        <f>+IFERROR(TablaGeneral[[#This Row],[Plantas]]/TablaGeneral[[#This Row],[Rendimiento Desbrote de troncos]],0)</f>
        <v>49.45384615384615</v>
      </c>
      <c r="AJ103" s="2">
        <f>+IFERROR(TablaGeneral[[#This Row],[Plantas]]/TablaGeneral[[#This Row],[Rendimiento Acomodo de brotes ]],0)</f>
        <v>12.858000000000001</v>
      </c>
      <c r="AK103">
        <f>+IFERROR(TablaGeneral[[#This Row],[Plantas]]/TablaGeneral[[#This Row],[Rendimiento Desniete, deshoje ]],0)</f>
        <v>0</v>
      </c>
      <c r="AL103">
        <f>+IFERROR(TablaGeneral[[#This Row],[Plantas]]/TablaGeneral[[#This Row],[Rendimiento Desbrote con criterio de Poda]],0)</f>
        <v>12.858000000000001</v>
      </c>
      <c r="AM103">
        <f>+IFERROR(TablaGeneral[[#This Row],[Plantas]]/TablaGeneral[[#This Row],[Rendimiento Raleo de Racimos]],0)</f>
        <v>12.858000000000001</v>
      </c>
      <c r="AN103">
        <f t="shared" si="127"/>
        <v>6.3919034315007645E-2</v>
      </c>
      <c r="AR103">
        <f t="shared" si="128"/>
        <v>0.70154112074167596</v>
      </c>
      <c r="AS103">
        <f t="shared" si="129"/>
        <v>2.5132336862694231</v>
      </c>
      <c r="AT103">
        <f t="shared" si="130"/>
        <v>27.01135661797144</v>
      </c>
      <c r="AU103">
        <f t="shared" si="131"/>
        <v>5.774049558571261</v>
      </c>
      <c r="AV103">
        <f t="shared" si="132"/>
        <v>4.1365598800661436</v>
      </c>
      <c r="AW103">
        <f t="shared" si="133"/>
        <v>0.33162081025037915</v>
      </c>
      <c r="AX103">
        <f t="shared" si="134"/>
        <v>7.156134863478</v>
      </c>
      <c r="AY103">
        <f t="shared" si="135"/>
        <v>12.336392646136076</v>
      </c>
      <c r="BA103">
        <f t="shared" si="136"/>
        <v>4.9568616566049082</v>
      </c>
      <c r="BC103">
        <f t="shared" si="137"/>
        <v>1.7453698424850548</v>
      </c>
      <c r="BD103">
        <f t="shared" si="138"/>
        <v>0.55851895611078295</v>
      </c>
      <c r="BE103">
        <f t="shared" si="139"/>
        <v>15.161055260383872</v>
      </c>
      <c r="BF103">
        <f t="shared" si="140"/>
        <v>1.623189723080652</v>
      </c>
      <c r="BG103">
        <f t="shared" si="141"/>
        <v>4.9917309170529451</v>
      </c>
      <c r="BH103">
        <f t="shared" si="142"/>
        <v>4.1980919544733286</v>
      </c>
      <c r="BI103">
        <f t="shared" si="143"/>
        <v>2.9496779166437261</v>
      </c>
      <c r="BJ103">
        <f t="shared" si="144"/>
        <v>8.0286929927206021</v>
      </c>
      <c r="BK103">
        <f t="shared" si="145"/>
        <v>0.55856748162435488</v>
      </c>
      <c r="BL103">
        <f t="shared" si="146"/>
        <v>4.0661821907671296</v>
      </c>
      <c r="BM103">
        <f t="shared" si="147"/>
        <v>1.8153888727307639</v>
      </c>
      <c r="BN103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120.15335938147963</v>
      </c>
      <c r="BO103" s="1">
        <f>+TablaGeneral[[#This Row],[Combustible]]/100</f>
        <v>1.2015335938147964</v>
      </c>
      <c r="BP103" s="1">
        <f>+TablaGeneral[[#This Row],[Combustible]]/150</f>
        <v>0.8010223958765309</v>
      </c>
      <c r="BQ103" s="1">
        <f>+TablaGeneral[[#This Row],[Combustible]]/200</f>
        <v>0.6007667969073982</v>
      </c>
      <c r="BR103">
        <f t="shared" si="113"/>
        <v>0.63018350421210734</v>
      </c>
      <c r="BS103">
        <f t="shared" si="114"/>
        <v>0.63018350421210734</v>
      </c>
      <c r="BT103">
        <f t="shared" si="115"/>
        <v>1.2918340026773762</v>
      </c>
      <c r="BU103">
        <f t="shared" si="116"/>
        <v>0.17172193503038499</v>
      </c>
      <c r="BV103">
        <f t="shared" si="117"/>
        <v>0.63018350421210734</v>
      </c>
      <c r="BW103">
        <f t="shared" si="118"/>
        <v>0.7243303697087291</v>
      </c>
      <c r="BX103">
        <f t="shared" si="119"/>
        <v>1.2120603141308648</v>
      </c>
      <c r="BY103">
        <f t="shared" si="120"/>
        <v>2.4353312302839116</v>
      </c>
      <c r="BZ103">
        <f t="shared" si="121"/>
        <v>1.4612356147789218</v>
      </c>
      <c r="CA103">
        <f t="shared" si="122"/>
        <v>1.8233176824026225</v>
      </c>
      <c r="CB103">
        <f t="shared" si="123"/>
        <v>0.7243303697087291</v>
      </c>
      <c r="CC103">
        <f t="shared" si="124"/>
        <v>0.27474561118798291</v>
      </c>
      <c r="CF103">
        <f t="shared" si="148"/>
        <v>4.8341728429695348</v>
      </c>
      <c r="CG103">
        <f t="shared" si="125"/>
        <v>0.39963556549467844</v>
      </c>
      <c r="CH103">
        <f t="shared" si="126"/>
        <v>0.3746532516213944</v>
      </c>
      <c r="CI103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7.4767857957994348</v>
      </c>
      <c r="CJ103" s="59">
        <f>+TablaGeneral[[#This Row],[Tracto elevador]]+TablaGeneral[[#This Row],[Tractor con uñas]]+TablaGeneral[[#This Row],[Tractor con acoplado]]</f>
        <v>2.5522010111015909</v>
      </c>
      <c r="CK103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1.9863491312469375</v>
      </c>
      <c r="CL103" s="60">
        <f>+SUM(BR103:BV103)+TablaGeneral[[#This Row],[Cosecha DOV]]+TablaGeneral[[#This Row],[Corte DOV]]</f>
        <v>3.3541064503440832</v>
      </c>
      <c r="CM103" s="60">
        <f>+SUM(TablaGeneral[[#This Row],[Colocación de malla]:[Descarga y carga de bines con Autoelevador]])</f>
        <v>14.263812852287371</v>
      </c>
      <c r="CN103" s="64"/>
      <c r="CO103" s="64"/>
      <c r="CP103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103" t="str">
        <f>+TablaGeneral[[#This Row],[Variedad]]&amp;" "&amp;TablaGeneral[[#This Row],[Año de plantación]]</f>
        <v>Flame 2021</v>
      </c>
      <c r="CR103" t="str">
        <f>+IF(TablaGeneral[[#This Row],[Finca]]="El Espejo I","El Espejo I y II",IF(TablaGeneral[[#This Row],[Finca]]="El Espejo II","El Espejo I y II",TablaGeneral[[#This Row],[Finca]]))</f>
        <v>El Espejo III</v>
      </c>
    </row>
    <row r="104" spans="1:97">
      <c r="A104" t="s">
        <v>15</v>
      </c>
      <c r="B104">
        <v>42</v>
      </c>
      <c r="C104">
        <v>4.2300000000000004</v>
      </c>
      <c r="D104" t="s">
        <v>5</v>
      </c>
      <c r="E104" s="2">
        <v>5000</v>
      </c>
      <c r="F104" s="2">
        <f>+TablaGeneral[[#This Row],[Has]]*TablaGeneral[[#This Row],[Kg x Has]]</f>
        <v>21150.000000000004</v>
      </c>
      <c r="G104" s="2">
        <f>+TablaGeneral[[#This Row],[Kg 2026]]/4</f>
        <v>5287.5000000000009</v>
      </c>
      <c r="H104">
        <v>7055</v>
      </c>
      <c r="I104">
        <v>2021</v>
      </c>
      <c r="K104">
        <f>10000/IF(LEN(TablaGeneral[[#This Row],[Marco de plantación]])&gt;3,(MID(TablaGeneral[[#This Row],[Marco de plantación]],1,3)*MID(TablaGeneral[[#This Row],[Marco de plantación]],5,3)),(3*2))</f>
        <v>1666.6666666666667</v>
      </c>
      <c r="M104">
        <f>+TablaGeneral[[#This Row],[Plantas x Has]]*TablaGeneral[[#This Row],[N° de Guías x planta]]</f>
        <v>0</v>
      </c>
      <c r="O104">
        <f>+TablaGeneral[[#This Row],[N° de Guías x planta]]*TablaGeneral[[#This Row],[N° de Yemas x Guias]]</f>
        <v>0</v>
      </c>
      <c r="Q104">
        <f>+TablaGeneral[[#This Row],[N° de Yemas x Planta]]*TablaGeneral[[#This Row],[% de Brotación]]</f>
        <v>0</v>
      </c>
      <c r="T104">
        <f>+TablaGeneral[[#This Row],[N° de Brotes x Planta]]*TablaGeneral[[#This Row],[% de Fertilidad]]*TablaGeneral[[#This Row],[Cantidad de Racimos x Brote]]</f>
        <v>0</v>
      </c>
      <c r="V104">
        <f>+TablaGeneral[[#This Row],[Cantidad de Racimos x Planta]]*TablaGeneral[[#This Row],[Peso del Racimo]]</f>
        <v>0</v>
      </c>
      <c r="W104">
        <f>+TablaGeneral[[#This Row],[Plantas]]*TablaGeneral[[#This Row],[Kg x Planta]]</f>
        <v>0</v>
      </c>
      <c r="X104">
        <f>+TablaGeneral[[#This Row],[Kg x Cuartel]]/TablaGeneral[[#This Row],[Has]]</f>
        <v>0</v>
      </c>
      <c r="Y104" t="s">
        <v>163</v>
      </c>
      <c r="Z104">
        <v>300</v>
      </c>
      <c r="AA104">
        <f>+TablaGeneral[[#This Row],[Rendimiento Poda]]*1.5</f>
        <v>450</v>
      </c>
      <c r="AB104">
        <v>130</v>
      </c>
      <c r="AC104">
        <v>500</v>
      </c>
      <c r="AE104">
        <v>500</v>
      </c>
      <c r="AF104">
        <v>500</v>
      </c>
      <c r="AG104">
        <f>+IFERROR(TablaGeneral[[#This Row],[Plantas]]/TablaGeneral[[#This Row],[Rendimiento Poda]],0)</f>
        <v>23.516666666666666</v>
      </c>
      <c r="AH104">
        <f>+TablaGeneral[[#This Row],[Plantas]]/TablaGeneral[[#This Row],[Rendimiento Atada]]</f>
        <v>15.677777777777777</v>
      </c>
      <c r="AI104">
        <f>+IFERROR(TablaGeneral[[#This Row],[Plantas]]/TablaGeneral[[#This Row],[Rendimiento Desbrote de troncos]],0)</f>
        <v>54.269230769230766</v>
      </c>
      <c r="AJ104" s="2">
        <f>+IFERROR(TablaGeneral[[#This Row],[Plantas]]/TablaGeneral[[#This Row],[Rendimiento Acomodo de brotes ]],0)</f>
        <v>14.11</v>
      </c>
      <c r="AK104">
        <f>+IFERROR(TablaGeneral[[#This Row],[Plantas]]/TablaGeneral[[#This Row],[Rendimiento Desniete, deshoje ]],0)</f>
        <v>0</v>
      </c>
      <c r="AL104">
        <f>+IFERROR(TablaGeneral[[#This Row],[Plantas]]/TablaGeneral[[#This Row],[Rendimiento Desbrote con criterio de Poda]],0)</f>
        <v>14.11</v>
      </c>
      <c r="AM104">
        <f>+IFERROR(TablaGeneral[[#This Row],[Plantas]]/TablaGeneral[[#This Row],[Rendimiento Raleo de Racimos]],0)</f>
        <v>14.11</v>
      </c>
      <c r="AN104">
        <f t="shared" si="127"/>
        <v>7.0142912909065006E-2</v>
      </c>
      <c r="AR104">
        <f t="shared" si="128"/>
        <v>0.76985108210180797</v>
      </c>
      <c r="AS104">
        <f t="shared" si="129"/>
        <v>2.7579504832214621</v>
      </c>
      <c r="AT104">
        <f t="shared" si="130"/>
        <v>29.641487158156558</v>
      </c>
      <c r="AU104">
        <f t="shared" si="131"/>
        <v>6.3362761915881549</v>
      </c>
      <c r="AV104">
        <f t="shared" si="132"/>
        <v>4.5393420366879207</v>
      </c>
      <c r="AW104">
        <f t="shared" si="133"/>
        <v>0.36391115512776867</v>
      </c>
      <c r="AX104">
        <f t="shared" si="134"/>
        <v>7.8529369204911008</v>
      </c>
      <c r="AY104">
        <f t="shared" si="135"/>
        <v>13.537603067116194</v>
      </c>
      <c r="BA104">
        <f t="shared" si="136"/>
        <v>5.4395176524105811</v>
      </c>
      <c r="BC104">
        <f t="shared" si="137"/>
        <v>1.9153187492194839</v>
      </c>
      <c r="BD104">
        <f t="shared" si="138"/>
        <v>0.61290266532300108</v>
      </c>
      <c r="BE104">
        <f t="shared" si="139"/>
        <v>16.637306713642591</v>
      </c>
      <c r="BF104">
        <f t="shared" si="140"/>
        <v>1.7812417944212164</v>
      </c>
      <c r="BG104">
        <f t="shared" si="141"/>
        <v>5.4777821776028199</v>
      </c>
      <c r="BH104">
        <f t="shared" si="142"/>
        <v>4.6068655683324513</v>
      </c>
      <c r="BI104">
        <f t="shared" si="143"/>
        <v>3.2368918497311383</v>
      </c>
      <c r="BJ104">
        <f t="shared" si="144"/>
        <v>8.8104571572007835</v>
      </c>
      <c r="BK104">
        <f t="shared" si="145"/>
        <v>0.61295591582825071</v>
      </c>
      <c r="BL104">
        <f t="shared" si="146"/>
        <v>4.4621115812509098</v>
      </c>
      <c r="BM104">
        <f t="shared" si="147"/>
        <v>1.9921556225098056</v>
      </c>
      <c r="BN104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131.78402560071078</v>
      </c>
      <c r="BO104" s="1">
        <f>+TablaGeneral[[#This Row],[Combustible]]/100</f>
        <v>1.3178402560071079</v>
      </c>
      <c r="BP104" s="1">
        <f>+TablaGeneral[[#This Row],[Combustible]]/150</f>
        <v>0.87856017067140513</v>
      </c>
      <c r="BQ104" s="1">
        <f>+TablaGeneral[[#This Row],[Combustible]]/200</f>
        <v>0.65892012800355393</v>
      </c>
      <c r="BR104">
        <f t="shared" si="113"/>
        <v>0.69058969503036649</v>
      </c>
      <c r="BS104">
        <f t="shared" si="114"/>
        <v>0.69058969503036649</v>
      </c>
      <c r="BT104">
        <f t="shared" si="115"/>
        <v>1.4156626506024099</v>
      </c>
      <c r="BU104">
        <f t="shared" si="116"/>
        <v>0.18818232776645821</v>
      </c>
      <c r="BV104">
        <f t="shared" si="117"/>
        <v>0.69058969503036649</v>
      </c>
      <c r="BW104">
        <f t="shared" si="118"/>
        <v>0.79376100100205305</v>
      </c>
      <c r="BX104">
        <f t="shared" si="119"/>
        <v>1.3282422613403004</v>
      </c>
      <c r="BY104">
        <f t="shared" si="120"/>
        <v>2.6687697160883284</v>
      </c>
      <c r="BZ104">
        <f t="shared" si="121"/>
        <v>1.6013022410660209</v>
      </c>
      <c r="CA104">
        <f t="shared" si="122"/>
        <v>1.9980916571406981</v>
      </c>
      <c r="CB104">
        <f t="shared" si="123"/>
        <v>0.79376100100205305</v>
      </c>
      <c r="CC104">
        <f t="shared" si="124"/>
        <v>0.30108133039512125</v>
      </c>
      <c r="CF104">
        <f t="shared" si="148"/>
        <v>5.2975521051194656</v>
      </c>
      <c r="CG104">
        <f t="shared" si="125"/>
        <v>0.43794260156541193</v>
      </c>
      <c r="CH104">
        <f t="shared" si="126"/>
        <v>0.41056560993743491</v>
      </c>
      <c r="CI104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8.204810046564786</v>
      </c>
      <c r="CJ104" s="59">
        <f>+TablaGeneral[[#This Row],[Tracto elevador]]+TablaGeneral[[#This Row],[Tractor con uñas]]+TablaGeneral[[#This Row],[Tractor con acoplado]]</f>
        <v>2.7968420406631429</v>
      </c>
      <c r="CK104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2.1767504728431475</v>
      </c>
      <c r="CL104" s="60">
        <f>+SUM(BR104:BV104)+TablaGeneral[[#This Row],[Cosecha DOV]]+TablaGeneral[[#This Row],[Corte DOV]]</f>
        <v>3.6756140634599674</v>
      </c>
      <c r="CM104" s="60">
        <f>+SUM(TablaGeneral[[#This Row],[Colocación de malla]:[Descarga y carga de bines con Autoelevador]])</f>
        <v>15.631069524656889</v>
      </c>
      <c r="CN104" s="64"/>
      <c r="CO104" s="64"/>
      <c r="CP104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104" t="str">
        <f>+TablaGeneral[[#This Row],[Variedad]]&amp;" "&amp;TablaGeneral[[#This Row],[Año de plantación]]</f>
        <v>Selma 2021</v>
      </c>
      <c r="CR104" t="str">
        <f>+IF(TablaGeneral[[#This Row],[Finca]]="El Espejo I","El Espejo I y II",IF(TablaGeneral[[#This Row],[Finca]]="El Espejo II","El Espejo I y II",TablaGeneral[[#This Row],[Finca]]))</f>
        <v>El Espejo III</v>
      </c>
    </row>
    <row r="105" spans="1:97">
      <c r="A105" t="s">
        <v>15</v>
      </c>
      <c r="B105">
        <v>43</v>
      </c>
      <c r="C105">
        <v>4.2300000000000004</v>
      </c>
      <c r="D105" t="s">
        <v>10</v>
      </c>
      <c r="E105" s="2">
        <v>5000</v>
      </c>
      <c r="F105" s="2">
        <f>+TablaGeneral[[#This Row],[Has]]*TablaGeneral[[#This Row],[Kg x Has]]</f>
        <v>21150.000000000004</v>
      </c>
      <c r="G105" s="2">
        <f>+TablaGeneral[[#This Row],[Kg 2026]]/4</f>
        <v>5287.5000000000009</v>
      </c>
      <c r="H105">
        <v>7055</v>
      </c>
      <c r="I105">
        <v>2021</v>
      </c>
      <c r="K105">
        <f>10000/IF(LEN(TablaGeneral[[#This Row],[Marco de plantación]])&gt;3,(MID(TablaGeneral[[#This Row],[Marco de plantación]],1,3)*MID(TablaGeneral[[#This Row],[Marco de plantación]],5,3)),(3*2))</f>
        <v>1666.6666666666667</v>
      </c>
      <c r="M105">
        <f>+TablaGeneral[[#This Row],[Plantas x Has]]*TablaGeneral[[#This Row],[N° de Guías x planta]]</f>
        <v>0</v>
      </c>
      <c r="O105">
        <f>+TablaGeneral[[#This Row],[N° de Guías x planta]]*TablaGeneral[[#This Row],[N° de Yemas x Guias]]</f>
        <v>0</v>
      </c>
      <c r="Q105">
        <f>+TablaGeneral[[#This Row],[N° de Yemas x Planta]]*TablaGeneral[[#This Row],[% de Brotación]]</f>
        <v>0</v>
      </c>
      <c r="T105">
        <f>+TablaGeneral[[#This Row],[N° de Brotes x Planta]]*TablaGeneral[[#This Row],[% de Fertilidad]]*TablaGeneral[[#This Row],[Cantidad de Racimos x Brote]]</f>
        <v>0</v>
      </c>
      <c r="V105">
        <f>+TablaGeneral[[#This Row],[Cantidad de Racimos x Planta]]*TablaGeneral[[#This Row],[Peso del Racimo]]</f>
        <v>0</v>
      </c>
      <c r="W105">
        <f>+TablaGeneral[[#This Row],[Plantas]]*TablaGeneral[[#This Row],[Kg x Planta]]</f>
        <v>0</v>
      </c>
      <c r="X105">
        <f>+TablaGeneral[[#This Row],[Kg x Cuartel]]/TablaGeneral[[#This Row],[Has]]</f>
        <v>0</v>
      </c>
      <c r="Y105" t="s">
        <v>163</v>
      </c>
      <c r="Z105">
        <v>300</v>
      </c>
      <c r="AA105">
        <f>+TablaGeneral[[#This Row],[Rendimiento Poda]]*1.5</f>
        <v>450</v>
      </c>
      <c r="AB105">
        <v>130</v>
      </c>
      <c r="AC105">
        <v>500</v>
      </c>
      <c r="AE105">
        <v>500</v>
      </c>
      <c r="AF105">
        <v>500</v>
      </c>
      <c r="AG105">
        <f>+IFERROR(TablaGeneral[[#This Row],[Plantas]]/TablaGeneral[[#This Row],[Rendimiento Poda]],0)</f>
        <v>23.516666666666666</v>
      </c>
      <c r="AH105">
        <f>+TablaGeneral[[#This Row],[Plantas]]/TablaGeneral[[#This Row],[Rendimiento Atada]]</f>
        <v>15.677777777777777</v>
      </c>
      <c r="AI105">
        <f>+IFERROR(TablaGeneral[[#This Row],[Plantas]]/TablaGeneral[[#This Row],[Rendimiento Desbrote de troncos]],0)</f>
        <v>54.269230769230766</v>
      </c>
      <c r="AJ105" s="2">
        <f>+IFERROR(TablaGeneral[[#This Row],[Plantas]]/TablaGeneral[[#This Row],[Rendimiento Acomodo de brotes ]],0)</f>
        <v>14.11</v>
      </c>
      <c r="AK105">
        <f>+IFERROR(TablaGeneral[[#This Row],[Plantas]]/TablaGeneral[[#This Row],[Rendimiento Desniete, deshoje ]],0)</f>
        <v>0</v>
      </c>
      <c r="AL105">
        <f>+IFERROR(TablaGeneral[[#This Row],[Plantas]]/TablaGeneral[[#This Row],[Rendimiento Desbrote con criterio de Poda]],0)</f>
        <v>14.11</v>
      </c>
      <c r="AM105">
        <f>+IFERROR(TablaGeneral[[#This Row],[Plantas]]/TablaGeneral[[#This Row],[Rendimiento Raleo de Racimos]],0)</f>
        <v>14.11</v>
      </c>
      <c r="AN105">
        <f t="shared" si="127"/>
        <v>7.0142912909065006E-2</v>
      </c>
      <c r="AR105">
        <f t="shared" si="128"/>
        <v>0.76985108210180797</v>
      </c>
      <c r="AS105">
        <f t="shared" si="129"/>
        <v>2.7579504832214621</v>
      </c>
      <c r="AT105">
        <f t="shared" si="130"/>
        <v>29.641487158156558</v>
      </c>
      <c r="AU105">
        <f t="shared" si="131"/>
        <v>6.3362761915881549</v>
      </c>
      <c r="AV105">
        <f t="shared" si="132"/>
        <v>4.5393420366879207</v>
      </c>
      <c r="AW105">
        <f t="shared" si="133"/>
        <v>0.36391115512776867</v>
      </c>
      <c r="AX105">
        <f t="shared" si="134"/>
        <v>7.8529369204911008</v>
      </c>
      <c r="AY105">
        <f t="shared" si="135"/>
        <v>13.537603067116194</v>
      </c>
      <c r="BA105">
        <f t="shared" si="136"/>
        <v>5.4395176524105811</v>
      </c>
      <c r="BC105">
        <f t="shared" si="137"/>
        <v>1.9153187492194839</v>
      </c>
      <c r="BD105">
        <f t="shared" si="138"/>
        <v>0.61290266532300108</v>
      </c>
      <c r="BE105">
        <f t="shared" si="139"/>
        <v>16.637306713642591</v>
      </c>
      <c r="BF105">
        <f t="shared" si="140"/>
        <v>1.7812417944212164</v>
      </c>
      <c r="BG105">
        <f t="shared" si="141"/>
        <v>5.4777821776028199</v>
      </c>
      <c r="BH105">
        <f t="shared" si="142"/>
        <v>4.6068655683324513</v>
      </c>
      <c r="BI105">
        <f t="shared" si="143"/>
        <v>3.2368918497311383</v>
      </c>
      <c r="BJ105">
        <f t="shared" si="144"/>
        <v>8.8104571572007835</v>
      </c>
      <c r="BK105">
        <f t="shared" si="145"/>
        <v>0.61295591582825071</v>
      </c>
      <c r="BL105">
        <f t="shared" si="146"/>
        <v>4.4621115812509098</v>
      </c>
      <c r="BM105">
        <f t="shared" si="147"/>
        <v>1.9921556225098056</v>
      </c>
      <c r="BN105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131.78402560071078</v>
      </c>
      <c r="BO105" s="1">
        <f>+TablaGeneral[[#This Row],[Combustible]]/100</f>
        <v>1.3178402560071079</v>
      </c>
      <c r="BP105" s="1">
        <f>+TablaGeneral[[#This Row],[Combustible]]/150</f>
        <v>0.87856017067140513</v>
      </c>
      <c r="BQ105" s="1">
        <f>+TablaGeneral[[#This Row],[Combustible]]/200</f>
        <v>0.65892012800355393</v>
      </c>
      <c r="BR105">
        <f t="shared" si="113"/>
        <v>0.69058969503036649</v>
      </c>
      <c r="BS105">
        <f t="shared" si="114"/>
        <v>0.69058969503036649</v>
      </c>
      <c r="BT105">
        <f t="shared" si="115"/>
        <v>1.4156626506024099</v>
      </c>
      <c r="BU105">
        <f t="shared" si="116"/>
        <v>0.18818232776645821</v>
      </c>
      <c r="BV105">
        <f t="shared" si="117"/>
        <v>0.69058969503036649</v>
      </c>
      <c r="BW105">
        <f t="shared" si="118"/>
        <v>0.79376100100205305</v>
      </c>
      <c r="BX105">
        <f t="shared" si="119"/>
        <v>1.3282422613403004</v>
      </c>
      <c r="BY105">
        <f t="shared" si="120"/>
        <v>2.6687697160883284</v>
      </c>
      <c r="BZ105">
        <f t="shared" si="121"/>
        <v>1.6013022410660209</v>
      </c>
      <c r="CA105">
        <f t="shared" si="122"/>
        <v>1.9980916571406981</v>
      </c>
      <c r="CB105">
        <f t="shared" si="123"/>
        <v>0.79376100100205305</v>
      </c>
      <c r="CC105">
        <f t="shared" si="124"/>
        <v>0.30108133039512125</v>
      </c>
      <c r="CF105">
        <f t="shared" si="148"/>
        <v>5.2975521051194656</v>
      </c>
      <c r="CG105">
        <f t="shared" si="125"/>
        <v>0.43794260156541193</v>
      </c>
      <c r="CH105">
        <f t="shared" si="126"/>
        <v>0.41056560993743491</v>
      </c>
      <c r="CI105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8.204810046564786</v>
      </c>
      <c r="CJ105" s="59">
        <f>+TablaGeneral[[#This Row],[Tracto elevador]]+TablaGeneral[[#This Row],[Tractor con uñas]]+TablaGeneral[[#This Row],[Tractor con acoplado]]</f>
        <v>2.7968420406631429</v>
      </c>
      <c r="CK105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2.1767504728431475</v>
      </c>
      <c r="CL105" s="60">
        <f>+SUM(BR105:BV105)+TablaGeneral[[#This Row],[Cosecha DOV]]+TablaGeneral[[#This Row],[Corte DOV]]</f>
        <v>3.6756140634599674</v>
      </c>
      <c r="CM105" s="60">
        <f>+SUM(TablaGeneral[[#This Row],[Colocación de malla]:[Descarga y carga de bines con Autoelevador]])</f>
        <v>15.631069524656889</v>
      </c>
      <c r="CN105" s="64"/>
      <c r="CO105" s="64"/>
      <c r="CP105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105" t="str">
        <f>+TablaGeneral[[#This Row],[Variedad]]&amp;" "&amp;TablaGeneral[[#This Row],[Año de plantación]]</f>
        <v>Fiesta 2021</v>
      </c>
      <c r="CR105" t="str">
        <f>+IF(TablaGeneral[[#This Row],[Finca]]="El Espejo I","El Espejo I y II",IF(TablaGeneral[[#This Row],[Finca]]="El Espejo II","El Espejo I y II",TablaGeneral[[#This Row],[Finca]]))</f>
        <v>El Espejo III</v>
      </c>
    </row>
    <row r="106" spans="1:97">
      <c r="A106" t="s">
        <v>15</v>
      </c>
      <c r="B106">
        <v>44</v>
      </c>
      <c r="C106">
        <v>3.65</v>
      </c>
      <c r="D106" t="s">
        <v>6</v>
      </c>
      <c r="E106" s="2">
        <v>5000</v>
      </c>
      <c r="F106" s="2">
        <f>+TablaGeneral[[#This Row],[Has]]*TablaGeneral[[#This Row],[Kg x Has]]</f>
        <v>18250</v>
      </c>
      <c r="G106" s="2">
        <f>+TablaGeneral[[#This Row],[Kg 2026]]/4</f>
        <v>4562.5</v>
      </c>
      <c r="H106">
        <v>6089</v>
      </c>
      <c r="I106">
        <v>2021</v>
      </c>
      <c r="K106">
        <f>10000/IF(LEN(TablaGeneral[[#This Row],[Marco de plantación]])&gt;3,(MID(TablaGeneral[[#This Row],[Marco de plantación]],1,3)*MID(TablaGeneral[[#This Row],[Marco de plantación]],5,3)),(3*2))</f>
        <v>1666.6666666666667</v>
      </c>
      <c r="M106">
        <f>+TablaGeneral[[#This Row],[Plantas x Has]]*TablaGeneral[[#This Row],[N° de Guías x planta]]</f>
        <v>0</v>
      </c>
      <c r="O106">
        <f>+TablaGeneral[[#This Row],[N° de Guías x planta]]*TablaGeneral[[#This Row],[N° de Yemas x Guias]]</f>
        <v>0</v>
      </c>
      <c r="Q106">
        <f>+TablaGeneral[[#This Row],[N° de Yemas x Planta]]*TablaGeneral[[#This Row],[% de Brotación]]</f>
        <v>0</v>
      </c>
      <c r="T106">
        <f>+TablaGeneral[[#This Row],[N° de Brotes x Planta]]*TablaGeneral[[#This Row],[% de Fertilidad]]*TablaGeneral[[#This Row],[Cantidad de Racimos x Brote]]</f>
        <v>0</v>
      </c>
      <c r="V106">
        <f>+TablaGeneral[[#This Row],[Cantidad de Racimos x Planta]]*TablaGeneral[[#This Row],[Peso del Racimo]]</f>
        <v>0</v>
      </c>
      <c r="W106">
        <f>+TablaGeneral[[#This Row],[Plantas]]*TablaGeneral[[#This Row],[Kg x Planta]]</f>
        <v>0</v>
      </c>
      <c r="X106">
        <f>+TablaGeneral[[#This Row],[Kg x Cuartel]]/TablaGeneral[[#This Row],[Has]]</f>
        <v>0</v>
      </c>
      <c r="Y106" t="s">
        <v>163</v>
      </c>
      <c r="Z106">
        <v>300</v>
      </c>
      <c r="AA106">
        <f>+TablaGeneral[[#This Row],[Rendimiento Poda]]*1.5</f>
        <v>450</v>
      </c>
      <c r="AB106">
        <v>130</v>
      </c>
      <c r="AC106">
        <v>500</v>
      </c>
      <c r="AE106">
        <v>500</v>
      </c>
      <c r="AF106">
        <v>500</v>
      </c>
      <c r="AG106">
        <f>+IFERROR(TablaGeneral[[#This Row],[Plantas]]/TablaGeneral[[#This Row],[Rendimiento Poda]],0)</f>
        <v>20.296666666666667</v>
      </c>
      <c r="AH106">
        <f>+TablaGeneral[[#This Row],[Plantas]]/TablaGeneral[[#This Row],[Rendimiento Atada]]</f>
        <v>13.531111111111111</v>
      </c>
      <c r="AI106">
        <f>+IFERROR(TablaGeneral[[#This Row],[Plantas]]/TablaGeneral[[#This Row],[Rendimiento Desbrote de troncos]],0)</f>
        <v>46.838461538461537</v>
      </c>
      <c r="AJ106" s="2">
        <f>+IFERROR(TablaGeneral[[#This Row],[Plantas]]/TablaGeneral[[#This Row],[Rendimiento Acomodo de brotes ]],0)</f>
        <v>12.178000000000001</v>
      </c>
      <c r="AK106">
        <f>+IFERROR(TablaGeneral[[#This Row],[Plantas]]/TablaGeneral[[#This Row],[Rendimiento Desniete, deshoje ]],0)</f>
        <v>0</v>
      </c>
      <c r="AL106">
        <f>+IFERROR(TablaGeneral[[#This Row],[Plantas]]/TablaGeneral[[#This Row],[Rendimiento Desbrote con criterio de Poda]],0)</f>
        <v>12.178000000000001</v>
      </c>
      <c r="AM106">
        <f>+IFERROR(TablaGeneral[[#This Row],[Plantas]]/TablaGeneral[[#This Row],[Rendimiento Raleo de Racimos]],0)</f>
        <v>12.178000000000001</v>
      </c>
      <c r="AN106">
        <f t="shared" si="127"/>
        <v>6.053865296999246E-2</v>
      </c>
      <c r="AR106">
        <f t="shared" si="128"/>
        <v>0.66443986377291409</v>
      </c>
      <c r="AS106">
        <f t="shared" si="129"/>
        <v>2.3803204099695936</v>
      </c>
      <c r="AT106">
        <f t="shared" si="130"/>
        <v>25.582851212759074</v>
      </c>
      <c r="AU106">
        <f t="shared" si="131"/>
        <v>5.4686868505429169</v>
      </c>
      <c r="AV106">
        <f t="shared" si="132"/>
        <v>3.9177964084185328</v>
      </c>
      <c r="AW106">
        <f t="shared" si="133"/>
        <v>0.3140829232562698</v>
      </c>
      <c r="AX106">
        <f t="shared" si="134"/>
        <v>6.7776800721290309</v>
      </c>
      <c r="AY106">
        <f t="shared" si="135"/>
        <v>11.683978040491921</v>
      </c>
      <c r="BA106">
        <f t="shared" si="136"/>
        <v>4.6947162275730729</v>
      </c>
      <c r="BC106">
        <f t="shared" si="137"/>
        <v>1.6530653244503808</v>
      </c>
      <c r="BD106">
        <f t="shared" si="138"/>
        <v>0.5289814782638913</v>
      </c>
      <c r="BE106">
        <f t="shared" si="139"/>
        <v>14.359257346473385</v>
      </c>
      <c r="BF106">
        <f t="shared" si="140"/>
        <v>1.5373467450362561</v>
      </c>
      <c r="BG106">
        <f t="shared" si="141"/>
        <v>4.7277414145178698</v>
      </c>
      <c r="BH106">
        <f t="shared" si="142"/>
        <v>3.9760743367223665</v>
      </c>
      <c r="BI106">
        <f t="shared" si="143"/>
        <v>2.7936831287048762</v>
      </c>
      <c r="BJ106">
        <f t="shared" si="144"/>
        <v>7.6040926477952624</v>
      </c>
      <c r="BK106">
        <f t="shared" si="145"/>
        <v>0.5290274374880537</v>
      </c>
      <c r="BL106">
        <f t="shared" si="146"/>
        <v>3.8511406687791334</v>
      </c>
      <c r="BM106">
        <f t="shared" si="147"/>
        <v>1.7193813728507734</v>
      </c>
      <c r="BN106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113.73007465396556</v>
      </c>
      <c r="BO106" s="1">
        <f>+TablaGeneral[[#This Row],[Combustible]]/100</f>
        <v>1.1373007465396556</v>
      </c>
      <c r="BP106" s="1">
        <f>+TablaGeneral[[#This Row],[Combustible]]/150</f>
        <v>0.75820049769310371</v>
      </c>
      <c r="BQ106" s="1">
        <f>+TablaGeneral[[#This Row],[Combustible]]/200</f>
        <v>0.56865037326982781</v>
      </c>
      <c r="BR106">
        <f t="shared" si="113"/>
        <v>0.59589890942336576</v>
      </c>
      <c r="BS106">
        <f t="shared" si="114"/>
        <v>0.59589890942336576</v>
      </c>
      <c r="BT106">
        <f t="shared" si="115"/>
        <v>1.2215528781793843</v>
      </c>
      <c r="BU106">
        <f t="shared" si="116"/>
        <v>0.16237954996396509</v>
      </c>
      <c r="BV106">
        <f t="shared" si="117"/>
        <v>0.59589890942336576</v>
      </c>
      <c r="BW106">
        <f t="shared" si="118"/>
        <v>0.68492379519089674</v>
      </c>
      <c r="BX106">
        <f t="shared" si="119"/>
        <v>1.1461192089579422</v>
      </c>
      <c r="BY106">
        <f t="shared" si="120"/>
        <v>2.3028391167192428</v>
      </c>
      <c r="BZ106">
        <f t="shared" si="121"/>
        <v>1.3817383403997576</v>
      </c>
      <c r="CA106">
        <f t="shared" si="122"/>
        <v>1.7241216426864177</v>
      </c>
      <c r="CB106">
        <f t="shared" si="123"/>
        <v>0.68492379519089674</v>
      </c>
      <c r="CC106">
        <f t="shared" si="124"/>
        <v>0.259798311097445</v>
      </c>
      <c r="CF106">
        <f t="shared" si="148"/>
        <v>4.5711738022898452</v>
      </c>
      <c r="CG106">
        <f t="shared" si="125"/>
        <v>0.37789373421128919</v>
      </c>
      <c r="CH106">
        <f t="shared" si="126"/>
        <v>0.35427056176634447</v>
      </c>
      <c r="CI106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7.0813732634348661</v>
      </c>
      <c r="CJ106" s="59">
        <f>+TablaGeneral[[#This Row],[Tracto elevador]]+TablaGeneral[[#This Row],[Tractor con uñas]]+TablaGeneral[[#This Row],[Tractor con acoplado]]</f>
        <v>2.4133506970261158</v>
      </c>
      <c r="CK106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1.8782835049355757</v>
      </c>
      <c r="CL106" s="60">
        <f>+SUM(BR106:BV106)+TablaGeneral[[#This Row],[Cosecha DOV]]+TablaGeneral[[#This Row],[Corte DOV]]</f>
        <v>3.1716291564134469</v>
      </c>
      <c r="CM106" s="60">
        <f>+SUM(TablaGeneral[[#This Row],[Colocación de malla]:[Descarga y carga de bines con Autoelevador]])</f>
        <v>13.487802308510078</v>
      </c>
      <c r="CN106" s="64"/>
      <c r="CO106" s="64"/>
      <c r="CP106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106" t="str">
        <f>+TablaGeneral[[#This Row],[Variedad]]&amp;" "&amp;TablaGeneral[[#This Row],[Año de plantación]]</f>
        <v>Flame 2021</v>
      </c>
      <c r="CR106" t="str">
        <f>+IF(TablaGeneral[[#This Row],[Finca]]="El Espejo I","El Espejo I y II",IF(TablaGeneral[[#This Row],[Finca]]="El Espejo II","El Espejo I y II",TablaGeneral[[#This Row],[Finca]]))</f>
        <v>El Espejo III</v>
      </c>
    </row>
    <row r="107" spans="1:97">
      <c r="A107" t="s">
        <v>15</v>
      </c>
      <c r="B107">
        <v>45</v>
      </c>
      <c r="C107">
        <v>4.26</v>
      </c>
      <c r="D107" t="s">
        <v>5</v>
      </c>
      <c r="E107" s="2">
        <v>5000</v>
      </c>
      <c r="F107" s="2">
        <f>+TablaGeneral[[#This Row],[Has]]*TablaGeneral[[#This Row],[Kg x Has]]</f>
        <v>21300</v>
      </c>
      <c r="G107" s="2">
        <f>+TablaGeneral[[#This Row],[Kg 2026]]/4</f>
        <v>5325</v>
      </c>
      <c r="H107">
        <v>7100</v>
      </c>
      <c r="I107">
        <v>2021</v>
      </c>
      <c r="K107">
        <f>10000/IF(LEN(TablaGeneral[[#This Row],[Marco de plantación]])&gt;3,(MID(TablaGeneral[[#This Row],[Marco de plantación]],1,3)*MID(TablaGeneral[[#This Row],[Marco de plantación]],5,3)),(3*2))</f>
        <v>1666.6666666666667</v>
      </c>
      <c r="M107">
        <f>+TablaGeneral[[#This Row],[Plantas x Has]]*TablaGeneral[[#This Row],[N° de Guías x planta]]</f>
        <v>0</v>
      </c>
      <c r="O107">
        <f>+TablaGeneral[[#This Row],[N° de Guías x planta]]*TablaGeneral[[#This Row],[N° de Yemas x Guias]]</f>
        <v>0</v>
      </c>
      <c r="Q107">
        <f>+TablaGeneral[[#This Row],[N° de Yemas x Planta]]*TablaGeneral[[#This Row],[% de Brotación]]</f>
        <v>0</v>
      </c>
      <c r="T107">
        <f>+TablaGeneral[[#This Row],[N° de Brotes x Planta]]*TablaGeneral[[#This Row],[% de Fertilidad]]*TablaGeneral[[#This Row],[Cantidad de Racimos x Brote]]</f>
        <v>0</v>
      </c>
      <c r="V107">
        <f>+TablaGeneral[[#This Row],[Cantidad de Racimos x Planta]]*TablaGeneral[[#This Row],[Peso del Racimo]]</f>
        <v>0</v>
      </c>
      <c r="W107">
        <f>+TablaGeneral[[#This Row],[Plantas]]*TablaGeneral[[#This Row],[Kg x Planta]]</f>
        <v>0</v>
      </c>
      <c r="X107">
        <f>+TablaGeneral[[#This Row],[Kg x Cuartel]]/TablaGeneral[[#This Row],[Has]]</f>
        <v>0</v>
      </c>
      <c r="Y107" t="s">
        <v>163</v>
      </c>
      <c r="Z107">
        <v>300</v>
      </c>
      <c r="AA107">
        <f>+TablaGeneral[[#This Row],[Rendimiento Poda]]*1.5</f>
        <v>450</v>
      </c>
      <c r="AB107">
        <v>130</v>
      </c>
      <c r="AC107">
        <v>500</v>
      </c>
      <c r="AE107">
        <v>500</v>
      </c>
      <c r="AF107">
        <v>500</v>
      </c>
      <c r="AG107">
        <f>+IFERROR(TablaGeneral[[#This Row],[Plantas]]/TablaGeneral[[#This Row],[Rendimiento Poda]],0)</f>
        <v>23.666666666666668</v>
      </c>
      <c r="AH107">
        <f>+TablaGeneral[[#This Row],[Plantas]]/TablaGeneral[[#This Row],[Rendimiento Atada]]</f>
        <v>15.777777777777779</v>
      </c>
      <c r="AI107">
        <f>+IFERROR(TablaGeneral[[#This Row],[Plantas]]/TablaGeneral[[#This Row],[Rendimiento Desbrote de troncos]],0)</f>
        <v>54.615384615384613</v>
      </c>
      <c r="AJ107" s="2">
        <f>+IFERROR(TablaGeneral[[#This Row],[Plantas]]/TablaGeneral[[#This Row],[Rendimiento Acomodo de brotes ]],0)</f>
        <v>14.2</v>
      </c>
      <c r="AK107">
        <f>+IFERROR(TablaGeneral[[#This Row],[Plantas]]/TablaGeneral[[#This Row],[Rendimiento Desniete, deshoje ]],0)</f>
        <v>0</v>
      </c>
      <c r="AL107">
        <f>+IFERROR(TablaGeneral[[#This Row],[Plantas]]/TablaGeneral[[#This Row],[Rendimiento Desbrote con criterio de Poda]],0)</f>
        <v>14.2</v>
      </c>
      <c r="AM107">
        <f>+IFERROR(TablaGeneral[[#This Row],[Plantas]]/TablaGeneral[[#This Row],[Rendimiento Raleo de Racimos]],0)</f>
        <v>14.2</v>
      </c>
      <c r="AN107">
        <f t="shared" si="127"/>
        <v>7.0590316322375835E-2</v>
      </c>
      <c r="AR107">
        <f t="shared" si="128"/>
        <v>0.77476154258296759</v>
      </c>
      <c r="AS107">
        <f t="shared" si="129"/>
        <v>2.7755419462611455</v>
      </c>
      <c r="AT107">
        <f t="shared" si="130"/>
        <v>29.830554050022897</v>
      </c>
      <c r="AU107">
        <f t="shared" si="131"/>
        <v>6.3766918441213187</v>
      </c>
      <c r="AV107">
        <f t="shared" si="132"/>
        <v>4.5682960255824572</v>
      </c>
      <c r="AW107">
        <f t="shared" si="133"/>
        <v>0.36623234605345961</v>
      </c>
      <c r="AX107">
        <f t="shared" si="134"/>
        <v>7.9030265252284639</v>
      </c>
      <c r="AY107">
        <f t="shared" si="135"/>
        <v>13.623952059039684</v>
      </c>
      <c r="BA107">
        <f t="shared" si="136"/>
        <v>5.4742133709589123</v>
      </c>
      <c r="BC107">
        <f t="shared" si="137"/>
        <v>1.9275355236652496</v>
      </c>
      <c r="BD107">
        <f t="shared" si="138"/>
        <v>0.61681203739097201</v>
      </c>
      <c r="BE107">
        <f t="shared" si="139"/>
        <v>16.743427025777802</v>
      </c>
      <c r="BF107">
        <f t="shared" si="140"/>
        <v>1.7926033650447395</v>
      </c>
      <c r="BG107">
        <f t="shared" si="141"/>
        <v>5.5127219647030508</v>
      </c>
      <c r="BH107">
        <f t="shared" si="142"/>
        <v>4.6362502530347847</v>
      </c>
      <c r="BI107">
        <f t="shared" si="143"/>
        <v>3.2575382187230453</v>
      </c>
      <c r="BJ107">
        <f t="shared" si="144"/>
        <v>8.8666542616761976</v>
      </c>
      <c r="BK107">
        <f t="shared" si="145"/>
        <v>0.616865627552173</v>
      </c>
      <c r="BL107">
        <f t="shared" si="146"/>
        <v>4.490572959161085</v>
      </c>
      <c r="BM107">
        <f t="shared" si="147"/>
        <v>2.0048624974939218</v>
      </c>
      <c r="BN107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132.66010277477113</v>
      </c>
      <c r="BO107" s="1">
        <f>+TablaGeneral[[#This Row],[Combustible]]/100</f>
        <v>1.3266010277477114</v>
      </c>
      <c r="BP107" s="1">
        <f>+TablaGeneral[[#This Row],[Combustible]]/150</f>
        <v>0.88440068516514092</v>
      </c>
      <c r="BQ107" s="1">
        <f>+TablaGeneral[[#This Row],[Combustible]]/200</f>
        <v>0.66330051387385569</v>
      </c>
      <c r="BR107">
        <f t="shared" si="113"/>
        <v>0.69548749428590084</v>
      </c>
      <c r="BS107">
        <f t="shared" si="114"/>
        <v>0.69548749428590084</v>
      </c>
      <c r="BT107">
        <f t="shared" si="115"/>
        <v>1.4257028112449799</v>
      </c>
      <c r="BU107">
        <f t="shared" si="116"/>
        <v>0.18951695420451817</v>
      </c>
      <c r="BV107">
        <f t="shared" si="117"/>
        <v>0.69548749428590084</v>
      </c>
      <c r="BW107">
        <f t="shared" si="118"/>
        <v>0.79939051164745756</v>
      </c>
      <c r="BX107">
        <f t="shared" si="119"/>
        <v>1.3376624192221462</v>
      </c>
      <c r="BY107">
        <f t="shared" si="120"/>
        <v>2.6876971608832809</v>
      </c>
      <c r="BZ107">
        <f t="shared" si="121"/>
        <v>1.6126589945487584</v>
      </c>
      <c r="CA107">
        <f t="shared" si="122"/>
        <v>2.0122625199572983</v>
      </c>
      <c r="CB107">
        <f t="shared" si="123"/>
        <v>0.79939051164745756</v>
      </c>
      <c r="CC107">
        <f t="shared" si="124"/>
        <v>0.30321665897948374</v>
      </c>
      <c r="CF107">
        <f t="shared" si="148"/>
        <v>5.3351233966451339</v>
      </c>
      <c r="CG107">
        <f t="shared" si="125"/>
        <v>0.44104857746303888</v>
      </c>
      <c r="CH107">
        <f t="shared" si="126"/>
        <v>0.41347742277387051</v>
      </c>
      <c r="CI107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8.2571440582012734</v>
      </c>
      <c r="CJ107" s="59">
        <f>+TablaGeneral[[#This Row],[Tracto elevador]]+TablaGeneral[[#This Row],[Tractor con uñas]]+TablaGeneral[[#This Row],[Tractor con acoplado]]</f>
        <v>2.816677799816782</v>
      </c>
      <c r="CK107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2.1921884194590557</v>
      </c>
      <c r="CL107" s="60">
        <f>+SUM(BR107:BV107)+TablaGeneral[[#This Row],[Cosecha DOV]]+TablaGeneral[[#This Row],[Corte DOV]]</f>
        <v>3.7016822483072005</v>
      </c>
      <c r="CM107" s="60">
        <f>+SUM(TablaGeneral[[#This Row],[Colocación de malla]:[Descarga y carga de bines con Autoelevador]])</f>
        <v>15.741928173767928</v>
      </c>
      <c r="CN107" s="64"/>
      <c r="CO107" s="64"/>
      <c r="CP107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107" t="str">
        <f>+TablaGeneral[[#This Row],[Variedad]]&amp;" "&amp;TablaGeneral[[#This Row],[Año de plantación]]</f>
        <v>Selma 2021</v>
      </c>
      <c r="CR107" t="str">
        <f>+IF(TablaGeneral[[#This Row],[Finca]]="El Espejo I","El Espejo I y II",IF(TablaGeneral[[#This Row],[Finca]]="El Espejo II","El Espejo I y II",TablaGeneral[[#This Row],[Finca]]))</f>
        <v>El Espejo III</v>
      </c>
    </row>
    <row r="108" spans="1:97">
      <c r="A108" t="s">
        <v>15</v>
      </c>
      <c r="B108">
        <v>46</v>
      </c>
      <c r="C108">
        <v>3.83</v>
      </c>
      <c r="D108" t="s">
        <v>10</v>
      </c>
      <c r="E108" s="2">
        <v>5000</v>
      </c>
      <c r="F108" s="2">
        <f>+TablaGeneral[[#This Row],[Has]]*TablaGeneral[[#This Row],[Kg x Has]]</f>
        <v>19150</v>
      </c>
      <c r="G108" s="2">
        <f>+TablaGeneral[[#This Row],[Kg 2026]]/4</f>
        <v>4787.5</v>
      </c>
      <c r="H108">
        <v>6382</v>
      </c>
      <c r="I108">
        <v>2021</v>
      </c>
      <c r="K108">
        <f>10000/IF(LEN(TablaGeneral[[#This Row],[Marco de plantación]])&gt;3,(MID(TablaGeneral[[#This Row],[Marco de plantación]],1,3)*MID(TablaGeneral[[#This Row],[Marco de plantación]],5,3)),(3*2))</f>
        <v>1666.6666666666667</v>
      </c>
      <c r="M108">
        <f>+TablaGeneral[[#This Row],[Plantas x Has]]*TablaGeneral[[#This Row],[N° de Guías x planta]]</f>
        <v>0</v>
      </c>
      <c r="O108">
        <f>+TablaGeneral[[#This Row],[N° de Guías x planta]]*TablaGeneral[[#This Row],[N° de Yemas x Guias]]</f>
        <v>0</v>
      </c>
      <c r="Q108">
        <f>+TablaGeneral[[#This Row],[N° de Yemas x Planta]]*TablaGeneral[[#This Row],[% de Brotación]]</f>
        <v>0</v>
      </c>
      <c r="T108">
        <f>+TablaGeneral[[#This Row],[N° de Brotes x Planta]]*TablaGeneral[[#This Row],[% de Fertilidad]]*TablaGeneral[[#This Row],[Cantidad de Racimos x Brote]]</f>
        <v>0</v>
      </c>
      <c r="V108">
        <f>+TablaGeneral[[#This Row],[Cantidad de Racimos x Planta]]*TablaGeneral[[#This Row],[Peso del Racimo]]</f>
        <v>0</v>
      </c>
      <c r="W108">
        <f>+TablaGeneral[[#This Row],[Plantas]]*TablaGeneral[[#This Row],[Kg x Planta]]</f>
        <v>0</v>
      </c>
      <c r="X108">
        <f>+TablaGeneral[[#This Row],[Kg x Cuartel]]/TablaGeneral[[#This Row],[Has]]</f>
        <v>0</v>
      </c>
      <c r="Y108" t="s">
        <v>163</v>
      </c>
      <c r="Z108">
        <v>300</v>
      </c>
      <c r="AA108">
        <f>+TablaGeneral[[#This Row],[Rendimiento Poda]]*1.5</f>
        <v>450</v>
      </c>
      <c r="AB108">
        <v>130</v>
      </c>
      <c r="AC108">
        <v>500</v>
      </c>
      <c r="AE108">
        <v>500</v>
      </c>
      <c r="AF108">
        <v>500</v>
      </c>
      <c r="AG108">
        <f>+IFERROR(TablaGeneral[[#This Row],[Plantas]]/TablaGeneral[[#This Row],[Rendimiento Poda]],0)</f>
        <v>21.273333333333333</v>
      </c>
      <c r="AH108">
        <f>+TablaGeneral[[#This Row],[Plantas]]/TablaGeneral[[#This Row],[Rendimiento Atada]]</f>
        <v>14.182222222222222</v>
      </c>
      <c r="AI108">
        <f>+IFERROR(TablaGeneral[[#This Row],[Plantas]]/TablaGeneral[[#This Row],[Rendimiento Desbrote de troncos]],0)</f>
        <v>49.092307692307692</v>
      </c>
      <c r="AJ108" s="2">
        <f>+IFERROR(TablaGeneral[[#This Row],[Plantas]]/TablaGeneral[[#This Row],[Rendimiento Acomodo de brotes ]],0)</f>
        <v>12.763999999999999</v>
      </c>
      <c r="AK108">
        <f>+IFERROR(TablaGeneral[[#This Row],[Plantas]]/TablaGeneral[[#This Row],[Rendimiento Desniete, deshoje ]],0)</f>
        <v>0</v>
      </c>
      <c r="AL108">
        <f>+IFERROR(TablaGeneral[[#This Row],[Plantas]]/TablaGeneral[[#This Row],[Rendimiento Desbrote con criterio de Poda]],0)</f>
        <v>12.763999999999999</v>
      </c>
      <c r="AM108">
        <f>+IFERROR(TablaGeneral[[#This Row],[Plantas]]/TablaGeneral[[#This Row],[Rendimiento Raleo de Racimos]],0)</f>
        <v>12.763999999999999</v>
      </c>
      <c r="AN108">
        <f t="shared" si="127"/>
        <v>6.3451746305549658E-2</v>
      </c>
      <c r="AR108">
        <f t="shared" si="128"/>
        <v>0.69641241757246475</v>
      </c>
      <c r="AS108">
        <f t="shared" si="129"/>
        <v>2.4948603804279763</v>
      </c>
      <c r="AT108">
        <f t="shared" si="130"/>
        <v>26.813886753133261</v>
      </c>
      <c r="AU108">
        <f t="shared" si="131"/>
        <v>5.7318376548144023</v>
      </c>
      <c r="AV108">
        <f t="shared" si="132"/>
        <v>4.1063190472207385</v>
      </c>
      <c r="AW108">
        <f t="shared" si="133"/>
        <v>0.32919645528354641</v>
      </c>
      <c r="AX108">
        <f t="shared" si="134"/>
        <v>7.1038190540856423</v>
      </c>
      <c r="AY108">
        <f t="shared" si="135"/>
        <v>12.246205921238207</v>
      </c>
      <c r="BA108">
        <f t="shared" si="136"/>
        <v>4.9206239061210955</v>
      </c>
      <c r="BC108">
        <f t="shared" si="137"/>
        <v>1.732610100286144</v>
      </c>
      <c r="BD108">
        <f t="shared" si="138"/>
        <v>0.55443583417312436</v>
      </c>
      <c r="BE108">
        <f t="shared" si="139"/>
        <v>15.05021848993154</v>
      </c>
      <c r="BF108">
        <f t="shared" si="140"/>
        <v>1.6113231937627503</v>
      </c>
      <c r="BG108">
        <f t="shared" si="141"/>
        <v>4.9552382505260377</v>
      </c>
      <c r="BH108">
        <f t="shared" si="142"/>
        <v>4.1674012837842245</v>
      </c>
      <c r="BI108">
        <f t="shared" si="143"/>
        <v>2.9281139312521796</v>
      </c>
      <c r="BJ108">
        <f t="shared" si="144"/>
        <v>7.9699982391573929</v>
      </c>
      <c r="BK108">
        <f t="shared" si="145"/>
        <v>0.554484004934925</v>
      </c>
      <c r="BL108">
        <f t="shared" si="146"/>
        <v>4.0364558627276121</v>
      </c>
      <c r="BM108">
        <f t="shared" si="147"/>
        <v>1.8021172477473535</v>
      </c>
      <c r="BN108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119.25402264669195</v>
      </c>
      <c r="BO108" s="1">
        <f>+TablaGeneral[[#This Row],[Combustible]]/100</f>
        <v>1.1925402264669196</v>
      </c>
      <c r="BP108" s="1">
        <f>+TablaGeneral[[#This Row],[Combustible]]/150</f>
        <v>0.79502681764461303</v>
      </c>
      <c r="BQ108" s="1">
        <f>+TablaGeneral[[#This Row],[Combustible]]/200</f>
        <v>0.5962701132334598</v>
      </c>
      <c r="BR108">
        <f t="shared" si="113"/>
        <v>0.62528570495657287</v>
      </c>
      <c r="BS108">
        <f t="shared" si="114"/>
        <v>0.62528570495657287</v>
      </c>
      <c r="BT108">
        <f t="shared" si="115"/>
        <v>1.2817938420348058</v>
      </c>
      <c r="BU108">
        <f t="shared" si="116"/>
        <v>0.17038730859232501</v>
      </c>
      <c r="BV108">
        <f t="shared" si="117"/>
        <v>0.62528570495657287</v>
      </c>
      <c r="BW108">
        <f t="shared" si="118"/>
        <v>0.71870085906332448</v>
      </c>
      <c r="BX108">
        <f t="shared" si="119"/>
        <v>1.2026401562490188</v>
      </c>
      <c r="BY108">
        <f t="shared" si="120"/>
        <v>2.4164037854889591</v>
      </c>
      <c r="BZ108">
        <f t="shared" si="121"/>
        <v>1.4498788612961842</v>
      </c>
      <c r="CA108">
        <f t="shared" si="122"/>
        <v>1.8091468195860219</v>
      </c>
      <c r="CB108">
        <f t="shared" si="123"/>
        <v>0.71870085906332448</v>
      </c>
      <c r="CC108">
        <f t="shared" si="124"/>
        <v>0.27261028260362036</v>
      </c>
      <c r="CF108">
        <f t="shared" si="148"/>
        <v>4.7966015514438647</v>
      </c>
      <c r="CG108">
        <f t="shared" si="125"/>
        <v>0.39652958959705137</v>
      </c>
      <c r="CH108">
        <f t="shared" si="126"/>
        <v>0.37174143878495874</v>
      </c>
      <c r="CI108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7.4221258280902154</v>
      </c>
      <c r="CJ108" s="59">
        <f>+TablaGeneral[[#This Row],[Tracto elevador]]+TablaGeneral[[#This Row],[Tractor con uñas]]+TablaGeneral[[#This Row],[Tractor con acoplado]]</f>
        <v>2.5323652519479518</v>
      </c>
      <c r="CK108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1.9709111846310288</v>
      </c>
      <c r="CL108" s="60">
        <f>+SUM(BR108:BV108)+TablaGeneral[[#This Row],[Cosecha DOV]]+TablaGeneral[[#This Row],[Corte DOV]]</f>
        <v>3.3280382654968497</v>
      </c>
      <c r="CM108" s="60">
        <f>+SUM(TablaGeneral[[#This Row],[Colocación de malla]:[Descarga y carga de bines con Autoelevador]])</f>
        <v>14.152954203176328</v>
      </c>
      <c r="CN108" s="64"/>
      <c r="CO108" s="64"/>
      <c r="CP108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108" t="str">
        <f>+TablaGeneral[[#This Row],[Variedad]]&amp;" "&amp;TablaGeneral[[#This Row],[Año de plantación]]</f>
        <v>Fiesta 2021</v>
      </c>
      <c r="CR108" t="str">
        <f>+IF(TablaGeneral[[#This Row],[Finca]]="El Espejo I","El Espejo I y II",IF(TablaGeneral[[#This Row],[Finca]]="El Espejo II","El Espejo I y II",TablaGeneral[[#This Row],[Finca]]))</f>
        <v>El Espejo III</v>
      </c>
    </row>
    <row r="109" spans="1:97">
      <c r="A109" t="s">
        <v>15</v>
      </c>
      <c r="B109">
        <v>47</v>
      </c>
      <c r="C109">
        <v>2.83</v>
      </c>
      <c r="D109" t="s">
        <v>6</v>
      </c>
      <c r="E109" s="2">
        <v>5000</v>
      </c>
      <c r="F109" s="2">
        <f>+TablaGeneral[[#This Row],[Has]]*TablaGeneral[[#This Row],[Kg x Has]]</f>
        <v>14150</v>
      </c>
      <c r="G109" s="2">
        <f>+TablaGeneral[[#This Row],[Kg 2026]]/4</f>
        <v>3537.5</v>
      </c>
      <c r="H109">
        <v>4707</v>
      </c>
      <c r="I109">
        <v>2021</v>
      </c>
      <c r="K109">
        <f>10000/IF(LEN(TablaGeneral[[#This Row],[Marco de plantación]])&gt;3,(MID(TablaGeneral[[#This Row],[Marco de plantación]],1,3)*MID(TablaGeneral[[#This Row],[Marco de plantación]],5,3)),(3*2))</f>
        <v>1666.6666666666667</v>
      </c>
      <c r="M109">
        <f>+TablaGeneral[[#This Row],[Plantas x Has]]*TablaGeneral[[#This Row],[N° de Guías x planta]]</f>
        <v>0</v>
      </c>
      <c r="O109">
        <f>+TablaGeneral[[#This Row],[N° de Guías x planta]]*TablaGeneral[[#This Row],[N° de Yemas x Guias]]</f>
        <v>0</v>
      </c>
      <c r="Q109">
        <f>+TablaGeneral[[#This Row],[N° de Yemas x Planta]]*TablaGeneral[[#This Row],[% de Brotación]]</f>
        <v>0</v>
      </c>
      <c r="T109">
        <f>+TablaGeneral[[#This Row],[N° de Brotes x Planta]]*TablaGeneral[[#This Row],[% de Fertilidad]]*TablaGeneral[[#This Row],[Cantidad de Racimos x Brote]]</f>
        <v>0</v>
      </c>
      <c r="V109">
        <f>+TablaGeneral[[#This Row],[Cantidad de Racimos x Planta]]*TablaGeneral[[#This Row],[Peso del Racimo]]</f>
        <v>0</v>
      </c>
      <c r="W109">
        <f>+TablaGeneral[[#This Row],[Plantas]]*TablaGeneral[[#This Row],[Kg x Planta]]</f>
        <v>0</v>
      </c>
      <c r="X109">
        <f>+TablaGeneral[[#This Row],[Kg x Cuartel]]/TablaGeneral[[#This Row],[Has]]</f>
        <v>0</v>
      </c>
      <c r="Y109" t="s">
        <v>163</v>
      </c>
      <c r="Z109">
        <v>300</v>
      </c>
      <c r="AA109">
        <f>+TablaGeneral[[#This Row],[Rendimiento Poda]]*1.5</f>
        <v>450</v>
      </c>
      <c r="AB109">
        <v>130</v>
      </c>
      <c r="AC109">
        <v>500</v>
      </c>
      <c r="AE109">
        <v>500</v>
      </c>
      <c r="AF109">
        <v>500</v>
      </c>
      <c r="AG109">
        <f>+IFERROR(TablaGeneral[[#This Row],[Plantas]]/TablaGeneral[[#This Row],[Rendimiento Poda]],0)</f>
        <v>15.69</v>
      </c>
      <c r="AH109">
        <f>+TablaGeneral[[#This Row],[Plantas]]/TablaGeneral[[#This Row],[Rendimiento Atada]]</f>
        <v>10.46</v>
      </c>
      <c r="AI109">
        <f>+IFERROR(TablaGeneral[[#This Row],[Plantas]]/TablaGeneral[[#This Row],[Rendimiento Desbrote de troncos]],0)</f>
        <v>36.207692307692305</v>
      </c>
      <c r="AJ109" s="2">
        <f>+IFERROR(TablaGeneral[[#This Row],[Plantas]]/TablaGeneral[[#This Row],[Rendimiento Acomodo de brotes ]],0)</f>
        <v>9.4139999999999997</v>
      </c>
      <c r="AK109">
        <f>+IFERROR(TablaGeneral[[#This Row],[Plantas]]/TablaGeneral[[#This Row],[Rendimiento Desniete, deshoje ]],0)</f>
        <v>0</v>
      </c>
      <c r="AL109">
        <f>+IFERROR(TablaGeneral[[#This Row],[Plantas]]/TablaGeneral[[#This Row],[Rendimiento Desbrote con criterio de Poda]],0)</f>
        <v>9.4139999999999997</v>
      </c>
      <c r="AM109">
        <f>+IFERROR(TablaGeneral[[#This Row],[Plantas]]/TablaGeneral[[#This Row],[Rendimiento Raleo de Racimos]],0)</f>
        <v>9.4139999999999997</v>
      </c>
      <c r="AN109">
        <f t="shared" si="127"/>
        <v>4.6798397032313102E-2</v>
      </c>
      <c r="AR109">
        <f t="shared" si="128"/>
        <v>0.51363416632929981</v>
      </c>
      <c r="AS109">
        <f t="shared" si="129"/>
        <v>1.8400670339508749</v>
      </c>
      <c r="AT109">
        <f t="shared" si="130"/>
        <v>19.776396889219406</v>
      </c>
      <c r="AU109">
        <f t="shared" si="131"/>
        <v>4.2274772549688793</v>
      </c>
      <c r="AV109">
        <f t="shared" si="132"/>
        <v>3.028587238368539</v>
      </c>
      <c r="AW109">
        <f t="shared" si="133"/>
        <v>0.24279657082727246</v>
      </c>
      <c r="AX109">
        <f t="shared" si="134"/>
        <v>5.2393726555282232</v>
      </c>
      <c r="AY109">
        <f t="shared" si="135"/>
        <v>9.0321045551971544</v>
      </c>
      <c r="BA109">
        <f t="shared" si="136"/>
        <v>3.629172160155437</v>
      </c>
      <c r="BC109">
        <f t="shared" si="137"/>
        <v>1.2778746070270885</v>
      </c>
      <c r="BD109">
        <f t="shared" si="138"/>
        <v>0.40892031830976128</v>
      </c>
      <c r="BE109">
        <f t="shared" si="139"/>
        <v>11.100184649343115</v>
      </c>
      <c r="BF109">
        <f t="shared" si="140"/>
        <v>1.1884202872205054</v>
      </c>
      <c r="BG109">
        <f t="shared" si="141"/>
        <v>3.654701730684121</v>
      </c>
      <c r="BH109">
        <f t="shared" si="142"/>
        <v>3.0736380198640467</v>
      </c>
      <c r="BI109">
        <f t="shared" si="143"/>
        <v>2.1596101965534329</v>
      </c>
      <c r="BJ109">
        <f t="shared" si="144"/>
        <v>5.8782171281281492</v>
      </c>
      <c r="BK109">
        <f t="shared" si="145"/>
        <v>0.4089558463222645</v>
      </c>
      <c r="BL109">
        <f t="shared" si="146"/>
        <v>2.9770601294043986</v>
      </c>
      <c r="BM109">
        <f t="shared" si="147"/>
        <v>1.3291391233385761</v>
      </c>
      <c r="BN109" s="1">
        <f>+(TablaGeneral[[#This Row],[Tractorista Subsolado]]+TablaGeneral[[#This Row],[Tractor Herbicida]]+TablaGeneral[[#This Row],[Tractorista Triturado de sarmiento]]+TablaGeneral[[#This Row],[Tractorista Cincelado]]+TablaGeneral[[#This Row],[Tractorista Rastra]]+TablaGeneral[[#This Row],[Tractor Atomizadora]]+TablaGeneral[[#This Row],[Tractorista Generales]]+TablaGeneral[[#This Row],[Tracto elevador]]+TablaGeneral[[#This Row],[Tractor con uñas]]+TablaGeneral[[#This Row],[Tractor con acoplado]]+TablaGeneral[[#This Row],[Tractor Volcado de bins]]+TablaGeneral[[#This Row],[Tractor Cincelado de piedras]]+TablaGeneral[[#This Row],[Tractor Descarga y carga de bines con tracto elevador]]+TablaGeneral[[#This Row],[Descarga y carga de bines con Autoelevador]])*10</f>
        <v>88.016238614372426</v>
      </c>
      <c r="BO109" s="1">
        <f>+TablaGeneral[[#This Row],[Combustible]]/100</f>
        <v>0.88016238614372422</v>
      </c>
      <c r="BP109" s="1">
        <f>+TablaGeneral[[#This Row],[Combustible]]/150</f>
        <v>0.58677492409581622</v>
      </c>
      <c r="BQ109" s="1">
        <f>+TablaGeneral[[#This Row],[Combustible]]/200</f>
        <v>0.44008119307186211</v>
      </c>
      <c r="BR109">
        <f>+F109/30626</f>
        <v>0.46202572977208906</v>
      </c>
      <c r="BS109">
        <f>+F109/30626</f>
        <v>0.46202572977208906</v>
      </c>
      <c r="BT109">
        <f>+F109/14940</f>
        <v>0.94712182061579653</v>
      </c>
      <c r="BU109">
        <f>+F109/112391</f>
        <v>0.1258997606569921</v>
      </c>
      <c r="BV109">
        <f>+F109/30626</f>
        <v>0.46202572977208906</v>
      </c>
      <c r="BW109">
        <f>+F109/26645.3</f>
        <v>0.53105050421650346</v>
      </c>
      <c r="BX109">
        <f>+F109/15923.3</f>
        <v>0.88863489352081548</v>
      </c>
      <c r="BY109">
        <f>+F109/7925</f>
        <v>1.7854889589905363</v>
      </c>
      <c r="BZ109">
        <f>+F109/13208</f>
        <v>1.0713204118715929</v>
      </c>
      <c r="CA109">
        <f>+F109/10585.1</f>
        <v>1.3367847256993319</v>
      </c>
      <c r="CB109">
        <f>+F109/26645.3</f>
        <v>0.53105050421650346</v>
      </c>
      <c r="CC109">
        <f>+F109/70246.8</f>
        <v>0.20143266312486832</v>
      </c>
      <c r="CF109">
        <f>+F109/3992.41</f>
        <v>3.5442251672548664</v>
      </c>
      <c r="CG109">
        <f>+F109/48294</f>
        <v>0.29299705967615025</v>
      </c>
      <c r="CH109">
        <f>+F109/51514.3</f>
        <v>0.27468101090376845</v>
      </c>
      <c r="CI109" s="59">
        <f>+TablaGeneral[[#This Row],[Tractorista Subsolado]]+TablaGeneral[[#This Row],[Tractorista Triturado de sarmiento]]+TablaGeneral[[#This Row],[Tractorista Cincelado]]+TablaGeneral[[#This Row],[Tractorista Rastra]]+TablaGeneral[[#This Row],[Tractor Herbicida]]+TablaGeneral[[#This Row],[Tractor Atomizadora]]+TablaGeneral[[#This Row],[Tractorista Generales]]</f>
        <v>5.4741376171765346</v>
      </c>
      <c r="CJ109" s="59">
        <f>+TablaGeneral[[#This Row],[Tracto elevador]]+TablaGeneral[[#This Row],[Tractor con uñas]]+TablaGeneral[[#This Row],[Tractor con acoplado]]</f>
        <v>1.8711732801599747</v>
      </c>
      <c r="CK109" s="59">
        <f>+TablaGeneral[[#This Row],[Tractor Volcado de bins]]+TablaGeneral[[#This Row],[Tractor Cincelado de piedras]]+TablaGeneral[[#This Row],[Tractor Carga de pasa]]+TablaGeneral[[#This Row],[Tractor Descarga y carga de bines con tracto elevador]]+TablaGeneral[[#This Row],[Descarga y carga de bines con Autoelevador]]</f>
        <v>1.4563129641007342</v>
      </c>
      <c r="CL109" s="60">
        <f>+SUM(BR109:BV109)+TablaGeneral[[#This Row],[Cosecha DOV]]+TablaGeneral[[#This Row],[Corte DOV]]</f>
        <v>2.4590987705890557</v>
      </c>
      <c r="CM109" s="60">
        <f>+SUM(TablaGeneral[[#This Row],[Colocación de malla]:[Descarga y carga de bines con Autoelevador]])</f>
        <v>10.457665899474936</v>
      </c>
      <c r="CN109" s="64"/>
      <c r="CO109" s="64"/>
      <c r="CP109" s="65" t="str">
        <f>+IF(TablaGeneral[[#This Row],[Finca]]="Puente Alto","Fincas Viejas",IF(TablaGeneral[[#This Row],[Finca]]="Camino Truncado","Fincas Viejas",IF(TablaGeneral[[#This Row],[Finca]]="La Chimbera","Fincas Viejas","El Espejo")))</f>
        <v>El Espejo</v>
      </c>
      <c r="CQ109" t="str">
        <f>+TablaGeneral[[#This Row],[Variedad]]&amp;" "&amp;TablaGeneral[[#This Row],[Año de plantación]]</f>
        <v>Flame 2021</v>
      </c>
      <c r="CR109" t="str">
        <f>+IF(TablaGeneral[[#This Row],[Finca]]="El Espejo I","El Espejo I y II",IF(TablaGeneral[[#This Row],[Finca]]="El Espejo II","El Espejo I y II",TablaGeneral[[#This Row],[Finca]]))</f>
        <v>El Espejo III</v>
      </c>
    </row>
    <row r="110" spans="1:97" ht="15.75">
      <c r="C110">
        <f>SUBTOTAL(109,TablaGeneral[Has])</f>
        <v>382.17379999999997</v>
      </c>
      <c r="E110" s="2"/>
      <c r="F110" s="2">
        <f>SUBTOTAL(109,TablaGeneral[Kg 2026])</f>
        <v>10199053</v>
      </c>
      <c r="G110" s="2">
        <f>SUBTOTAL(109,TablaGeneral[Kg Pasa])</f>
        <v>2549763.25</v>
      </c>
      <c r="H110" s="2">
        <f>SUBTOTAL(109,TablaGeneral[Plantas])</f>
        <v>695548</v>
      </c>
      <c r="I110" s="2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58">
        <f>SUBTOTAL(109,TablaGeneral[Kg x Cuartel])</f>
        <v>6100763.9733445598</v>
      </c>
      <c r="X110" s="5"/>
      <c r="Y110" s="4"/>
      <c r="Z110" s="6"/>
      <c r="AA110" s="6"/>
      <c r="AB110" s="6"/>
      <c r="AC110" s="6"/>
      <c r="AD110" s="6"/>
      <c r="AE110" s="6"/>
      <c r="AF110" s="6"/>
      <c r="AG110" s="8">
        <f>SUBTOTAL(109,TablaGeneral[Poda])</f>
        <v>4680.0061571706128</v>
      </c>
      <c r="AH110" s="8">
        <f>SUBTOTAL(109,TablaGeneral[Atada])</f>
        <v>3833.615215891522</v>
      </c>
      <c r="AI110" s="8">
        <f>SUBTOTAL(109,TablaGeneral[Desbrote de troncos])</f>
        <v>4350.4939386318247</v>
      </c>
      <c r="AJ110" s="8">
        <f>SUBTOTAL(109,TablaGeneral[Acomodo de brotes])</f>
        <v>1780.0154006018763</v>
      </c>
      <c r="AK110" s="8">
        <f>SUBTOTAL(109,TablaGeneral[Desniete Deshoje])</f>
        <v>437.75700000000023</v>
      </c>
      <c r="AL110" s="8">
        <f>SUBTOTAL(109,TablaGeneral[Desbrote con criterio de Poda])</f>
        <v>1465.2362857142855</v>
      </c>
      <c r="AM110" s="8">
        <f>SUBTOTAL(109,TablaGeneral[Raleo de Racimos])</f>
        <v>3743.2613333333338</v>
      </c>
      <c r="AN110" s="12">
        <f>SUBTOTAL(109,TablaGeneral[Tractorista Subsolado])</f>
        <v>72.958534572982217</v>
      </c>
      <c r="AO110" s="11">
        <f>SUBTOTAL(109,TablaGeneral[Tractorista Triturado de sarmiento])</f>
        <v>33.999997429234107</v>
      </c>
      <c r="AP110" s="11">
        <f>SUBTOTAL(109,TablaGeneral[Tractorista Cincelado])</f>
        <v>24.051687673560455</v>
      </c>
      <c r="AQ110" s="12">
        <f>SUBTOTAL(109,TablaGeneral[Tractorista Rastra])</f>
        <v>112.98009624846047</v>
      </c>
      <c r="AR110" s="12">
        <f>SUBTOTAL(109,TablaGeneral[Tractor Herbicida])</f>
        <v>156.5877626257186</v>
      </c>
      <c r="AS110" s="10">
        <f>SUBTOTAL(109,TablaGeneral[Tractor Atomizadora])</f>
        <v>423.33704666096105</v>
      </c>
      <c r="AT110" s="13">
        <f>SUBTOTAL(109,TablaGeneral[Riego])</f>
        <v>2970.4161800721272</v>
      </c>
      <c r="AU110" s="13">
        <f>SUBTOTAL(109,TablaGeneral[Mantenimiento])</f>
        <v>567.06684074604345</v>
      </c>
      <c r="AV110" s="13">
        <f>SUBTOTAL(109,TablaGeneral[Mangueras])</f>
        <v>462.48833009191708</v>
      </c>
      <c r="AW110" s="13">
        <f>SUBTOTAL(109,TablaGeneral[Calicatas])</f>
        <v>49.457277878455621</v>
      </c>
      <c r="AX110" s="13">
        <f>SUBTOTAL(109,TablaGeneral[Malezas Mochila])</f>
        <v>1043.3435860814911</v>
      </c>
      <c r="AY110" s="13">
        <f>SUBTOTAL(109,TablaGeneral[Desmalezar manual])</f>
        <v>1165.3975267189858</v>
      </c>
      <c r="AZ110" s="13">
        <f>SUBTOTAL(109,TablaGeneral[Mugrones])</f>
        <v>222.99999523689121</v>
      </c>
      <c r="BA110" s="13">
        <f>SUBTOTAL(109,TablaGeneral[Seguridad])</f>
        <v>442.40498371643713</v>
      </c>
      <c r="BB110" s="13">
        <f>SUBTOTAL(109,TablaGeneral[Jardinería])</f>
        <v>9.9999999999999982</v>
      </c>
      <c r="BC110" s="13">
        <f>SUBTOTAL(109,TablaGeneral[Hormigas])</f>
        <v>241.02567003053503</v>
      </c>
      <c r="BD110" s="13">
        <f>SUBTOTAL(109,TablaGeneral[Limpieza])</f>
        <v>169.29855078438922</v>
      </c>
      <c r="BE110" s="13">
        <f>SUBTOTAL(109,TablaGeneral[Taller])</f>
        <v>1355.2645525779037</v>
      </c>
      <c r="BF110" s="13">
        <f>SUBTOTAL(109,TablaGeneral[Datos])</f>
        <v>245.89441555898841</v>
      </c>
      <c r="BG110" s="13">
        <f>SUBTOTAL(109,TablaGeneral[Reparar Estructura])</f>
        <v>516.30600068255217</v>
      </c>
      <c r="BH110" s="13">
        <f>SUBTOTAL(109,TablaGeneral[Tractorista Generales])</f>
        <v>500.60334434838097</v>
      </c>
      <c r="BI110" s="13">
        <f>SUBTOTAL(109,TablaGeneral[Hoyar y Replantar])</f>
        <v>321.22321741028918</v>
      </c>
      <c r="BJ110" s="13">
        <f>SUBTOTAL(109,TablaGeneral[Varios])</f>
        <v>816.7477412052715</v>
      </c>
      <c r="BK110" s="13">
        <f>SUBTOTAL(109,TablaGeneral[P/ Medico])</f>
        <v>104.25330647732571</v>
      </c>
      <c r="BL110" s="13">
        <f>SUBTOTAL(109,TablaGeneral[Vacaciones])</f>
        <v>686.6619098530191</v>
      </c>
      <c r="BM110" s="13">
        <f>SUBTOTAL(109,TablaGeneral[Feriados])</f>
        <v>390.31276475628886</v>
      </c>
      <c r="BN110" s="16">
        <f>SUBTOTAL(109,TablaGeneral[Combustible])</f>
        <v>29117.649262299969</v>
      </c>
      <c r="BO110" s="16">
        <f>SUBTOTAL(109,TablaGeneral[Aceite Motor])</f>
        <v>291.17649262299983</v>
      </c>
      <c r="BP110" s="16">
        <f>SUBTOTAL(109,TablaGeneral[Aceite Hidráulico])</f>
        <v>194.11766174866642</v>
      </c>
      <c r="BQ110" s="16">
        <f>SUBTOTAL(109,TablaGeneral[Ac. Multiproposito])</f>
        <v>145.58824631149992</v>
      </c>
      <c r="BR110" s="135">
        <f>SUBTOTAL(109,TablaGeneral[Anotador])</f>
        <v>256.03644716025059</v>
      </c>
      <c r="BS110" s="136">
        <f>SUBTOTAL(109,TablaGeneral[Tracto elevador])</f>
        <v>311.05148656150288</v>
      </c>
      <c r="BT110" s="135">
        <f>SUBTOTAL(109,TablaGeneral[Tractor con uñas])</f>
        <v>616.96930046571583</v>
      </c>
      <c r="BU110" s="135">
        <f>SUBTOTAL(109,TablaGeneral[Lavar Bines])</f>
        <v>74.894273367488566</v>
      </c>
      <c r="BV110" s="135">
        <f>SUBTOTAL(109,TablaGeneral[Tractor con acoplado])</f>
        <v>228.00080516517352</v>
      </c>
      <c r="BW110" s="16">
        <f>SUBTOTAL(109,TablaGeneral[Colocación de malla])</f>
        <v>172.05894924545669</v>
      </c>
      <c r="BX110" s="16">
        <f>SUBTOTAL(109,TablaGeneral[Tractor Volcado de bins])</f>
        <v>200.89763708228608</v>
      </c>
      <c r="BY110" s="16">
        <f>SUBTOTAL(109,TablaGeneral[Desparramado de uva])</f>
        <v>403.97088678474734</v>
      </c>
      <c r="BZ110" s="16">
        <f>SUBTOTAL(109,TablaGeneral[Dar vuelta la pasa])</f>
        <v>271.42879418912992</v>
      </c>
      <c r="CA110" s="16">
        <f>SUBTOTAL(109,TablaGeneral[Levantar pasa])</f>
        <v>372.55796060816618</v>
      </c>
      <c r="CB110" s="16">
        <f>SUBTOTAL(109,TablaGeneral[Recolección de malla])</f>
        <v>171.73912390227645</v>
      </c>
      <c r="CC110" s="16">
        <f>SUBTOTAL(109,TablaGeneral[Limpieza de secadero])</f>
        <v>40.011677082026786</v>
      </c>
      <c r="CD110" s="16">
        <f>SUBTOTAL(109,TablaGeneral[Tractor Cincelado de piedras])</f>
        <v>8.0080484678241532</v>
      </c>
      <c r="CE110" s="16">
        <f>SUBTOTAL(109,TablaGeneral[Tractor Carga de pasa])</f>
        <v>0</v>
      </c>
      <c r="CF110" s="16">
        <f>SUBTOTAL(109,TablaGeneral[Sereno])</f>
        <v>843.37447749934017</v>
      </c>
      <c r="CG110" s="16">
        <f>SUBTOTAL(109,TablaGeneral[Tractor Descarga y carga de bines con tracto elevador])</f>
        <v>114.22235027190638</v>
      </c>
      <c r="CH110" s="16">
        <f>SUBTOTAL(109,TablaGeneral[Descarga y carga de bines con Autoelevador])</f>
        <v>108.09682865629077</v>
      </c>
      <c r="CI110" s="43">
        <f>SUBTOTAL(109,TablaGeneral[Resumen de Jornales Tractores Generales])</f>
        <v>1324.5184695592968</v>
      </c>
      <c r="CJ110" s="43">
        <f>SUBTOTAL(109,TablaGeneral[Resumen de Jornales tractoristas de Cosecha])</f>
        <v>1156.0215921923932</v>
      </c>
      <c r="CK110" s="43">
        <f>SUBTOTAL(109,TablaGeneral[Resumen de Jornales tractoristas de Secado])</f>
        <v>431.2248644783071</v>
      </c>
      <c r="CL110" s="43">
        <f>SUBTOTAL(109,TablaGeneral[Resumen Jornales totales de Cosecha])</f>
        <v>1802.1593725371472</v>
      </c>
      <c r="CM110" s="43">
        <f>SUBTOTAL(109,TablaGeneral[Resumen Jornales totales de Secado])</f>
        <v>2706.3667337894526</v>
      </c>
      <c r="CN110" s="66">
        <f>SUBTOTAL(109,TablaGeneral[Cosecha DOV])</f>
        <v>230.19713261648749</v>
      </c>
      <c r="CO110" s="66">
        <f>SUBTOTAL(109,TablaGeneral[Corte DOV])</f>
        <v>85.009927200529418</v>
      </c>
      <c r="CP110" s="66"/>
      <c r="CQ110" s="66"/>
      <c r="CR110" s="66"/>
      <c r="CS110" s="183">
        <f>SUM(TablaGeneral[[#Totals],[Poda]:[Corte DOV]])</f>
        <v>75072.815452648021</v>
      </c>
    </row>
    <row r="112" spans="1:97">
      <c r="AG112">
        <f>+SUM(TablaGeneral[[#Totals],[Poda]:[Feriados]])</f>
        <v>33395.466650781666</v>
      </c>
      <c r="BR112" s="140"/>
      <c r="BS112" s="140"/>
      <c r="BT112" s="140"/>
      <c r="BU112" s="140"/>
      <c r="BV112" s="140"/>
      <c r="BX112" t="s">
        <v>471</v>
      </c>
      <c r="BY112" t="s">
        <v>473</v>
      </c>
      <c r="BZ112" t="s">
        <v>472</v>
      </c>
      <c r="CA112" t="s">
        <v>477</v>
      </c>
      <c r="CB112" t="s">
        <v>478</v>
      </c>
    </row>
    <row r="113" spans="33:93">
      <c r="AG113">
        <f>+AG112/TablaGeneral[[#Totals],[Has]]</f>
        <v>87.382930621569741</v>
      </c>
      <c r="BO113" s="2"/>
      <c r="BQ113">
        <f>45125/21</f>
        <v>2148.8095238095239</v>
      </c>
      <c r="BR113">
        <f>+SUMIF(TablaGeneral[Finca],"Puente Alto",TablaGeneral[Anotador])</f>
        <v>48.005319148936174</v>
      </c>
      <c r="BS113">
        <f>+SUMIF(TablaGeneral[Finca],"Puente Alto",TablaGeneral[Tracto elevador])</f>
        <v>48.005319148936174</v>
      </c>
      <c r="BT113">
        <f>+SUMIF(TablaGeneral[Finca],"Puente Alto",TablaGeneral[Tractor con uñas])</f>
        <v>48.005319148936174</v>
      </c>
      <c r="BU113">
        <f>+SUMIF(TablaGeneral[Finca],"Puente Alto",TablaGeneral[Lavar Bines])</f>
        <v>20.988372093023255</v>
      </c>
      <c r="BV113">
        <f>+SUMIF(TablaGeneral[Finca],"Puente Alto",TablaGeneral[Tractor con acoplado])</f>
        <v>0</v>
      </c>
      <c r="BX113">
        <v>16.230449736549577</v>
      </c>
      <c r="BY113">
        <v>17.161997615214673</v>
      </c>
      <c r="BZ113">
        <v>17.789494883941501</v>
      </c>
      <c r="CA113">
        <v>1.57</v>
      </c>
      <c r="CB113">
        <v>9.14</v>
      </c>
      <c r="CN113">
        <f>+TablaGeneral[[#Totals],[Plantas]]/TablaGeneral[[#Totals],[Corte DOV]]</f>
        <v>8181.9620708446901</v>
      </c>
      <c r="CO113">
        <f>+TablaGeneral[[#Totals],[Corte DOV]]/83</f>
        <v>1.0242159903678243</v>
      </c>
    </row>
    <row r="114" spans="33:93">
      <c r="AO114" s="63"/>
      <c r="BR114">
        <f>+SUM(BR113:BV113)/831750</f>
        <v>1.9838212147860749E-4</v>
      </c>
      <c r="BW114">
        <f>+SUM(TablaGeneral[[#Totals],[Colocación de malla]:[Descarga y carga de bines con Autoelevador]])</f>
        <v>2706.3667337894508</v>
      </c>
      <c r="BX114">
        <f>+BW114/BX113</f>
        <v>166.74625643274356</v>
      </c>
      <c r="BY114">
        <f>+BX114*BY113</f>
        <v>2861.6988552447197</v>
      </c>
    </row>
    <row r="115" spans="33:93">
      <c r="AN115" s="63"/>
      <c r="BR115">
        <f>+SUMIF(TablaGeneral[Finca],"camino truncado",TablaGeneral[Anotador])</f>
        <v>50.000000000000007</v>
      </c>
      <c r="BS115">
        <f>+SUMIF(TablaGeneral[Finca],"camino truncado",TablaGeneral[Tracto elevador])</f>
        <v>50.000000000000007</v>
      </c>
      <c r="BT115">
        <f>+SUMIF(TablaGeneral[Finca],"camino truncado",TablaGeneral[Tractor con uñas])</f>
        <v>199.99992925838023</v>
      </c>
      <c r="BU115">
        <f>+SUMIF(TablaGeneral[Finca],"camino truncado",TablaGeneral[Lavar Bines])</f>
        <v>17.999992925838022</v>
      </c>
      <c r="BV115">
        <f>+SUMIF(TablaGeneral[Finca],"camino truncado",TablaGeneral[Tractor con acoplado])</f>
        <v>99.999823146576134</v>
      </c>
      <c r="BW115">
        <f>+BW110/$BW$114</f>
        <v>6.3575622289939987E-2</v>
      </c>
      <c r="BX115">
        <f t="shared" ref="BX115:CH115" si="149">+BX110/$BW$114</f>
        <v>7.4231490719289736E-2</v>
      </c>
      <c r="BY115">
        <f t="shared" si="149"/>
        <v>0.14926686828547728</v>
      </c>
      <c r="BZ115">
        <f t="shared" si="149"/>
        <v>0.10029268790526245</v>
      </c>
      <c r="CA115">
        <f t="shared" si="149"/>
        <v>0.13765982117527401</v>
      </c>
      <c r="CB115">
        <f t="shared" si="149"/>
        <v>6.3457447122034188E-2</v>
      </c>
      <c r="CC115">
        <f t="shared" si="149"/>
        <v>1.4784277600841809E-2</v>
      </c>
      <c r="CD115">
        <f t="shared" si="149"/>
        <v>2.958966487373016E-3</v>
      </c>
      <c r="CE115">
        <f t="shared" si="149"/>
        <v>0</v>
      </c>
      <c r="CF115">
        <f t="shared" si="149"/>
        <v>0.31162608783564544</v>
      </c>
      <c r="CG115">
        <f t="shared" si="149"/>
        <v>4.220505256949135E-2</v>
      </c>
      <c r="CH115">
        <f t="shared" si="149"/>
        <v>3.9941678009370797E-2</v>
      </c>
    </row>
    <row r="116" spans="33:93">
      <c r="BR116" s="142">
        <f>+SUM(BR115:BV115)/2124123</f>
        <v>1.9678697765185651E-4</v>
      </c>
      <c r="BS116" s="141"/>
      <c r="BT116" s="141"/>
      <c r="BU116" s="141"/>
      <c r="BV116" s="141"/>
      <c r="BW116">
        <v>35.172714494361237</v>
      </c>
      <c r="BX116">
        <v>28.72439409071265</v>
      </c>
      <c r="BY116">
        <v>57.155566256807418</v>
      </c>
      <c r="BZ116">
        <v>43.965974140910113</v>
      </c>
      <c r="CA116">
        <v>67.129748793809554</v>
      </c>
      <c r="CB116">
        <v>35.172714494361237</v>
      </c>
      <c r="CC116">
        <v>4.3965974140910111</v>
      </c>
      <c r="CD116">
        <v>2.9310559401874494</v>
      </c>
      <c r="CE116">
        <v>0</v>
      </c>
      <c r="CF116">
        <v>131.89743628587485</v>
      </c>
      <c r="CG116">
        <v>27.258833639488085</v>
      </c>
      <c r="CH116">
        <v>25.793260584845406</v>
      </c>
    </row>
    <row r="117" spans="33:93">
      <c r="BR117">
        <f>+BR116*831750</f>
        <v>163.67756866193164</v>
      </c>
    </row>
    <row r="118" spans="33:93">
      <c r="BW118">
        <f>45125/6.49</f>
        <v>6953.0046224961479</v>
      </c>
    </row>
    <row r="119" spans="33:93">
      <c r="BR119">
        <f>+BR110/138</f>
        <v>1.8553365736250043</v>
      </c>
      <c r="BS119">
        <f t="shared" ref="BS119:BV119" si="150">+BS110/138</f>
        <v>2.2539962794311803</v>
      </c>
      <c r="BT119">
        <f t="shared" si="150"/>
        <v>4.4707920323602597</v>
      </c>
      <c r="BU119">
        <f t="shared" si="150"/>
        <v>0.54271212585136641</v>
      </c>
      <c r="BV119">
        <f t="shared" si="150"/>
        <v>1.6521797475737212</v>
      </c>
      <c r="BW119">
        <v>320</v>
      </c>
    </row>
    <row r="120" spans="33:93">
      <c r="BR120">
        <v>48</v>
      </c>
      <c r="BS120">
        <v>48</v>
      </c>
      <c r="BT120">
        <v>48</v>
      </c>
      <c r="BU120">
        <v>21</v>
      </c>
      <c r="BV120">
        <f t="shared" ref="BV120" si="151">+BV119*BV117</f>
        <v>0</v>
      </c>
      <c r="BW120">
        <v>17.854182344754001</v>
      </c>
      <c r="BX120">
        <v>26.775156806512893</v>
      </c>
      <c r="BY120">
        <v>53.550313613025786</v>
      </c>
      <c r="BZ120">
        <v>35.700209075350521</v>
      </c>
      <c r="CA120">
        <v>44.625261344188154</v>
      </c>
      <c r="CB120">
        <v>17.854182344754001</v>
      </c>
      <c r="CC120">
        <v>6.6953390486302204</v>
      </c>
      <c r="CD120">
        <v>0</v>
      </c>
      <c r="CE120">
        <v>0</v>
      </c>
      <c r="CF120">
        <v>98.198396992070442</v>
      </c>
      <c r="CG120">
        <v>9.8198396992070442</v>
      </c>
      <c r="CH120">
        <v>8.9271187315069618</v>
      </c>
    </row>
    <row r="121" spans="33:93">
      <c r="BW121">
        <f>64785/8</f>
        <v>8098.125</v>
      </c>
    </row>
    <row r="122" spans="33:93">
      <c r="BW122">
        <f>8088/BW114</f>
        <v>2.9885085044166182</v>
      </c>
      <c r="BX122">
        <f>8088/26.18</f>
        <v>308.93812070282661</v>
      </c>
    </row>
    <row r="124" spans="33:93">
      <c r="BW124">
        <v>1781</v>
      </c>
      <c r="BX124">
        <f>+BW124/BW125*BX125</f>
        <v>98.871043521266074</v>
      </c>
      <c r="BY124">
        <f>+BX124*1.21</f>
        <v>119.63396266073195</v>
      </c>
    </row>
    <row r="125" spans="33:93">
      <c r="BW125">
        <v>8088</v>
      </c>
      <c r="BX125">
        <v>449</v>
      </c>
    </row>
    <row r="126" spans="33:93">
      <c r="BW126">
        <v>9.3244884359840121</v>
      </c>
      <c r="BX126">
        <v>7.6507101171122782</v>
      </c>
      <c r="BY126">
        <v>15.22235314215582</v>
      </c>
      <c r="BZ126">
        <v>11.714683814798628</v>
      </c>
      <c r="CA126">
        <v>17.859235652278443</v>
      </c>
      <c r="CB126">
        <v>9.3244884359840121</v>
      </c>
      <c r="CC126">
        <v>1.1693030055436706</v>
      </c>
      <c r="CD126">
        <v>0.78042111512131618</v>
      </c>
      <c r="CE126">
        <v>0</v>
      </c>
      <c r="CF126">
        <v>33.224602065423262</v>
      </c>
      <c r="CG126">
        <v>6.8664253524733168</v>
      </c>
      <c r="CH126">
        <v>6.4972515238571766</v>
      </c>
    </row>
  </sheetData>
  <mergeCells count="5">
    <mergeCell ref="K1:Y1"/>
    <mergeCell ref="Z1:AS1"/>
    <mergeCell ref="AT1:BM1"/>
    <mergeCell ref="BR1:BV1"/>
    <mergeCell ref="BW1:CH1"/>
  </mergeCells>
  <phoneticPr fontId="3" type="noConversion"/>
  <pageMargins left="0.7" right="0.7" top="0.75" bottom="0.75" header="0.3" footer="0.3"/>
  <pageSetup orientation="portrait" r:id="rId1"/>
  <ignoredErrors>
    <ignoredError sqref="AS27 AS21 AN31:AQ32 AS31:AS32 BI10:BI37 AN21:AQ21 AN27:AQ27 AR32 BR21 BR19 BR13:BV18 BR20:BV20 BS19:BV19 BS21:BV21 BR31:BR32 BR27 BR28:BV30 BS27:BV27 BS31:BV31" formula="1"/>
    <ignoredError sqref="K3:K9" calculatedColumn="1"/>
  </ignoredErrors>
  <drawing r:id="rId2"/>
  <legacyDrawing r:id="rId3"/>
  <tableParts count="1">
    <tablePart r:id="rId4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38"/>
  <sheetViews>
    <sheetView showGridLines="0" topLeftCell="F1" zoomScale="60" zoomScaleNormal="60" workbookViewId="0">
      <pane xSplit="2" ySplit="4" topLeftCell="H6" activePane="bottomRight" state="frozen"/>
      <selection activeCell="F1" sqref="F1"/>
      <selection pane="topRight" activeCell="H1" sqref="H1"/>
      <selection pane="bottomLeft" activeCell="F5" sqref="F5"/>
      <selection pane="bottomRight" activeCell="S12" sqref="S12"/>
    </sheetView>
  </sheetViews>
  <sheetFormatPr baseColWidth="10" defaultRowHeight="15"/>
  <cols>
    <col min="1" max="1" width="24" customWidth="1"/>
    <col min="2" max="2" width="24" hidden="1" customWidth="1"/>
    <col min="3" max="3" width="26.42578125" customWidth="1"/>
    <col min="4" max="4" width="8.7109375" customWidth="1"/>
    <col min="5" max="5" width="6.28515625" customWidth="1"/>
    <col min="6" max="6" width="42.42578125" bestFit="1" customWidth="1"/>
    <col min="7" max="7" width="27.28515625" bestFit="1" customWidth="1"/>
    <col min="8" max="19" width="15.5703125" bestFit="1" customWidth="1"/>
    <col min="20" max="20" width="12.7109375" bestFit="1" customWidth="1"/>
    <col min="21" max="27" width="12.85546875" customWidth="1"/>
  </cols>
  <sheetData>
    <row r="1" spans="1:27" ht="41.25" customHeight="1">
      <c r="A1" s="167">
        <f>+SUM(D5:D38)/33</f>
        <v>0.96969696969696972</v>
      </c>
      <c r="B1" s="167"/>
      <c r="C1" s="167"/>
      <c r="D1" s="167"/>
      <c r="E1" s="167"/>
      <c r="F1" s="21" t="s">
        <v>0</v>
      </c>
      <c r="G1" t="s">
        <v>484</v>
      </c>
    </row>
    <row r="2" spans="1:27" ht="15" customHeight="1" thickBot="1">
      <c r="A2" s="167"/>
      <c r="B2" s="167"/>
      <c r="C2" s="167"/>
      <c r="D2" s="167"/>
      <c r="E2" s="167"/>
    </row>
    <row r="3" spans="1:27" ht="15" customHeight="1">
      <c r="A3" s="167"/>
      <c r="B3" s="167"/>
      <c r="C3" s="167"/>
      <c r="D3" s="167"/>
      <c r="E3" s="167"/>
      <c r="F3" s="21" t="s">
        <v>375</v>
      </c>
      <c r="H3" s="21" t="s">
        <v>365</v>
      </c>
      <c r="U3" s="102"/>
      <c r="V3" s="144"/>
      <c r="W3" s="144"/>
      <c r="X3" s="144"/>
      <c r="Y3" s="144"/>
      <c r="Z3" s="144"/>
      <c r="AA3" s="144"/>
    </row>
    <row r="4" spans="1:27" ht="15" customHeight="1">
      <c r="A4" s="167"/>
      <c r="B4" s="167"/>
      <c r="C4" s="167"/>
      <c r="D4" s="167"/>
      <c r="E4" s="167"/>
      <c r="F4" s="21" t="s">
        <v>374</v>
      </c>
      <c r="G4" s="21" t="s">
        <v>364</v>
      </c>
      <c r="H4" t="s">
        <v>88</v>
      </c>
      <c r="I4" t="s">
        <v>89</v>
      </c>
      <c r="J4" t="s">
        <v>90</v>
      </c>
      <c r="K4" t="s">
        <v>91</v>
      </c>
      <c r="L4" t="s">
        <v>92</v>
      </c>
      <c r="M4" t="s">
        <v>93</v>
      </c>
      <c r="N4" t="s">
        <v>94</v>
      </c>
      <c r="O4" t="s">
        <v>95</v>
      </c>
      <c r="P4" t="s">
        <v>96</v>
      </c>
      <c r="Q4" t="s">
        <v>97</v>
      </c>
      <c r="R4" t="s">
        <v>98</v>
      </c>
      <c r="S4" t="s">
        <v>99</v>
      </c>
      <c r="T4" s="43" t="s">
        <v>377</v>
      </c>
      <c r="U4" s="103" t="s">
        <v>149</v>
      </c>
      <c r="V4" s="145"/>
      <c r="W4" s="145" t="s">
        <v>321</v>
      </c>
      <c r="X4" s="145" t="s">
        <v>322</v>
      </c>
      <c r="Y4" s="145" t="s">
        <v>323</v>
      </c>
      <c r="Z4" s="145" t="s">
        <v>186</v>
      </c>
      <c r="AA4" s="145" t="s">
        <v>188</v>
      </c>
    </row>
    <row r="5" spans="1:27" ht="15" customHeight="1">
      <c r="A5" s="169" t="s">
        <v>329</v>
      </c>
      <c r="B5" s="94" t="str">
        <f>+A5</f>
        <v>ADMINISTRACION</v>
      </c>
      <c r="C5" s="95" t="s">
        <v>330</v>
      </c>
      <c r="D5" s="98">
        <v>1</v>
      </c>
      <c r="E5" s="99">
        <f>+D5</f>
        <v>1</v>
      </c>
      <c r="F5" t="s">
        <v>329</v>
      </c>
      <c r="G5" t="s">
        <v>330</v>
      </c>
      <c r="H5" s="110">
        <v>6800.7891128421097</v>
      </c>
      <c r="I5" s="110">
        <v>7589.3329070666068</v>
      </c>
      <c r="J5" s="110">
        <v>6618.0808525812336</v>
      </c>
      <c r="K5" s="110">
        <v>10295.373750722631</v>
      </c>
      <c r="L5" s="110">
        <v>11271.611554255003</v>
      </c>
      <c r="M5" s="110">
        <v>12682.410618440714</v>
      </c>
      <c r="N5" s="110">
        <v>8334.3687292948125</v>
      </c>
      <c r="O5" s="110">
        <v>12353.776785157817</v>
      </c>
      <c r="P5" s="110">
        <v>11526.850184022565</v>
      </c>
      <c r="Q5" s="110">
        <v>9583.9131498084262</v>
      </c>
      <c r="R5" s="110">
        <v>10329.809309112219</v>
      </c>
      <c r="S5" s="110">
        <v>14083.683046695882</v>
      </c>
      <c r="T5" s="110">
        <v>121470.00000000001</v>
      </c>
      <c r="U5" s="111">
        <f>+IF($G$1="(Todas)",(T5/SUM(TablaGeneral[Has])),T5/SUMIFS(TablaGeneral[Has],TablaGeneral[Ref 3],$G$1))</f>
        <v>317.83968445769966</v>
      </c>
      <c r="V5" s="2"/>
      <c r="W5" s="2">
        <v>349.45445295394882</v>
      </c>
      <c r="X5" s="2">
        <v>331.55583126550869</v>
      </c>
      <c r="Y5" s="2">
        <v>362.8678117998507</v>
      </c>
      <c r="Z5" s="2">
        <v>314.99986306302543</v>
      </c>
      <c r="AA5" s="146">
        <v>283.30560868799785</v>
      </c>
    </row>
    <row r="6" spans="1:27" ht="15" customHeight="1">
      <c r="A6" s="169"/>
      <c r="B6" s="94" t="str">
        <f>+A5</f>
        <v>ADMINISTRACION</v>
      </c>
      <c r="C6" s="95" t="s">
        <v>331</v>
      </c>
      <c r="D6" s="98">
        <v>1</v>
      </c>
      <c r="E6" s="99">
        <f t="shared" ref="E6:E38" si="0">+D6</f>
        <v>1</v>
      </c>
      <c r="G6" t="s">
        <v>331</v>
      </c>
      <c r="H6" s="110">
        <v>8435.2721282180646</v>
      </c>
      <c r="I6" s="110">
        <v>11552.935163196618</v>
      </c>
      <c r="J6" s="110">
        <v>8612.9504654254761</v>
      </c>
      <c r="K6" s="110">
        <v>8599.3452336715636</v>
      </c>
      <c r="L6" s="110">
        <v>8580.7012056528256</v>
      </c>
      <c r="M6" s="110">
        <v>8554.8939367144449</v>
      </c>
      <c r="N6" s="110">
        <v>8554.8939367144449</v>
      </c>
      <c r="O6" s="110">
        <v>12161.587204262234</v>
      </c>
      <c r="P6" s="110">
        <v>8554.8939367144449</v>
      </c>
      <c r="Q6" s="110">
        <v>8554.8939367144449</v>
      </c>
      <c r="R6" s="110">
        <v>8554.8939367144449</v>
      </c>
      <c r="S6" s="110">
        <v>8688.4502968294019</v>
      </c>
      <c r="T6" s="110">
        <v>109405.71138082842</v>
      </c>
      <c r="U6" s="111">
        <f>+IF($G$1="(Todas)",(T6/SUM(TablaGeneral[Has])),T6/SUMIFS(TablaGeneral[Has],TablaGeneral[Ref 3],$G$1))</f>
        <v>286.27213948425668</v>
      </c>
      <c r="V6" s="2"/>
      <c r="W6" s="2">
        <v>314.74695826644438</v>
      </c>
      <c r="X6" s="2">
        <v>298.6260112131792</v>
      </c>
      <c r="Y6" s="2">
        <v>326.82811465520064</v>
      </c>
      <c r="Z6" s="2">
        <v>295.43729917973036</v>
      </c>
      <c r="AA6" s="146">
        <v>237.4149033735896</v>
      </c>
    </row>
    <row r="7" spans="1:27">
      <c r="A7" s="169" t="s">
        <v>332</v>
      </c>
      <c r="B7" s="94" t="str">
        <f>+A7</f>
        <v>PERSONAL FINCA</v>
      </c>
      <c r="C7" s="95" t="s">
        <v>333</v>
      </c>
      <c r="D7" s="98">
        <v>1</v>
      </c>
      <c r="E7" s="99">
        <f t="shared" si="0"/>
        <v>1</v>
      </c>
      <c r="F7" t="s">
        <v>332</v>
      </c>
      <c r="G7" t="s">
        <v>333</v>
      </c>
      <c r="H7" s="110">
        <v>3945.9374173346259</v>
      </c>
      <c r="I7" s="110">
        <v>6638.161200992974</v>
      </c>
      <c r="J7" s="110">
        <v>4016.5594302573818</v>
      </c>
      <c r="K7" s="110">
        <v>4196.3593574686765</v>
      </c>
      <c r="L7" s="110">
        <v>3915.0702229243448</v>
      </c>
      <c r="M7" s="110">
        <v>4337.3736209587723</v>
      </c>
      <c r="N7" s="110">
        <v>4045.091040258505</v>
      </c>
      <c r="O7" s="110">
        <v>7440.4292566986287</v>
      </c>
      <c r="P7" s="110">
        <v>4340.5492733445917</v>
      </c>
      <c r="Q7" s="110">
        <v>3958.4053039472733</v>
      </c>
      <c r="R7" s="110">
        <v>4231.0667355323167</v>
      </c>
      <c r="S7" s="110">
        <v>4257.8113852328752</v>
      </c>
      <c r="T7" s="110">
        <v>55322.814244950961</v>
      </c>
      <c r="U7" s="111">
        <f>+IF($G$1="(Todas)",(T7/SUM(TablaGeneral[Has])),T7/SUMIFS(TablaGeneral[Has],TablaGeneral[Ref 3],$G$1))</f>
        <v>144.7582598413365</v>
      </c>
      <c r="V7" s="2"/>
      <c r="W7" s="2">
        <v>231.72901723745068</v>
      </c>
      <c r="X7" s="2">
        <v>130.5718451830374</v>
      </c>
      <c r="Y7" s="2">
        <v>151.69874979770111</v>
      </c>
      <c r="Z7" s="2">
        <v>144.1106678930592</v>
      </c>
      <c r="AA7" s="146">
        <v>91.644738131312351</v>
      </c>
    </row>
    <row r="8" spans="1:27" ht="15" customHeight="1">
      <c r="A8" s="169"/>
      <c r="B8" s="94" t="str">
        <f>+A7</f>
        <v>PERSONAL FINCA</v>
      </c>
      <c r="C8" s="95" t="s">
        <v>334</v>
      </c>
      <c r="D8" s="98">
        <v>1</v>
      </c>
      <c r="E8" s="99">
        <f t="shared" si="0"/>
        <v>1</v>
      </c>
      <c r="G8" s="100" t="s">
        <v>334</v>
      </c>
      <c r="H8" s="110">
        <v>12818.971914347199</v>
      </c>
      <c r="I8" s="110">
        <v>48973.669586496908</v>
      </c>
      <c r="J8" s="110">
        <v>44869.178997144001</v>
      </c>
      <c r="K8" s="110">
        <v>55575.810533965698</v>
      </c>
      <c r="L8" s="110">
        <v>31787.816350798632</v>
      </c>
      <c r="M8" s="110">
        <v>43718.908538943957</v>
      </c>
      <c r="N8" s="110">
        <v>59750.805954974683</v>
      </c>
      <c r="O8" s="110">
        <v>55888.576818903457</v>
      </c>
      <c r="P8" s="110">
        <v>9628.9551571659413</v>
      </c>
      <c r="Q8" s="110">
        <v>35970.040601076224</v>
      </c>
      <c r="R8" s="110">
        <v>37180.783352520826</v>
      </c>
      <c r="S8" s="110">
        <v>14219.482808039167</v>
      </c>
      <c r="T8" s="110">
        <v>450383.00061437668</v>
      </c>
      <c r="U8" s="111">
        <f>+IF($G$1="(Todas)",(T8/SUM(TablaGeneral[Has])),T8/SUMIFS(TablaGeneral[Has],TablaGeneral[Ref 3],$G$1))</f>
        <v>1178.4769144676497</v>
      </c>
      <c r="V8" s="2"/>
      <c r="W8" s="2">
        <v>722.51212702277701</v>
      </c>
      <c r="X8" s="2">
        <v>1007.6558706458416</v>
      </c>
      <c r="Y8" s="2">
        <v>1067.041327477624</v>
      </c>
      <c r="Z8" s="2">
        <v>1565.3866901172123</v>
      </c>
      <c r="AA8" s="146">
        <v>996.20042751387905</v>
      </c>
    </row>
    <row r="9" spans="1:27" ht="15" customHeight="1">
      <c r="A9" s="169"/>
      <c r="B9" s="94" t="str">
        <f>+A7</f>
        <v>PERSONAL FINCA</v>
      </c>
      <c r="C9" s="95" t="s">
        <v>335</v>
      </c>
      <c r="D9" s="98">
        <v>1</v>
      </c>
      <c r="E9" s="99">
        <f t="shared" si="0"/>
        <v>1</v>
      </c>
      <c r="G9" t="s">
        <v>335</v>
      </c>
      <c r="H9" s="110">
        <v>1140.0854943090117</v>
      </c>
      <c r="I9" s="110">
        <v>1150.7195000455829</v>
      </c>
      <c r="J9" s="110">
        <v>1161.325952295382</v>
      </c>
      <c r="K9" s="110">
        <v>1163.8002341472607</v>
      </c>
      <c r="L9" s="110">
        <v>1217.9644409149194</v>
      </c>
      <c r="M9" s="110">
        <v>1220.9103268987737</v>
      </c>
      <c r="N9" s="110">
        <v>1223.990810256995</v>
      </c>
      <c r="O9" s="110">
        <v>1227.0567354372251</v>
      </c>
      <c r="P9" s="110">
        <v>1230.248737355897</v>
      </c>
      <c r="Q9" s="110">
        <v>1233.4204368913331</v>
      </c>
      <c r="R9" s="110">
        <v>1236.7798438617356</v>
      </c>
      <c r="S9" s="110">
        <v>1240.1122117249915</v>
      </c>
      <c r="T9" s="110">
        <v>14446.414724139107</v>
      </c>
      <c r="U9" s="111">
        <f>+IF($G$1="(Todas)",(T9/SUM(TablaGeneral[Has])),T9/SUMIFS(TablaGeneral[Has],TablaGeneral[Ref 3],$G$1))</f>
        <v>37.800641289745947</v>
      </c>
      <c r="V9" s="2"/>
      <c r="W9" s="2">
        <v>117.92091715531409</v>
      </c>
      <c r="X9" s="2">
        <v>115.9495603239027</v>
      </c>
      <c r="Y9" s="2">
        <v>74.148692108427781</v>
      </c>
      <c r="Z9" s="2"/>
      <c r="AA9" s="146"/>
    </row>
    <row r="10" spans="1:27">
      <c r="A10" s="169"/>
      <c r="B10" s="94" t="str">
        <f>+A7</f>
        <v>PERSONAL FINCA</v>
      </c>
      <c r="C10" s="95" t="s">
        <v>336</v>
      </c>
      <c r="D10" s="98">
        <v>1</v>
      </c>
      <c r="E10" s="99">
        <f t="shared" si="0"/>
        <v>1</v>
      </c>
      <c r="G10" t="s">
        <v>336</v>
      </c>
      <c r="H10" s="110">
        <v>3434.7124545264969</v>
      </c>
      <c r="I10" s="110">
        <v>4896.3028401756583</v>
      </c>
      <c r="J10" s="110">
        <v>3494.7918050786789</v>
      </c>
      <c r="K10" s="110">
        <v>3562.0746303989754</v>
      </c>
      <c r="L10" s="110">
        <v>3415.0148296785246</v>
      </c>
      <c r="M10" s="110">
        <v>3625.5270709448805</v>
      </c>
      <c r="N10" s="110">
        <v>3474.5028013831025</v>
      </c>
      <c r="O10" s="110">
        <v>5288.6281964527452</v>
      </c>
      <c r="P10" s="110">
        <v>2927.0567793459968</v>
      </c>
      <c r="Q10" s="110">
        <v>1833.4053704842183</v>
      </c>
      <c r="R10" s="110">
        <v>1904.5829495661505</v>
      </c>
      <c r="S10" s="110">
        <v>2963.0917822237539</v>
      </c>
      <c r="T10" s="110">
        <v>40819.691510259188</v>
      </c>
      <c r="U10" s="111">
        <f>+IF($G$1="(Todas)",(T10/SUM(TablaGeneral[Has])),T10/SUMIFS(TablaGeneral[Has],TablaGeneral[Ref 3],$G$1))</f>
        <v>106.8092357724658</v>
      </c>
      <c r="V10" s="2"/>
      <c r="W10" s="2">
        <v>136.84691257072245</v>
      </c>
      <c r="X10" s="2">
        <v>212.65207649148161</v>
      </c>
      <c r="Y10" s="2">
        <v>305.89590387717357</v>
      </c>
      <c r="Z10" s="2">
        <v>70.520160345693498</v>
      </c>
      <c r="AA10" s="146">
        <v>44.846101418772939</v>
      </c>
    </row>
    <row r="11" spans="1:27">
      <c r="A11" s="169"/>
      <c r="B11" s="94" t="str">
        <f>+A7</f>
        <v>PERSONAL FINCA</v>
      </c>
      <c r="C11" s="95" t="s">
        <v>337</v>
      </c>
      <c r="D11" s="98">
        <v>1</v>
      </c>
      <c r="E11" s="99">
        <f t="shared" si="0"/>
        <v>1</v>
      </c>
      <c r="G11" t="s">
        <v>337</v>
      </c>
      <c r="H11" s="110">
        <v>23385.940917653959</v>
      </c>
      <c r="I11" s="110">
        <v>33317.600401531483</v>
      </c>
      <c r="J11" s="110">
        <v>23957.787119344863</v>
      </c>
      <c r="K11" s="110">
        <v>24411.980585718324</v>
      </c>
      <c r="L11" s="110">
        <v>23283.516238322532</v>
      </c>
      <c r="M11" s="110">
        <v>24729.80848575486</v>
      </c>
      <c r="N11" s="110">
        <v>23561.447233295254</v>
      </c>
      <c r="O11" s="110">
        <v>35778.66367883778</v>
      </c>
      <c r="P11" s="110">
        <v>21062.610124570194</v>
      </c>
      <c r="Q11" s="110">
        <v>15969.973378003249</v>
      </c>
      <c r="R11" s="110">
        <v>16598.005701945705</v>
      </c>
      <c r="S11" s="110">
        <v>18890.986715381645</v>
      </c>
      <c r="T11" s="110">
        <v>284948.3205803599</v>
      </c>
      <c r="U11" s="111">
        <f>+IF($G$1="(Todas)",(T11/SUM(TablaGeneral[Has])),T11/SUMIFS(TablaGeneral[Has],TablaGeneral[Ref 3],$G$1))</f>
        <v>745.59878406201551</v>
      </c>
      <c r="V11" s="2"/>
      <c r="W11" s="2">
        <v>1125.1815720790303</v>
      </c>
      <c r="X11" s="2">
        <v>543.62554369404324</v>
      </c>
      <c r="Y11" s="2">
        <v>557.00601950418309</v>
      </c>
      <c r="Z11" s="2">
        <v>816.06179094571439</v>
      </c>
      <c r="AA11" s="146">
        <v>518.96067254152081</v>
      </c>
    </row>
    <row r="12" spans="1:27" ht="30">
      <c r="A12" s="169" t="s">
        <v>338</v>
      </c>
      <c r="B12" s="94" t="str">
        <f>+A12</f>
        <v>COMBUSTIBLE Y MANTENIMIENTO</v>
      </c>
      <c r="C12" s="95" t="s">
        <v>339</v>
      </c>
      <c r="D12" s="98">
        <v>1</v>
      </c>
      <c r="E12" s="99">
        <f t="shared" si="0"/>
        <v>1</v>
      </c>
      <c r="F12" t="s">
        <v>338</v>
      </c>
      <c r="G12" s="100" t="s">
        <v>339</v>
      </c>
      <c r="H12" s="110">
        <v>1385.0086445980803</v>
      </c>
      <c r="I12" s="110">
        <v>3283.7887965286191</v>
      </c>
      <c r="J12" s="110">
        <v>3150.8534200496488</v>
      </c>
      <c r="K12" s="110">
        <v>4959.0519136337098</v>
      </c>
      <c r="L12" s="110">
        <v>3290.4652436650267</v>
      </c>
      <c r="M12" s="110">
        <v>3585.5902229753456</v>
      </c>
      <c r="N12" s="110">
        <v>3070.4330662918624</v>
      </c>
      <c r="O12" s="110">
        <v>2170.8438942841103</v>
      </c>
      <c r="P12" s="110">
        <v>1708.4390390451224</v>
      </c>
      <c r="Q12" s="110">
        <v>3548.4655811269677</v>
      </c>
      <c r="R12" s="110">
        <v>2995.0812594828676</v>
      </c>
      <c r="S12" s="110">
        <v>1839.2721570875278</v>
      </c>
      <c r="T12" s="110">
        <v>34987.293238768892</v>
      </c>
      <c r="U12" s="111">
        <f>+IF($G$1="(Todas)",(T12/SUM(TablaGeneral[Has])),T12/SUMIFS(TablaGeneral[Has],TablaGeneral[Ref 3],$G$1))</f>
        <v>91.548120877906584</v>
      </c>
      <c r="V12" s="2"/>
      <c r="W12" s="2">
        <v>69.587213664685734</v>
      </c>
      <c r="X12" s="2">
        <v>68.60482032869136</v>
      </c>
      <c r="Y12" s="2">
        <v>69.749467418506981</v>
      </c>
      <c r="Z12" s="2">
        <v>69.077569507541341</v>
      </c>
      <c r="AA12" s="146">
        <v>43.960450609094984</v>
      </c>
    </row>
    <row r="13" spans="1:27" ht="30">
      <c r="A13" s="169"/>
      <c r="B13" s="94" t="str">
        <f>+A12</f>
        <v>COMBUSTIBLE Y MANTENIMIENTO</v>
      </c>
      <c r="C13" s="95" t="s">
        <v>340</v>
      </c>
      <c r="D13" s="98">
        <v>1</v>
      </c>
      <c r="E13" s="99">
        <f t="shared" si="0"/>
        <v>1</v>
      </c>
      <c r="G13" t="s">
        <v>340</v>
      </c>
      <c r="H13" s="110">
        <v>150.70254237288137</v>
      </c>
      <c r="I13" s="110">
        <v>150.70254237288137</v>
      </c>
      <c r="J13" s="110">
        <v>150.70254237288137</v>
      </c>
      <c r="K13" s="110">
        <v>150.70254237288137</v>
      </c>
      <c r="L13" s="110">
        <v>150.70254237288137</v>
      </c>
      <c r="M13" s="110">
        <v>150.70254237288137</v>
      </c>
      <c r="N13" s="110">
        <v>150.70254237288137</v>
      </c>
      <c r="O13" s="110">
        <v>602.81016949152547</v>
      </c>
      <c r="P13" s="110">
        <v>602.81016949152547</v>
      </c>
      <c r="Q13" s="110">
        <v>602.81016949152547</v>
      </c>
      <c r="R13" s="110">
        <v>150.70254237288137</v>
      </c>
      <c r="S13" s="110">
        <v>150.70254237288137</v>
      </c>
      <c r="T13" s="110">
        <v>3164.7533898305087</v>
      </c>
      <c r="U13" s="111">
        <f>+IF($G$1="(Todas)",(T13/SUM(TablaGeneral[Has])),T13/SUMIFS(TablaGeneral[Has],TablaGeneral[Ref 3],$G$1))</f>
        <v>8.2809271327090155</v>
      </c>
      <c r="V13" s="2"/>
      <c r="W13" s="2">
        <v>6.7366695168553017</v>
      </c>
      <c r="X13" s="2">
        <v>6.6240484501829489</v>
      </c>
      <c r="Y13" s="2">
        <v>6.6454855001835424</v>
      </c>
      <c r="Z13" s="2">
        <v>10.680932203389832</v>
      </c>
      <c r="AA13" s="146">
        <v>6.7923579086063377</v>
      </c>
    </row>
    <row r="14" spans="1:27" ht="30">
      <c r="A14" s="169"/>
      <c r="B14" s="94" t="str">
        <f>+A12</f>
        <v>COMBUSTIBLE Y MANTENIMIENTO</v>
      </c>
      <c r="C14" s="95" t="s">
        <v>341</v>
      </c>
      <c r="D14" s="98">
        <v>1</v>
      </c>
      <c r="E14" s="99">
        <f t="shared" si="0"/>
        <v>1</v>
      </c>
      <c r="G14" t="s">
        <v>341</v>
      </c>
      <c r="H14" s="110">
        <v>10338.675807098492</v>
      </c>
      <c r="I14" s="110">
        <v>2542.4261547787437</v>
      </c>
      <c r="J14" s="110">
        <v>1831.0746281376973</v>
      </c>
      <c r="K14" s="110">
        <v>2816.4898032180322</v>
      </c>
      <c r="L14" s="110">
        <v>539.28073848148222</v>
      </c>
      <c r="M14" s="110">
        <v>10523.059148132947</v>
      </c>
      <c r="N14" s="110">
        <v>3002.7724107222393</v>
      </c>
      <c r="O14" s="110">
        <v>3857.1288692776379</v>
      </c>
      <c r="P14" s="110">
        <v>5474.314738481251</v>
      </c>
      <c r="Q14" s="110">
        <v>919.37742061845938</v>
      </c>
      <c r="R14" s="110">
        <v>3500.1974524634184</v>
      </c>
      <c r="S14" s="110">
        <v>12314.217018627816</v>
      </c>
      <c r="T14" s="110">
        <v>57659.014190038215</v>
      </c>
      <c r="U14" s="111">
        <f>+IF($G$1="(Todas)",(T14/SUM(TablaGeneral[Has])),T14/SUMIFS(TablaGeneral[Has],TablaGeneral[Ref 3],$G$1))</f>
        <v>150.87118528281692</v>
      </c>
      <c r="V14" s="2"/>
      <c r="W14" s="2">
        <v>186.79744586130872</v>
      </c>
      <c r="X14" s="2">
        <v>157.02968609158864</v>
      </c>
      <c r="Y14" s="2">
        <v>155.48642435502035</v>
      </c>
      <c r="Z14" s="2">
        <v>163.0852945691295</v>
      </c>
      <c r="AA14" s="146">
        <v>104.66616916683708</v>
      </c>
    </row>
    <row r="15" spans="1:27" ht="30">
      <c r="A15" s="169"/>
      <c r="B15" s="94" t="str">
        <f>+A12</f>
        <v>COMBUSTIBLE Y MANTENIMIENTO</v>
      </c>
      <c r="C15" s="95" t="s">
        <v>342</v>
      </c>
      <c r="D15" s="98">
        <v>1</v>
      </c>
      <c r="E15" s="99">
        <f t="shared" si="0"/>
        <v>1</v>
      </c>
      <c r="G15" t="s">
        <v>342</v>
      </c>
      <c r="H15" s="110">
        <v>5114.589122182786</v>
      </c>
      <c r="I15" s="110">
        <v>1932.161186704385</v>
      </c>
      <c r="J15" s="110">
        <v>2119.8491627775934</v>
      </c>
      <c r="K15" s="110">
        <v>2748.6625704828552</v>
      </c>
      <c r="L15" s="110">
        <v>7950.7260089714027</v>
      </c>
      <c r="M15" s="110">
        <v>8757.0813944924412</v>
      </c>
      <c r="N15" s="110">
        <v>3772.2723688566639</v>
      </c>
      <c r="O15" s="110">
        <v>10781.596359853764</v>
      </c>
      <c r="P15" s="110">
        <v>22609.526361829805</v>
      </c>
      <c r="Q15" s="110">
        <v>10334.109886551842</v>
      </c>
      <c r="R15" s="110">
        <v>8114.9802555506749</v>
      </c>
      <c r="S15" s="110">
        <v>27935.112739111439</v>
      </c>
      <c r="T15" s="110">
        <v>112170.66741736566</v>
      </c>
      <c r="U15" s="111">
        <f>+IF($G$1="(Todas)",(T15/SUM(TablaGeneral[Has])),T15/SUMIFS(TablaGeneral[Has],TablaGeneral[Ref 3],$G$1))</f>
        <v>293.50695264135237</v>
      </c>
      <c r="V15" s="2"/>
      <c r="W15" s="2">
        <v>308.64163647835198</v>
      </c>
      <c r="X15" s="2">
        <v>238.04464721658121</v>
      </c>
      <c r="Y15" s="2">
        <v>300.15927557236535</v>
      </c>
      <c r="Z15" s="2">
        <v>303.66761272394211</v>
      </c>
      <c r="AA15" s="146">
        <v>288.79550040251553</v>
      </c>
    </row>
    <row r="16" spans="1:27" ht="15" customHeight="1">
      <c r="A16" s="96" t="s">
        <v>343</v>
      </c>
      <c r="B16" s="96" t="str">
        <f>+A16</f>
        <v>ENERGIA FINCAS</v>
      </c>
      <c r="C16" s="95" t="s">
        <v>344</v>
      </c>
      <c r="D16" s="98">
        <v>1</v>
      </c>
      <c r="E16" s="99">
        <f t="shared" si="0"/>
        <v>1</v>
      </c>
      <c r="F16" t="s">
        <v>343</v>
      </c>
      <c r="G16" t="s">
        <v>344</v>
      </c>
      <c r="H16" s="110">
        <v>17027.175022182786</v>
      </c>
      <c r="I16" s="110">
        <v>10115.270322506962</v>
      </c>
      <c r="J16" s="110">
        <v>4905.8576559686244</v>
      </c>
      <c r="K16" s="110">
        <v>13717.758776925921</v>
      </c>
      <c r="L16" s="110">
        <v>15085.229842121771</v>
      </c>
      <c r="M16" s="110">
        <v>7411.0363419241603</v>
      </c>
      <c r="N16" s="110">
        <v>26206.777450528083</v>
      </c>
      <c r="O16" s="110">
        <v>44627.743747054177</v>
      </c>
      <c r="P16" s="110">
        <v>48923.11030106408</v>
      </c>
      <c r="Q16" s="110">
        <v>45803.599256092537</v>
      </c>
      <c r="R16" s="110">
        <v>51445.42191955998</v>
      </c>
      <c r="S16" s="110">
        <v>43836.603441184561</v>
      </c>
      <c r="T16" s="110">
        <v>329105.58407711366</v>
      </c>
      <c r="U16" s="111">
        <f>+IF($G$1="(Todas)",(T16/SUM(TablaGeneral[Has])),T16/SUMIFS(TablaGeneral[Has],TablaGeneral[Ref 3],$G$1))</f>
        <v>861.14114593180818</v>
      </c>
      <c r="V16" s="2"/>
      <c r="W16" s="2">
        <v>351.93121475563777</v>
      </c>
      <c r="X16" s="2">
        <v>886.39518734828721</v>
      </c>
      <c r="Y16" s="2">
        <v>46.616767661282637</v>
      </c>
      <c r="Z16" s="2">
        <v>1260.699204783517</v>
      </c>
      <c r="AA16" s="146">
        <v>805.52958617266529</v>
      </c>
    </row>
    <row r="17" spans="1:29" ht="15" customHeight="1">
      <c r="A17" s="168" t="s">
        <v>345</v>
      </c>
      <c r="B17" s="96" t="str">
        <f>+A17</f>
        <v>FERTILIZANTES</v>
      </c>
      <c r="C17" s="95" t="s">
        <v>346</v>
      </c>
      <c r="D17" s="98">
        <v>1</v>
      </c>
      <c r="E17" s="99">
        <f t="shared" si="0"/>
        <v>1</v>
      </c>
      <c r="F17" t="s">
        <v>345</v>
      </c>
      <c r="G17" s="100" t="s">
        <v>346</v>
      </c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>
        <v>341590.614</v>
      </c>
      <c r="T17" s="110">
        <v>341590.614</v>
      </c>
      <c r="U17" s="111">
        <f>+IF($G$1="(Todas)",(T17/SUM(TablaGeneral[Has])),T17/SUMIFS(TablaGeneral[Has],TablaGeneral[Ref 3],$G$1))</f>
        <v>893.80960704265976</v>
      </c>
      <c r="V17" s="2"/>
      <c r="W17" s="2">
        <v>1013.6401902979536</v>
      </c>
      <c r="X17" s="2">
        <v>1205.4590570719602</v>
      </c>
      <c r="Y17" s="2">
        <v>996.52053771471242</v>
      </c>
      <c r="Z17" s="2">
        <v>1032.5999999999999</v>
      </c>
      <c r="AA17" s="146">
        <v>449.15844522968194</v>
      </c>
    </row>
    <row r="18" spans="1:29" ht="15" customHeight="1">
      <c r="A18" s="168"/>
      <c r="B18" s="96" t="str">
        <f>+A17</f>
        <v>FERTILIZANTES</v>
      </c>
      <c r="C18" s="95" t="s">
        <v>347</v>
      </c>
      <c r="D18" s="98">
        <v>1</v>
      </c>
      <c r="E18" s="99">
        <f t="shared" si="0"/>
        <v>1</v>
      </c>
      <c r="F18" t="s">
        <v>421</v>
      </c>
      <c r="G18" t="s">
        <v>190</v>
      </c>
      <c r="H18" s="110"/>
      <c r="I18" s="110"/>
      <c r="J18" s="110"/>
      <c r="K18" s="110"/>
      <c r="L18" s="110"/>
      <c r="M18" s="110">
        <v>962.95758173832007</v>
      </c>
      <c r="N18" s="110">
        <v>1155.549098085984</v>
      </c>
      <c r="O18" s="110">
        <v>962.95758173832007</v>
      </c>
      <c r="P18" s="110"/>
      <c r="Q18" s="110">
        <v>1733.3236471289758</v>
      </c>
      <c r="R18" s="110"/>
      <c r="S18" s="110"/>
      <c r="T18" s="110">
        <v>4814.7879086916</v>
      </c>
      <c r="U18" s="111">
        <f>+IF($G$1="(Todas)",(T18/SUM(TablaGeneral[Has])),T18/SUMIFS(TablaGeneral[Has],TablaGeneral[Ref 3],$G$1))</f>
        <v>12.598424875518941</v>
      </c>
      <c r="V18" s="2"/>
      <c r="W18" s="2">
        <v>12.737039999999999</v>
      </c>
      <c r="X18" s="2">
        <v>12.737039999999997</v>
      </c>
      <c r="Y18" s="2">
        <v>12.73704</v>
      </c>
      <c r="Z18" s="2">
        <v>14.644804465399996</v>
      </c>
      <c r="AA18" s="2">
        <v>14.481382626838304</v>
      </c>
    </row>
    <row r="19" spans="1:29" ht="15" customHeight="1">
      <c r="A19" s="169" t="s">
        <v>421</v>
      </c>
      <c r="B19" s="94" t="str">
        <f>+A19</f>
        <v>FITOSANITARIOS</v>
      </c>
      <c r="C19" s="95" t="s">
        <v>190</v>
      </c>
      <c r="D19" s="98">
        <v>1</v>
      </c>
      <c r="E19" s="99">
        <f t="shared" si="0"/>
        <v>1</v>
      </c>
      <c r="G19" t="s">
        <v>202</v>
      </c>
      <c r="H19" s="110"/>
      <c r="I19" s="110"/>
      <c r="J19" s="110"/>
      <c r="K19" s="110"/>
      <c r="L19" s="110"/>
      <c r="M19" s="110">
        <v>5777.7611352645999</v>
      </c>
      <c r="N19" s="110">
        <v>6933.3133623175199</v>
      </c>
      <c r="O19" s="110">
        <v>5777.7611352645999</v>
      </c>
      <c r="P19" s="110"/>
      <c r="Q19" s="110">
        <v>10399.970043476278</v>
      </c>
      <c r="R19" s="110"/>
      <c r="S19" s="110"/>
      <c r="T19" s="110">
        <v>28888.805676322998</v>
      </c>
      <c r="U19" s="111">
        <f>+IF($G$1="(Todas)",(T19/SUM(TablaGeneral[Has])),T19/SUMIFS(TablaGeneral[Has],TablaGeneral[Ref 3],$G$1))</f>
        <v>75.590753935311625</v>
      </c>
      <c r="V19" s="2"/>
      <c r="W19" s="2">
        <v>80.582777771115516</v>
      </c>
      <c r="X19" s="2">
        <v>80.516187593052095</v>
      </c>
      <c r="Y19" s="2">
        <v>80.689340403286039</v>
      </c>
      <c r="Z19" s="2">
        <v>85.267950241166645</v>
      </c>
      <c r="AA19" s="2">
        <v>84.316442473908921</v>
      </c>
    </row>
    <row r="20" spans="1:29" ht="15" customHeight="1">
      <c r="A20" s="169"/>
      <c r="B20" s="94" t="str">
        <f>+A19</f>
        <v>FITOSANITARIOS</v>
      </c>
      <c r="C20" s="95" t="s">
        <v>202</v>
      </c>
      <c r="D20" s="98">
        <v>1</v>
      </c>
      <c r="E20" s="99">
        <f t="shared" si="0"/>
        <v>1</v>
      </c>
      <c r="G20" t="s">
        <v>203</v>
      </c>
      <c r="H20" s="110"/>
      <c r="I20" s="110"/>
      <c r="J20" s="110"/>
      <c r="K20" s="110"/>
      <c r="L20" s="110"/>
      <c r="M20" s="110">
        <v>8528.0108424000009</v>
      </c>
      <c r="N20" s="110">
        <v>10233.613010880001</v>
      </c>
      <c r="O20" s="110">
        <v>8528.0108424000009</v>
      </c>
      <c r="P20" s="110"/>
      <c r="Q20" s="110">
        <v>15350.41951632</v>
      </c>
      <c r="R20" s="110"/>
      <c r="S20" s="110"/>
      <c r="T20" s="110">
        <v>42640.054212000003</v>
      </c>
      <c r="U20" s="111">
        <f>+IF($G$1="(Todas)",(T20/SUM(TablaGeneral[Has])),T20/SUMIFS(TablaGeneral[Has],TablaGeneral[Ref 3],$G$1))</f>
        <v>111.57241603689214</v>
      </c>
      <c r="V20" s="2"/>
      <c r="W20" s="2">
        <v>112.79999999999997</v>
      </c>
      <c r="X20" s="2">
        <v>112.8</v>
      </c>
      <c r="Y20" s="2">
        <v>112.8</v>
      </c>
      <c r="Z20" s="2">
        <v>129.69527799999997</v>
      </c>
      <c r="AA20" s="2">
        <v>128.24800427001571</v>
      </c>
    </row>
    <row r="21" spans="1:29" ht="15" customHeight="1">
      <c r="A21" s="169"/>
      <c r="B21" s="94" t="str">
        <f>+A19</f>
        <v>FITOSANITARIOS</v>
      </c>
      <c r="C21" s="95" t="s">
        <v>203</v>
      </c>
      <c r="D21" s="98">
        <v>1</v>
      </c>
      <c r="E21" s="99">
        <f t="shared" si="0"/>
        <v>1</v>
      </c>
      <c r="G21" t="s">
        <v>204</v>
      </c>
      <c r="H21" s="110"/>
      <c r="I21" s="110"/>
      <c r="J21" s="110"/>
      <c r="K21" s="110"/>
      <c r="L21" s="110"/>
      <c r="M21" s="110">
        <v>3989.916777174265</v>
      </c>
      <c r="N21" s="110">
        <v>4787.9001326091175</v>
      </c>
      <c r="O21" s="110">
        <v>3989.916777174265</v>
      </c>
      <c r="P21" s="110"/>
      <c r="Q21" s="110">
        <v>7181.8501989136776</v>
      </c>
      <c r="R21" s="110"/>
      <c r="S21" s="110"/>
      <c r="T21" s="110">
        <v>19949.583885871325</v>
      </c>
      <c r="U21" s="111">
        <f>+IF($G$1="(Todas)",(T21/SUM(TablaGeneral[Has])),T21/SUMIFS(TablaGeneral[Has],TablaGeneral[Ref 3],$G$1))</f>
        <v>52.200291819772382</v>
      </c>
      <c r="V21" s="2"/>
      <c r="W21" s="2">
        <v>70.986224717277807</v>
      </c>
      <c r="X21" s="2">
        <v>70.986224717277821</v>
      </c>
      <c r="Y21" s="2">
        <v>70.986224717277821</v>
      </c>
      <c r="Z21" s="2">
        <v>49.29653427857528</v>
      </c>
      <c r="AA21" s="2">
        <v>48.746432685511493</v>
      </c>
    </row>
    <row r="22" spans="1:29" ht="15" customHeight="1">
      <c r="A22" s="169"/>
      <c r="B22" s="94" t="str">
        <f>+A19</f>
        <v>FITOSANITARIOS</v>
      </c>
      <c r="C22" s="95" t="s">
        <v>204</v>
      </c>
      <c r="D22" s="98">
        <v>1</v>
      </c>
      <c r="E22" s="99">
        <f t="shared" si="0"/>
        <v>1</v>
      </c>
      <c r="G22" t="s">
        <v>205</v>
      </c>
      <c r="H22" s="110"/>
      <c r="I22" s="110"/>
      <c r="J22" s="110"/>
      <c r="K22" s="110"/>
      <c r="L22" s="110"/>
      <c r="M22" s="110">
        <v>1680.9219419084802</v>
      </c>
      <c r="N22" s="110">
        <v>2017.1063302901762</v>
      </c>
      <c r="O22" s="110">
        <v>1680.9219419084802</v>
      </c>
      <c r="P22" s="110"/>
      <c r="Q22" s="110">
        <v>3025.659495435264</v>
      </c>
      <c r="R22" s="110"/>
      <c r="S22" s="110"/>
      <c r="T22" s="110">
        <v>8404.6097095424011</v>
      </c>
      <c r="U22" s="111">
        <f>+IF($G$1="(Todas)",(T22/SUM(TablaGeneral[Has])),T22/SUMIFS(TablaGeneral[Has],TablaGeneral[Ref 3],$G$1))</f>
        <v>21.99159050029699</v>
      </c>
      <c r="V22" s="2"/>
      <c r="W22" s="2">
        <v>12.06444584218352</v>
      </c>
      <c r="X22" s="2">
        <v>12.353457171215881</v>
      </c>
      <c r="Y22" s="2">
        <v>12.0251110978342</v>
      </c>
      <c r="Z22" s="2">
        <v>31.869935322933326</v>
      </c>
      <c r="AA22" s="2">
        <v>31.51429770157614</v>
      </c>
    </row>
    <row r="23" spans="1:29" ht="15" customHeight="1">
      <c r="A23" s="169"/>
      <c r="B23" s="94" t="str">
        <f>+A19</f>
        <v>FITOSANITARIOS</v>
      </c>
      <c r="C23" s="95" t="s">
        <v>205</v>
      </c>
      <c r="D23" s="98">
        <v>1</v>
      </c>
      <c r="E23" s="99">
        <f t="shared" si="0"/>
        <v>1</v>
      </c>
      <c r="G23" t="s">
        <v>206</v>
      </c>
      <c r="H23" s="110"/>
      <c r="I23" s="110"/>
      <c r="J23" s="110"/>
      <c r="K23" s="110"/>
      <c r="L23" s="110"/>
      <c r="M23" s="110">
        <v>3770.6274103934834</v>
      </c>
      <c r="N23" s="110">
        <v>4524.7528924721792</v>
      </c>
      <c r="O23" s="110">
        <v>3770.6274103934834</v>
      </c>
      <c r="P23" s="110"/>
      <c r="Q23" s="110">
        <v>6787.1293387082696</v>
      </c>
      <c r="R23" s="110"/>
      <c r="S23" s="110"/>
      <c r="T23" s="110">
        <v>18853.137051967416</v>
      </c>
      <c r="U23" s="111">
        <f>+IF($G$1="(Todas)",(T23/SUM(TablaGeneral[Has])),T23/SUMIFS(TablaGeneral[Has],TablaGeneral[Ref 3],$G$1))</f>
        <v>49.331317458097381</v>
      </c>
      <c r="V23" s="2"/>
      <c r="W23" s="2">
        <v>51.611442781972528</v>
      </c>
      <c r="X23" s="2">
        <v>51.584515167493784</v>
      </c>
      <c r="Y23" s="2">
        <v>51.467721219193429</v>
      </c>
      <c r="Z23" s="2">
        <v>56.281545817328634</v>
      </c>
      <c r="AA23" s="2">
        <v>55.653498258462797</v>
      </c>
    </row>
    <row r="24" spans="1:29" ht="15" customHeight="1">
      <c r="A24" s="169"/>
      <c r="B24" s="94" t="str">
        <f>+A19</f>
        <v>FITOSANITARIOS</v>
      </c>
      <c r="C24" s="95" t="s">
        <v>206</v>
      </c>
      <c r="D24" s="98">
        <v>1</v>
      </c>
      <c r="E24" s="99">
        <f t="shared" si="0"/>
        <v>1</v>
      </c>
      <c r="F24" t="s">
        <v>348</v>
      </c>
      <c r="G24" t="s">
        <v>131</v>
      </c>
      <c r="H24" s="110"/>
      <c r="I24" s="110"/>
      <c r="J24" s="110"/>
      <c r="K24" s="110"/>
      <c r="L24" s="110"/>
      <c r="M24" s="110"/>
      <c r="N24" s="110"/>
      <c r="O24" s="110"/>
      <c r="P24" s="110">
        <v>52259.711737100122</v>
      </c>
      <c r="Q24" s="110">
        <v>93926.511466658601</v>
      </c>
      <c r="R24" s="110">
        <v>62408.000746367805</v>
      </c>
      <c r="S24" s="110">
        <v>0</v>
      </c>
      <c r="T24" s="110">
        <v>208594.2239501265</v>
      </c>
      <c r="U24" s="111">
        <f>+IF($G$1="(Todas)",(T24/SUM(TablaGeneral[Has])),T24/SUMIFS(TablaGeneral[Has],TablaGeneral[Ref 3],$G$1))</f>
        <v>545.80984868697567</v>
      </c>
      <c r="V24" s="2"/>
      <c r="W24" s="2">
        <v>777.9131050665045</v>
      </c>
      <c r="X24" s="2">
        <v>874.06665861913984</v>
      </c>
      <c r="Y24" s="2">
        <v>794.06647740877861</v>
      </c>
      <c r="Z24" s="2">
        <v>419.447145807065</v>
      </c>
      <c r="AA24" s="146">
        <v>386.30732279432641</v>
      </c>
      <c r="AB24" s="138"/>
    </row>
    <row r="25" spans="1:29" ht="15" customHeight="1">
      <c r="A25" s="168" t="s">
        <v>348</v>
      </c>
      <c r="B25" s="96" t="str">
        <f>+A25</f>
        <v>COSECHA</v>
      </c>
      <c r="C25" s="95" t="s">
        <v>349</v>
      </c>
      <c r="D25" s="98">
        <v>1</v>
      </c>
      <c r="E25" s="99">
        <f t="shared" si="0"/>
        <v>1</v>
      </c>
      <c r="G25" t="s">
        <v>350</v>
      </c>
      <c r="H25" s="110"/>
      <c r="I25" s="110"/>
      <c r="J25" s="110"/>
      <c r="K25" s="110"/>
      <c r="L25" s="110"/>
      <c r="M25" s="110"/>
      <c r="N25" s="110"/>
      <c r="O25" s="110"/>
      <c r="P25" s="110">
        <v>2024.3155268922612</v>
      </c>
      <c r="Q25" s="110">
        <v>2024.3127213041857</v>
      </c>
      <c r="R25" s="110">
        <v>2024.3099434942098</v>
      </c>
      <c r="S25" s="110">
        <v>0</v>
      </c>
      <c r="T25" s="110">
        <v>6072.9381916906568</v>
      </c>
      <c r="U25" s="111">
        <f>+IF($G$1="(Todas)",(T25/SUM(TablaGeneral[Has])),T25/SUMIFS(TablaGeneral[Has],TablaGeneral[Ref 3],$G$1))</f>
        <v>15.890514189331286</v>
      </c>
      <c r="V25" s="2"/>
      <c r="W25" s="2">
        <v>62.502236501645626</v>
      </c>
      <c r="X25" s="2">
        <v>62.923723422024175</v>
      </c>
      <c r="Y25" s="2">
        <v>42.283278983697215</v>
      </c>
      <c r="Z25" s="2">
        <v>12.929899598317251</v>
      </c>
      <c r="AA25" s="146">
        <v>19.289628633596582</v>
      </c>
      <c r="AC25" s="139"/>
    </row>
    <row r="26" spans="1:29" ht="15" customHeight="1">
      <c r="A26" s="168"/>
      <c r="B26" s="96" t="str">
        <f>+A25</f>
        <v>COSECHA</v>
      </c>
      <c r="C26" s="95" t="s">
        <v>350</v>
      </c>
      <c r="D26" s="98">
        <v>1</v>
      </c>
      <c r="E26" s="99">
        <f t="shared" si="0"/>
        <v>1</v>
      </c>
      <c r="G26" t="s">
        <v>349</v>
      </c>
      <c r="H26" s="110"/>
      <c r="I26" s="110"/>
      <c r="J26" s="110"/>
      <c r="K26" s="110"/>
      <c r="L26" s="110"/>
      <c r="M26" s="110"/>
      <c r="N26" s="110"/>
      <c r="O26" s="110"/>
      <c r="P26" s="110">
        <v>3300</v>
      </c>
      <c r="Q26" s="110">
        <v>2850</v>
      </c>
      <c r="R26" s="110">
        <v>2850</v>
      </c>
      <c r="S26" s="110">
        <v>0</v>
      </c>
      <c r="T26" s="110">
        <v>9000</v>
      </c>
      <c r="U26" s="111">
        <f>+IF($G$1="(Todas)",(T26/SUM(TablaGeneral[Has])),T26/SUMIFS(TablaGeneral[Has],TablaGeneral[Ref 3],$G$1))</f>
        <v>23.54949502032845</v>
      </c>
      <c r="V26" s="2"/>
      <c r="W26" s="2">
        <v>68.136600256193617</v>
      </c>
      <c r="X26" s="2">
        <v>74.441687344913149</v>
      </c>
      <c r="Y26" s="2">
        <v>56.011949215832708</v>
      </c>
      <c r="Z26" s="2">
        <v>0</v>
      </c>
      <c r="AA26" s="146">
        <v>0</v>
      </c>
    </row>
    <row r="27" spans="1:29" ht="15" customHeight="1">
      <c r="A27" s="168"/>
      <c r="B27" s="96" t="str">
        <f>+A25</f>
        <v>COSECHA</v>
      </c>
      <c r="C27" s="95" t="s">
        <v>131</v>
      </c>
      <c r="D27" s="98">
        <v>1</v>
      </c>
      <c r="E27" s="99">
        <f t="shared" si="0"/>
        <v>1</v>
      </c>
      <c r="G27" t="s">
        <v>351</v>
      </c>
      <c r="H27" s="110"/>
      <c r="I27" s="110"/>
      <c r="J27" s="110"/>
      <c r="K27" s="110"/>
      <c r="L27" s="110"/>
      <c r="M27" s="110"/>
      <c r="N27" s="110"/>
      <c r="O27" s="110"/>
      <c r="P27" s="110">
        <v>3824.8459396276885</v>
      </c>
      <c r="Q27" s="110">
        <v>3817.7172801284382</v>
      </c>
      <c r="R27" s="110">
        <v>3698.2663930831536</v>
      </c>
      <c r="S27" s="110">
        <v>0</v>
      </c>
      <c r="T27" s="110">
        <v>11340.829612839279</v>
      </c>
      <c r="U27" s="111">
        <f>+IF($G$1="(Todas)",(T27/SUM(TablaGeneral[Has])),T27/SUMIFS(TablaGeneral[Has],TablaGeneral[Ref 3],$G$1))</f>
        <v>29.674534499328004</v>
      </c>
      <c r="V27" s="2"/>
      <c r="W27" s="2">
        <v>0</v>
      </c>
      <c r="X27" s="2">
        <v>53.068695547446865</v>
      </c>
      <c r="Y27" s="2">
        <v>343.62065654507734</v>
      </c>
      <c r="Z27" s="2">
        <v>0</v>
      </c>
      <c r="AA27" s="146">
        <v>0</v>
      </c>
    </row>
    <row r="28" spans="1:29" ht="15" customHeight="1">
      <c r="A28" s="168"/>
      <c r="B28" s="96" t="str">
        <f>+A25</f>
        <v>COSECHA</v>
      </c>
      <c r="C28" s="95" t="s">
        <v>351</v>
      </c>
      <c r="D28" s="98">
        <v>1</v>
      </c>
      <c r="E28" s="99">
        <f t="shared" si="0"/>
        <v>1</v>
      </c>
      <c r="F28" t="s">
        <v>352</v>
      </c>
      <c r="G28" t="s">
        <v>353</v>
      </c>
      <c r="H28" s="110"/>
      <c r="I28" s="110"/>
      <c r="J28" s="110"/>
      <c r="K28" s="110"/>
      <c r="L28" s="110"/>
      <c r="M28" s="110"/>
      <c r="N28" s="110"/>
      <c r="O28" s="110">
        <v>2949.9</v>
      </c>
      <c r="P28" s="110">
        <v>11949.9</v>
      </c>
      <c r="Q28" s="110">
        <v>11949.9</v>
      </c>
      <c r="R28" s="110">
        <v>5974.95</v>
      </c>
      <c r="S28" s="110"/>
      <c r="T28" s="110">
        <v>32824.649999999994</v>
      </c>
      <c r="U28" s="111">
        <f>+IF($G$1="(Todas)",(T28/SUM(TablaGeneral[Has])),T28/SUMIFS(TablaGeneral[Has],TablaGeneral[Ref 3],$G$1))</f>
        <v>85.889325746558228</v>
      </c>
      <c r="V28" s="2"/>
      <c r="W28" s="2">
        <v>170.34150064048404</v>
      </c>
      <c r="X28" s="2">
        <v>167.49379652605458</v>
      </c>
      <c r="Y28" s="2">
        <v>168.03584764749812</v>
      </c>
      <c r="Z28" s="2">
        <v>48.474999999999994</v>
      </c>
      <c r="AA28" s="146">
        <v>30.826855123674903</v>
      </c>
    </row>
    <row r="29" spans="1:29" ht="15" customHeight="1">
      <c r="A29" s="168" t="s">
        <v>352</v>
      </c>
      <c r="B29" s="96" t="str">
        <f>+A29</f>
        <v>SECADO</v>
      </c>
      <c r="C29" s="95" t="s">
        <v>353</v>
      </c>
      <c r="D29" s="98">
        <v>1</v>
      </c>
      <c r="E29" s="99">
        <f t="shared" si="0"/>
        <v>1</v>
      </c>
      <c r="G29" t="s">
        <v>354</v>
      </c>
      <c r="H29" s="110">
        <v>632.34369752939847</v>
      </c>
      <c r="I29" s="110">
        <v>544.42547038941689</v>
      </c>
      <c r="J29" s="110">
        <v>0</v>
      </c>
      <c r="K29" s="110">
        <v>0</v>
      </c>
      <c r="L29" s="110">
        <v>43.958940912038287</v>
      </c>
      <c r="M29" s="110">
        <v>0</v>
      </c>
      <c r="N29" s="110">
        <v>0</v>
      </c>
      <c r="O29" s="110">
        <v>14.652964091943655</v>
      </c>
      <c r="P29" s="110">
        <v>363.19397935274912</v>
      </c>
      <c r="Q29" s="110">
        <v>1194.6816708142819</v>
      </c>
      <c r="R29" s="110">
        <v>1110.4005130672178</v>
      </c>
      <c r="S29" s="110">
        <v>690.95290391451977</v>
      </c>
      <c r="T29" s="110">
        <v>4594.6101400715661</v>
      </c>
      <c r="U29" s="111">
        <f>+IF($G$1="(Todas)",(T29/SUM(TablaGeneral[Has])),T29/SUMIFS(TablaGeneral[Has],TablaGeneral[Ref 3],$G$1))</f>
        <v>12.022305401551771</v>
      </c>
      <c r="V29" s="2"/>
      <c r="W29" s="2">
        <v>41.774623740026669</v>
      </c>
      <c r="X29" s="2">
        <v>14.0952217220597</v>
      </c>
      <c r="Y29" s="2">
        <v>9.9975518491433881</v>
      </c>
      <c r="Z29" s="2">
        <v>2.4644453654626912</v>
      </c>
      <c r="AA29" s="146">
        <v>16.812438857510699</v>
      </c>
    </row>
    <row r="30" spans="1:29" ht="15" customHeight="1">
      <c r="A30" s="168"/>
      <c r="B30" s="96" t="str">
        <f>+A29</f>
        <v>SECADO</v>
      </c>
      <c r="C30" s="95" t="s">
        <v>354</v>
      </c>
      <c r="D30" s="98">
        <v>1</v>
      </c>
      <c r="E30" s="99">
        <f t="shared" si="0"/>
        <v>1</v>
      </c>
      <c r="G30" t="s">
        <v>355</v>
      </c>
      <c r="H30" s="110">
        <v>0</v>
      </c>
      <c r="I30" s="110">
        <v>0</v>
      </c>
      <c r="J30" s="110">
        <v>0</v>
      </c>
      <c r="K30" s="110">
        <v>0</v>
      </c>
      <c r="L30" s="110">
        <v>0</v>
      </c>
      <c r="M30" s="110">
        <v>0</v>
      </c>
      <c r="N30" s="110">
        <v>0</v>
      </c>
      <c r="O30" s="110">
        <v>0</v>
      </c>
      <c r="P30" s="110">
        <v>0</v>
      </c>
      <c r="Q30" s="110">
        <v>0</v>
      </c>
      <c r="R30" s="110">
        <v>0</v>
      </c>
      <c r="S30" s="110">
        <v>0</v>
      </c>
      <c r="T30" s="110">
        <v>0</v>
      </c>
      <c r="U30" s="111">
        <f>+IF($G$1="(Todas)",(T30/SUM(TablaGeneral[Has])),T30/SUMIFS(TablaGeneral[Has],TablaGeneral[Ref 3],$G$1))</f>
        <v>0</v>
      </c>
      <c r="V30" s="2"/>
      <c r="W30" s="2">
        <v>0</v>
      </c>
      <c r="X30" s="2">
        <v>0</v>
      </c>
      <c r="Y30" s="2">
        <v>0</v>
      </c>
      <c r="Z30" s="2">
        <v>0</v>
      </c>
      <c r="AA30" s="146">
        <v>0</v>
      </c>
    </row>
    <row r="31" spans="1:29">
      <c r="A31" s="168"/>
      <c r="B31" s="96" t="str">
        <f>+A29</f>
        <v>SECADO</v>
      </c>
      <c r="C31" s="95" t="s">
        <v>355</v>
      </c>
      <c r="D31" s="98">
        <v>1</v>
      </c>
      <c r="E31" s="99">
        <f t="shared" si="0"/>
        <v>1</v>
      </c>
      <c r="G31" t="s">
        <v>133</v>
      </c>
      <c r="H31" s="110">
        <v>5868.4956497886924</v>
      </c>
      <c r="I31" s="110">
        <v>5087.1649928705829</v>
      </c>
      <c r="J31" s="110">
        <v>0</v>
      </c>
      <c r="K31" s="110">
        <v>0</v>
      </c>
      <c r="L31" s="110">
        <v>419.15045278753786</v>
      </c>
      <c r="M31" s="110">
        <v>0</v>
      </c>
      <c r="N31" s="110">
        <v>0</v>
      </c>
      <c r="O31" s="110">
        <v>142.58088243075457</v>
      </c>
      <c r="P31" s="110">
        <v>3558.1581239338693</v>
      </c>
      <c r="Q31" s="110">
        <v>11782.659669272551</v>
      </c>
      <c r="R31" s="110">
        <v>11026.502517734629</v>
      </c>
      <c r="S31" s="110">
        <v>6907.5551089833789</v>
      </c>
      <c r="T31" s="110">
        <v>44792.267397801988</v>
      </c>
      <c r="U31" s="111">
        <f>+IF($G$1="(Todas)",(T31/SUM(TablaGeneral[Has])),T31/SUMIFS(TablaGeneral[Has],TablaGeneral[Ref 3],$G$1))</f>
        <v>117.2039197815287</v>
      </c>
      <c r="V31" s="2"/>
      <c r="W31" s="2">
        <v>239.10496750022716</v>
      </c>
      <c r="X31" s="2">
        <v>140.77198986087427</v>
      </c>
      <c r="Y31" s="2">
        <v>218</v>
      </c>
      <c r="Z31" s="2">
        <v>30.877208018169924</v>
      </c>
      <c r="AA31" s="146">
        <v>129.88897870675552</v>
      </c>
    </row>
    <row r="32" spans="1:29">
      <c r="A32" s="168"/>
      <c r="B32" s="96" t="str">
        <f>+A29</f>
        <v>SECADO</v>
      </c>
      <c r="C32" s="95" t="s">
        <v>133</v>
      </c>
      <c r="D32" s="98">
        <v>1</v>
      </c>
      <c r="E32" s="99">
        <f t="shared" si="0"/>
        <v>1</v>
      </c>
      <c r="F32" t="s">
        <v>356</v>
      </c>
      <c r="G32" t="s">
        <v>357</v>
      </c>
      <c r="H32" s="110">
        <v>14132</v>
      </c>
      <c r="I32" s="110">
        <v>24510</v>
      </c>
      <c r="J32" s="110">
        <v>137900</v>
      </c>
      <c r="K32" s="110">
        <v>91135</v>
      </c>
      <c r="L32" s="110">
        <v>201483</v>
      </c>
      <c r="M32" s="110">
        <v>36667</v>
      </c>
      <c r="N32" s="110">
        <v>114466</v>
      </c>
      <c r="O32" s="110">
        <v>33565</v>
      </c>
      <c r="P32" s="110"/>
      <c r="Q32" s="110"/>
      <c r="R32" s="110"/>
      <c r="S32" s="110"/>
      <c r="T32" s="110">
        <v>653858</v>
      </c>
      <c r="U32" s="111">
        <f>+IF($G$1="(Todas)",(T32/SUM(TablaGeneral[Has])),T32/SUMIFS(TablaGeneral[Has],TablaGeneral[Ref 3],$G$1))</f>
        <v>1710.8917461113244</v>
      </c>
      <c r="V32" s="2"/>
      <c r="W32" s="2">
        <v>1555.0891983804686</v>
      </c>
      <c r="X32" s="2">
        <v>3068.3622828784114</v>
      </c>
      <c r="Y32" s="2">
        <v>3918.7826736370425</v>
      </c>
      <c r="Z32" s="2">
        <v>1612.8066666666664</v>
      </c>
      <c r="AA32" s="146">
        <v>814.06360424028264</v>
      </c>
    </row>
    <row r="33" spans="1:27">
      <c r="A33" s="97" t="s">
        <v>356</v>
      </c>
      <c r="B33" s="97" t="str">
        <f>+A33</f>
        <v>INVERSIONES</v>
      </c>
      <c r="C33" s="95" t="s">
        <v>357</v>
      </c>
      <c r="D33" s="98">
        <v>1</v>
      </c>
      <c r="E33" s="99">
        <f t="shared" si="0"/>
        <v>1</v>
      </c>
      <c r="F33" t="s">
        <v>377</v>
      </c>
      <c r="H33" s="110">
        <v>114610.69992498458</v>
      </c>
      <c r="I33" s="110">
        <v>162284.66106565745</v>
      </c>
      <c r="J33" s="110">
        <v>242789.01203143346</v>
      </c>
      <c r="K33" s="110">
        <v>223332.40993272653</v>
      </c>
      <c r="L33" s="110">
        <v>312434.20861185889</v>
      </c>
      <c r="M33" s="110">
        <v>190674.49793743328</v>
      </c>
      <c r="N33" s="110">
        <v>289266.29317160451</v>
      </c>
      <c r="O33" s="110">
        <v>253561.17125111294</v>
      </c>
      <c r="P33" s="110">
        <v>215869.4901093381</v>
      </c>
      <c r="Q33" s="110">
        <v>310336.54953896703</v>
      </c>
      <c r="R33" s="110">
        <v>235334.73537243024</v>
      </c>
      <c r="S33" s="110">
        <v>499608.6481574098</v>
      </c>
      <c r="T33" s="110">
        <v>3050102.3771049567</v>
      </c>
      <c r="U33" s="111">
        <f>+IF($G$1="(Todas)",(T33/SUM(TablaGeneral[Has])),T33/SUMIFS(TablaGeneral[Has],TablaGeneral[Ref 3],$G$1))</f>
        <v>7980.9300823472377</v>
      </c>
      <c r="V33" s="2"/>
      <c r="W33" s="2">
        <v>8531.0788195217501</v>
      </c>
      <c r="X33" s="2">
        <v>10241.549694058062</v>
      </c>
      <c r="Y33" s="2">
        <v>10414.690068013171</v>
      </c>
      <c r="Z33" s="2">
        <v>8793.7087917512326</v>
      </c>
      <c r="AA33" s="2">
        <v>5592.9397932007541</v>
      </c>
    </row>
    <row r="34" spans="1:27">
      <c r="D34" s="98"/>
    </row>
    <row r="35" spans="1:27">
      <c r="A35" s="161" t="s">
        <v>417</v>
      </c>
      <c r="B35" s="161"/>
      <c r="C35" s="161"/>
      <c r="D35" s="98">
        <v>1</v>
      </c>
      <c r="E35" s="99">
        <f t="shared" si="0"/>
        <v>1</v>
      </c>
    </row>
    <row r="36" spans="1:27">
      <c r="A36" s="161" t="s">
        <v>418</v>
      </c>
      <c r="B36" s="161"/>
      <c r="C36" s="161"/>
      <c r="D36" s="98">
        <v>1</v>
      </c>
      <c r="E36" s="99">
        <f t="shared" si="0"/>
        <v>1</v>
      </c>
    </row>
    <row r="37" spans="1:27">
      <c r="A37" s="161" t="s">
        <v>419</v>
      </c>
      <c r="B37" s="161"/>
      <c r="C37" s="161"/>
      <c r="D37" s="98">
        <v>1</v>
      </c>
      <c r="E37" s="99">
        <f t="shared" si="0"/>
        <v>1</v>
      </c>
    </row>
    <row r="38" spans="1:27">
      <c r="A38" s="161" t="s">
        <v>105</v>
      </c>
      <c r="B38" s="161"/>
      <c r="C38" s="161"/>
      <c r="D38" s="98"/>
      <c r="E38" s="99">
        <f t="shared" si="0"/>
        <v>0</v>
      </c>
    </row>
  </sheetData>
  <mergeCells count="12">
    <mergeCell ref="A35:C35"/>
    <mergeCell ref="A36:C36"/>
    <mergeCell ref="A37:C37"/>
    <mergeCell ref="A38:C38"/>
    <mergeCell ref="A1:E4"/>
    <mergeCell ref="A29:A32"/>
    <mergeCell ref="A5:A6"/>
    <mergeCell ref="A7:A11"/>
    <mergeCell ref="A12:A15"/>
    <mergeCell ref="A17:A18"/>
    <mergeCell ref="A19:A24"/>
    <mergeCell ref="A25:A28"/>
  </mergeCells>
  <conditionalFormatting sqref="A1">
    <cfRule type="dataBar" priority="4">
      <dataBar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{4FE6CFDB-C3C8-4808-97A2-BF2EE34F9DCF}</x14:id>
        </ext>
      </extLst>
    </cfRule>
  </conditionalFormatting>
  <conditionalFormatting sqref="E5:E33">
    <cfRule type="iconSet" priority="3">
      <iconSet iconSet="3Symbols2">
        <cfvo type="percent" val="0"/>
        <cfvo type="num" val="0"/>
        <cfvo type="num" val="1"/>
      </iconSet>
    </cfRule>
  </conditionalFormatting>
  <conditionalFormatting pivot="1" sqref="H7:T13 H17:T17 H24:T31">
    <cfRule type="containsBlanks" dxfId="53" priority="2">
      <formula>LEN(TRIM(H7))=0</formula>
    </cfRule>
  </conditionalFormatting>
  <conditionalFormatting sqref="E35:E38">
    <cfRule type="iconSet" priority="1">
      <iconSet iconSet="3Symbols2">
        <cfvo type="percent" val="0"/>
        <cfvo type="num" val="0"/>
        <cfvo type="num" val="1"/>
      </iconSe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E6CFDB-C3C8-4808-97A2-BF2EE34F9DC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A1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121"/>
  <sheetViews>
    <sheetView topLeftCell="A100" workbookViewId="0">
      <selection activeCell="C121" sqref="C121"/>
    </sheetView>
  </sheetViews>
  <sheetFormatPr baseColWidth="10" defaultRowHeight="15"/>
  <cols>
    <col min="2" max="2" width="16.42578125" bestFit="1" customWidth="1"/>
    <col min="3" max="3" width="12" bestFit="1" customWidth="1"/>
    <col min="4" max="4" width="22.85546875" bestFit="1" customWidth="1"/>
  </cols>
  <sheetData>
    <row r="1" spans="1:4">
      <c r="A1" t="s">
        <v>365</v>
      </c>
      <c r="B1" t="s">
        <v>0</v>
      </c>
      <c r="C1" t="s">
        <v>366</v>
      </c>
      <c r="D1" t="s">
        <v>364</v>
      </c>
    </row>
    <row r="2" spans="1:4">
      <c r="A2" t="s">
        <v>88</v>
      </c>
      <c r="B2" t="s">
        <v>8</v>
      </c>
      <c r="C2" s="129">
        <v>2415.6697909494233</v>
      </c>
      <c r="D2" t="s">
        <v>342</v>
      </c>
    </row>
    <row r="3" spans="1:4">
      <c r="A3" t="s">
        <v>89</v>
      </c>
      <c r="B3" t="s">
        <v>8</v>
      </c>
      <c r="C3" s="129">
        <v>740.63704809052342</v>
      </c>
      <c r="D3" t="s">
        <v>342</v>
      </c>
    </row>
    <row r="4" spans="1:4">
      <c r="A4" t="s">
        <v>90</v>
      </c>
      <c r="B4" t="s">
        <v>8</v>
      </c>
      <c r="C4" s="129">
        <v>546.31962115167471</v>
      </c>
      <c r="D4" t="s">
        <v>342</v>
      </c>
    </row>
    <row r="5" spans="1:4">
      <c r="A5" t="s">
        <v>91</v>
      </c>
      <c r="B5" t="s">
        <v>8</v>
      </c>
      <c r="C5" s="129">
        <v>1592.1589018118514</v>
      </c>
      <c r="D5" t="s">
        <v>342</v>
      </c>
    </row>
    <row r="6" spans="1:4">
      <c r="A6" t="s">
        <v>92</v>
      </c>
      <c r="B6" t="s">
        <v>8</v>
      </c>
      <c r="C6" s="129">
        <v>2302.3274296360291</v>
      </c>
      <c r="D6" t="s">
        <v>342</v>
      </c>
    </row>
    <row r="7" spans="1:4">
      <c r="A7" t="s">
        <v>93</v>
      </c>
      <c r="B7" t="s">
        <v>8</v>
      </c>
      <c r="C7" s="129">
        <v>1764.6699098016159</v>
      </c>
      <c r="D7" t="s">
        <v>342</v>
      </c>
    </row>
    <row r="8" spans="1:4">
      <c r="A8" t="s">
        <v>94</v>
      </c>
      <c r="B8" t="s">
        <v>8</v>
      </c>
      <c r="C8" s="129">
        <v>1379.3127839158635</v>
      </c>
      <c r="D8" t="s">
        <v>342</v>
      </c>
    </row>
    <row r="9" spans="1:4">
      <c r="A9" t="s">
        <v>95</v>
      </c>
      <c r="B9" t="s">
        <v>8</v>
      </c>
      <c r="C9" s="129">
        <v>1834.6089345770799</v>
      </c>
      <c r="D9" t="s">
        <v>342</v>
      </c>
    </row>
    <row r="10" spans="1:4">
      <c r="A10" t="s">
        <v>96</v>
      </c>
      <c r="B10" t="s">
        <v>8</v>
      </c>
      <c r="C10" s="129">
        <v>1954.8177873043223</v>
      </c>
      <c r="D10" t="s">
        <v>342</v>
      </c>
    </row>
    <row r="11" spans="1:4">
      <c r="A11" t="s">
        <v>97</v>
      </c>
      <c r="B11" t="s">
        <v>8</v>
      </c>
      <c r="C11" s="129">
        <v>2195.0406607146774</v>
      </c>
      <c r="D11" t="s">
        <v>342</v>
      </c>
    </row>
    <row r="12" spans="1:4">
      <c r="A12" t="s">
        <v>98</v>
      </c>
      <c r="B12" t="s">
        <v>8</v>
      </c>
      <c r="C12" s="129">
        <v>1566.5789522428292</v>
      </c>
      <c r="D12" t="s">
        <v>342</v>
      </c>
    </row>
    <row r="13" spans="1:4">
      <c r="A13" t="s">
        <v>99</v>
      </c>
      <c r="B13" t="s">
        <v>8</v>
      </c>
      <c r="C13" s="129">
        <v>2091.7246910530971</v>
      </c>
      <c r="D13" t="s">
        <v>342</v>
      </c>
    </row>
    <row r="14" spans="1:4">
      <c r="A14" t="s">
        <v>88</v>
      </c>
      <c r="B14" t="s">
        <v>12</v>
      </c>
      <c r="C14" s="129">
        <v>1301.0234852706301</v>
      </c>
      <c r="D14" t="s">
        <v>342</v>
      </c>
    </row>
    <row r="15" spans="1:4">
      <c r="A15" t="s">
        <v>89</v>
      </c>
      <c r="B15" t="s">
        <v>12</v>
      </c>
      <c r="C15" s="129">
        <v>420.05214124065475</v>
      </c>
      <c r="D15" t="s">
        <v>342</v>
      </c>
    </row>
    <row r="16" spans="1:4">
      <c r="A16" t="s">
        <v>90</v>
      </c>
      <c r="B16" t="s">
        <v>12</v>
      </c>
      <c r="C16" s="129">
        <v>130.73452784480043</v>
      </c>
      <c r="D16" t="s">
        <v>342</v>
      </c>
    </row>
    <row r="17" spans="1:4">
      <c r="A17" t="s">
        <v>91</v>
      </c>
      <c r="B17" t="s">
        <v>12</v>
      </c>
      <c r="C17" s="129">
        <v>295.34943454774401</v>
      </c>
      <c r="D17" t="s">
        <v>342</v>
      </c>
    </row>
    <row r="18" spans="1:4">
      <c r="A18" t="s">
        <v>92</v>
      </c>
      <c r="B18" t="s">
        <v>12</v>
      </c>
      <c r="C18" s="129">
        <v>1268.625581547527</v>
      </c>
      <c r="D18" t="s">
        <v>342</v>
      </c>
    </row>
    <row r="19" spans="1:4">
      <c r="A19" t="s">
        <v>93</v>
      </c>
      <c r="B19" t="s">
        <v>12</v>
      </c>
      <c r="C19" s="129">
        <v>511.53042148539907</v>
      </c>
      <c r="D19" t="s">
        <v>342</v>
      </c>
    </row>
    <row r="20" spans="1:4">
      <c r="A20" t="s">
        <v>94</v>
      </c>
      <c r="B20" t="s">
        <v>12</v>
      </c>
      <c r="C20" s="129">
        <v>622.06600982816531</v>
      </c>
      <c r="D20" t="s">
        <v>342</v>
      </c>
    </row>
    <row r="21" spans="1:4">
      <c r="A21" t="s">
        <v>95</v>
      </c>
      <c r="B21" t="s">
        <v>12</v>
      </c>
      <c r="C21" s="129">
        <v>1089.82610841665</v>
      </c>
      <c r="D21" t="s">
        <v>342</v>
      </c>
    </row>
    <row r="22" spans="1:4">
      <c r="A22" t="s">
        <v>96</v>
      </c>
      <c r="B22" t="s">
        <v>12</v>
      </c>
      <c r="C22" s="129">
        <v>518.30324770779032</v>
      </c>
      <c r="D22" t="s">
        <v>342</v>
      </c>
    </row>
    <row r="23" spans="1:4">
      <c r="A23" t="s">
        <v>97</v>
      </c>
      <c r="B23" t="s">
        <v>12</v>
      </c>
      <c r="C23" s="129">
        <v>1379.90813417246</v>
      </c>
      <c r="D23" t="s">
        <v>342</v>
      </c>
    </row>
    <row r="24" spans="1:4">
      <c r="A24" t="s">
        <v>98</v>
      </c>
      <c r="B24" t="s">
        <v>12</v>
      </c>
      <c r="C24" s="129">
        <v>246.68281828979897</v>
      </c>
      <c r="D24" t="s">
        <v>342</v>
      </c>
    </row>
    <row r="25" spans="1:4">
      <c r="A25" t="s">
        <v>99</v>
      </c>
      <c r="B25" t="s">
        <v>12</v>
      </c>
      <c r="C25" s="129">
        <v>1809.097372476605</v>
      </c>
      <c r="D25" t="s">
        <v>342</v>
      </c>
    </row>
    <row r="26" spans="1:4">
      <c r="A26" t="s">
        <v>88</v>
      </c>
      <c r="B26" t="s">
        <v>4</v>
      </c>
      <c r="C26" s="129">
        <v>579.6250121561668</v>
      </c>
      <c r="D26" t="s">
        <v>342</v>
      </c>
    </row>
    <row r="27" spans="1:4">
      <c r="A27" t="s">
        <v>89</v>
      </c>
      <c r="B27" t="s">
        <v>4</v>
      </c>
      <c r="C27" s="129">
        <v>430.88015093958381</v>
      </c>
      <c r="D27" t="s">
        <v>342</v>
      </c>
    </row>
    <row r="28" spans="1:4">
      <c r="A28" t="s">
        <v>90</v>
      </c>
      <c r="B28" t="s">
        <v>4</v>
      </c>
      <c r="C28" s="129">
        <v>86.928806238614484</v>
      </c>
      <c r="D28" t="s">
        <v>342</v>
      </c>
    </row>
    <row r="29" spans="1:4">
      <c r="A29" t="s">
        <v>91</v>
      </c>
      <c r="B29" t="s">
        <v>4</v>
      </c>
      <c r="C29" s="129">
        <v>521.76680949553781</v>
      </c>
      <c r="D29" t="s">
        <v>342</v>
      </c>
    </row>
    <row r="30" spans="1:4">
      <c r="A30" t="s">
        <v>92</v>
      </c>
      <c r="B30" t="s">
        <v>4</v>
      </c>
      <c r="C30" s="129">
        <v>828.60823890391202</v>
      </c>
      <c r="D30" t="s">
        <v>342</v>
      </c>
    </row>
    <row r="31" spans="1:4">
      <c r="A31" t="s">
        <v>93</v>
      </c>
      <c r="B31" t="s">
        <v>4</v>
      </c>
      <c r="C31" s="129">
        <v>283.15307113375894</v>
      </c>
      <c r="D31" t="s">
        <v>342</v>
      </c>
    </row>
    <row r="32" spans="1:4">
      <c r="A32" t="s">
        <v>94</v>
      </c>
      <c r="B32" t="s">
        <v>4</v>
      </c>
      <c r="C32" s="129">
        <v>184.58801118655913</v>
      </c>
      <c r="D32" t="s">
        <v>342</v>
      </c>
    </row>
    <row r="33" spans="1:4">
      <c r="A33" t="s">
        <v>95</v>
      </c>
      <c r="B33" t="s">
        <v>4</v>
      </c>
      <c r="C33" s="129">
        <v>2052.2525155004246</v>
      </c>
      <c r="D33" t="s">
        <v>342</v>
      </c>
    </row>
    <row r="34" spans="1:4">
      <c r="A34" t="s">
        <v>96</v>
      </c>
      <c r="B34" t="s">
        <v>4</v>
      </c>
      <c r="C34" s="129">
        <v>316.2221861229653</v>
      </c>
      <c r="D34" t="s">
        <v>342</v>
      </c>
    </row>
    <row r="35" spans="1:4">
      <c r="A35" t="s">
        <v>97</v>
      </c>
      <c r="B35" t="s">
        <v>4</v>
      </c>
      <c r="C35" s="129">
        <v>1535.5744496495474</v>
      </c>
      <c r="D35" t="s">
        <v>342</v>
      </c>
    </row>
    <row r="36" spans="1:4">
      <c r="A36" t="s">
        <v>98</v>
      </c>
      <c r="B36" t="s">
        <v>4</v>
      </c>
      <c r="C36" s="129">
        <v>5.2941918834970245</v>
      </c>
      <c r="D36" t="s">
        <v>342</v>
      </c>
    </row>
    <row r="37" spans="1:4">
      <c r="A37" t="s">
        <v>99</v>
      </c>
      <c r="B37" t="s">
        <v>4</v>
      </c>
      <c r="C37" s="129">
        <v>1213.3719566173777</v>
      </c>
      <c r="D37" t="s">
        <v>342</v>
      </c>
    </row>
    <row r="38" spans="1:4">
      <c r="A38" t="s">
        <v>88</v>
      </c>
      <c r="B38" t="s">
        <v>373</v>
      </c>
      <c r="C38" s="129">
        <v>579.03847684117125</v>
      </c>
      <c r="D38" t="s">
        <v>342</v>
      </c>
    </row>
    <row r="39" spans="1:4">
      <c r="A39" t="s">
        <v>89</v>
      </c>
      <c r="B39" t="s">
        <v>373</v>
      </c>
      <c r="C39" s="129">
        <v>239.48500969892913</v>
      </c>
      <c r="D39" t="s">
        <v>342</v>
      </c>
    </row>
    <row r="40" spans="1:4">
      <c r="A40" t="s">
        <v>90</v>
      </c>
      <c r="B40" t="s">
        <v>373</v>
      </c>
      <c r="C40" s="129">
        <v>882.12688854642795</v>
      </c>
      <c r="D40" t="s">
        <v>342</v>
      </c>
    </row>
    <row r="41" spans="1:4">
      <c r="A41" t="s">
        <v>91</v>
      </c>
      <c r="B41" t="s">
        <v>373</v>
      </c>
      <c r="C41" s="129">
        <v>198.03450503438177</v>
      </c>
      <c r="D41" t="s">
        <v>342</v>
      </c>
    </row>
    <row r="42" spans="1:4">
      <c r="A42" t="s">
        <v>92</v>
      </c>
      <c r="B42" t="s">
        <v>373</v>
      </c>
      <c r="C42" s="129">
        <v>1995.2183558650472</v>
      </c>
      <c r="D42" t="s">
        <v>342</v>
      </c>
    </row>
    <row r="43" spans="1:4">
      <c r="A43" t="s">
        <v>93</v>
      </c>
      <c r="B43" t="s">
        <v>373</v>
      </c>
      <c r="C43" s="129">
        <v>4108.8561606463918</v>
      </c>
      <c r="D43" t="s">
        <v>342</v>
      </c>
    </row>
    <row r="44" spans="1:4">
      <c r="A44" t="s">
        <v>94</v>
      </c>
      <c r="B44" t="s">
        <v>373</v>
      </c>
      <c r="C44" s="129">
        <v>1115.4539230789674</v>
      </c>
      <c r="D44" t="s">
        <v>342</v>
      </c>
    </row>
    <row r="45" spans="1:4">
      <c r="A45" t="s">
        <v>95</v>
      </c>
      <c r="B45" t="s">
        <v>373</v>
      </c>
      <c r="C45" s="129">
        <v>4087.2827653651502</v>
      </c>
      <c r="D45" t="s">
        <v>342</v>
      </c>
    </row>
    <row r="46" spans="1:4">
      <c r="A46" t="s">
        <v>96</v>
      </c>
      <c r="B46" t="s">
        <v>373</v>
      </c>
      <c r="C46" s="129">
        <v>6950.005311795373</v>
      </c>
      <c r="D46" t="s">
        <v>342</v>
      </c>
    </row>
    <row r="47" spans="1:4">
      <c r="A47" t="s">
        <v>97</v>
      </c>
      <c r="B47" t="s">
        <v>373</v>
      </c>
      <c r="C47" s="129">
        <v>4997.4868838596494</v>
      </c>
      <c r="D47" t="s">
        <v>342</v>
      </c>
    </row>
    <row r="48" spans="1:4">
      <c r="A48" t="s">
        <v>98</v>
      </c>
      <c r="B48" t="s">
        <v>373</v>
      </c>
      <c r="C48" s="129">
        <v>6226.5336072281061</v>
      </c>
      <c r="D48" t="s">
        <v>342</v>
      </c>
    </row>
    <row r="49" spans="1:4">
      <c r="A49" t="s">
        <v>99</v>
      </c>
      <c r="B49" t="s">
        <v>373</v>
      </c>
      <c r="C49" s="129">
        <v>14170.620020631732</v>
      </c>
      <c r="D49" t="s">
        <v>342</v>
      </c>
    </row>
    <row r="50" spans="1:4">
      <c r="A50" t="s">
        <v>88</v>
      </c>
      <c r="B50" t="s">
        <v>15</v>
      </c>
      <c r="C50" s="129">
        <v>239.23235696539484</v>
      </c>
      <c r="D50" t="s">
        <v>342</v>
      </c>
    </row>
    <row r="51" spans="1:4">
      <c r="A51" t="s">
        <v>89</v>
      </c>
      <c r="B51" t="s">
        <v>15</v>
      </c>
      <c r="C51" s="129">
        <v>101.1068367346939</v>
      </c>
      <c r="D51" t="s">
        <v>342</v>
      </c>
    </row>
    <row r="52" spans="1:4">
      <c r="A52" t="s">
        <v>90</v>
      </c>
      <c r="B52" t="s">
        <v>15</v>
      </c>
      <c r="C52" s="129">
        <v>473.73931899607589</v>
      </c>
      <c r="D52" t="s">
        <v>342</v>
      </c>
    </row>
    <row r="53" spans="1:4">
      <c r="A53" t="s">
        <v>91</v>
      </c>
      <c r="B53" t="s">
        <v>15</v>
      </c>
      <c r="C53" s="129">
        <v>141.35291959334012</v>
      </c>
      <c r="D53" t="s">
        <v>342</v>
      </c>
    </row>
    <row r="54" spans="1:4">
      <c r="A54" t="s">
        <v>92</v>
      </c>
      <c r="B54" t="s">
        <v>15</v>
      </c>
      <c r="C54" s="129">
        <v>1555.9464030188874</v>
      </c>
      <c r="D54" t="s">
        <v>342</v>
      </c>
    </row>
    <row r="55" spans="1:4">
      <c r="A55" t="s">
        <v>93</v>
      </c>
      <c r="B55" t="s">
        <v>15</v>
      </c>
      <c r="C55" s="129">
        <v>2088.8718314252751</v>
      </c>
      <c r="D55" t="s">
        <v>342</v>
      </c>
    </row>
    <row r="56" spans="1:4">
      <c r="A56" t="s">
        <v>94</v>
      </c>
      <c r="B56" t="s">
        <v>15</v>
      </c>
      <c r="C56" s="129">
        <v>470.85164084710857</v>
      </c>
      <c r="D56" t="s">
        <v>342</v>
      </c>
    </row>
    <row r="57" spans="1:4">
      <c r="A57" t="s">
        <v>95</v>
      </c>
      <c r="B57" t="s">
        <v>15</v>
      </c>
      <c r="C57" s="129">
        <v>1717.6260359944579</v>
      </c>
      <c r="D57" t="s">
        <v>342</v>
      </c>
    </row>
    <row r="58" spans="1:4">
      <c r="A58" t="s">
        <v>96</v>
      </c>
      <c r="B58" t="s">
        <v>15</v>
      </c>
      <c r="C58" s="129">
        <v>12870.177828899356</v>
      </c>
      <c r="D58" t="s">
        <v>342</v>
      </c>
    </row>
    <row r="59" spans="1:4">
      <c r="A59" t="s">
        <v>97</v>
      </c>
      <c r="B59" t="s">
        <v>15</v>
      </c>
      <c r="C59" s="129">
        <v>226.09975815550715</v>
      </c>
      <c r="D59" t="s">
        <v>342</v>
      </c>
    </row>
    <row r="60" spans="1:4">
      <c r="A60" t="s">
        <v>98</v>
      </c>
      <c r="B60" t="s">
        <v>15</v>
      </c>
      <c r="C60" s="129">
        <v>69.890685906443352</v>
      </c>
      <c r="D60" t="s">
        <v>342</v>
      </c>
    </row>
    <row r="61" spans="1:4">
      <c r="A61" t="s">
        <v>99</v>
      </c>
      <c r="B61" t="s">
        <v>15</v>
      </c>
      <c r="C61" s="129">
        <v>8650.2986983326264</v>
      </c>
      <c r="D61" t="s">
        <v>342</v>
      </c>
    </row>
    <row r="62" spans="1:4">
      <c r="A62" t="s">
        <v>88</v>
      </c>
      <c r="B62" t="s">
        <v>8</v>
      </c>
      <c r="C62">
        <v>2599.4046230700974</v>
      </c>
      <c r="D62" t="s">
        <v>341</v>
      </c>
    </row>
    <row r="63" spans="1:4">
      <c r="A63" t="s">
        <v>89</v>
      </c>
      <c r="B63" t="s">
        <v>8</v>
      </c>
      <c r="C63">
        <v>320.51145645584972</v>
      </c>
      <c r="D63" t="s">
        <v>341</v>
      </c>
    </row>
    <row r="64" spans="1:4">
      <c r="A64" t="s">
        <v>90</v>
      </c>
      <c r="B64" t="s">
        <v>8</v>
      </c>
      <c r="C64">
        <v>349.28099367748189</v>
      </c>
      <c r="D64" t="s">
        <v>341</v>
      </c>
    </row>
    <row r="65" spans="1:4">
      <c r="A65" t="s">
        <v>91</v>
      </c>
      <c r="B65" t="s">
        <v>8</v>
      </c>
      <c r="C65">
        <v>650.71296821351632</v>
      </c>
      <c r="D65" t="s">
        <v>341</v>
      </c>
    </row>
    <row r="66" spans="1:4">
      <c r="A66" t="s">
        <v>92</v>
      </c>
      <c r="B66" t="s">
        <v>8</v>
      </c>
      <c r="C66">
        <v>156.76921961066492</v>
      </c>
      <c r="D66" t="s">
        <v>341</v>
      </c>
    </row>
    <row r="67" spans="1:4">
      <c r="A67" t="s">
        <v>93</v>
      </c>
      <c r="B67" t="s">
        <v>8</v>
      </c>
      <c r="C67">
        <v>1889.5293462991162</v>
      </c>
      <c r="D67" t="s">
        <v>341</v>
      </c>
    </row>
    <row r="68" spans="1:4">
      <c r="A68" t="s">
        <v>94</v>
      </c>
      <c r="B68" t="s">
        <v>8</v>
      </c>
      <c r="C68">
        <v>158.00831094798798</v>
      </c>
      <c r="D68" t="s">
        <v>341</v>
      </c>
    </row>
    <row r="69" spans="1:4">
      <c r="A69" t="s">
        <v>95</v>
      </c>
      <c r="B69" t="s">
        <v>8</v>
      </c>
      <c r="C69">
        <v>696.89078936570729</v>
      </c>
      <c r="D69" t="s">
        <v>341</v>
      </c>
    </row>
    <row r="70" spans="1:4">
      <c r="A70" t="s">
        <v>96</v>
      </c>
      <c r="B70" t="s">
        <v>8</v>
      </c>
      <c r="C70">
        <v>1746.6974359606493</v>
      </c>
      <c r="D70" t="s">
        <v>341</v>
      </c>
    </row>
    <row r="71" spans="1:4">
      <c r="A71" t="s">
        <v>97</v>
      </c>
      <c r="B71" t="s">
        <v>8</v>
      </c>
      <c r="C71">
        <v>377.34491286417949</v>
      </c>
      <c r="D71" t="s">
        <v>341</v>
      </c>
    </row>
    <row r="72" spans="1:4">
      <c r="A72" t="s">
        <v>98</v>
      </c>
      <c r="B72" t="s">
        <v>8</v>
      </c>
      <c r="C72">
        <v>1160.706926973578</v>
      </c>
      <c r="D72" t="s">
        <v>341</v>
      </c>
    </row>
    <row r="73" spans="1:4">
      <c r="A73" t="s">
        <v>99</v>
      </c>
      <c r="B73" t="s">
        <v>8</v>
      </c>
      <c r="C73">
        <v>2230.9561715362715</v>
      </c>
      <c r="D73" t="s">
        <v>341</v>
      </c>
    </row>
    <row r="74" spans="1:4">
      <c r="A74" t="s">
        <v>88</v>
      </c>
      <c r="B74" t="s">
        <v>12</v>
      </c>
      <c r="C74">
        <v>1341.7565409937888</v>
      </c>
      <c r="D74" t="s">
        <v>341</v>
      </c>
    </row>
    <row r="75" spans="1:4">
      <c r="A75" t="s">
        <v>89</v>
      </c>
      <c r="B75" t="s">
        <v>12</v>
      </c>
      <c r="C75">
        <v>401.05810628409785</v>
      </c>
      <c r="D75" t="s">
        <v>341</v>
      </c>
    </row>
    <row r="76" spans="1:4">
      <c r="A76" t="s">
        <v>90</v>
      </c>
      <c r="B76" t="s">
        <v>12</v>
      </c>
      <c r="C76">
        <v>168.45499433002678</v>
      </c>
      <c r="D76" t="s">
        <v>341</v>
      </c>
    </row>
    <row r="77" spans="1:4">
      <c r="A77" t="s">
        <v>91</v>
      </c>
      <c r="B77" t="s">
        <v>12</v>
      </c>
      <c r="C77">
        <v>33.631699175217207</v>
      </c>
      <c r="D77" t="s">
        <v>341</v>
      </c>
    </row>
    <row r="78" spans="1:4">
      <c r="A78" t="s">
        <v>92</v>
      </c>
      <c r="B78" t="s">
        <v>12</v>
      </c>
      <c r="C78">
        <v>55.347765902667561</v>
      </c>
      <c r="D78" t="s">
        <v>341</v>
      </c>
    </row>
    <row r="79" spans="1:4">
      <c r="A79" t="s">
        <v>93</v>
      </c>
      <c r="B79" t="s">
        <v>12</v>
      </c>
      <c r="C79">
        <v>1095.718156240411</v>
      </c>
      <c r="D79" t="s">
        <v>341</v>
      </c>
    </row>
    <row r="80" spans="1:4">
      <c r="A80" t="s">
        <v>94</v>
      </c>
      <c r="B80" t="s">
        <v>12</v>
      </c>
      <c r="C80">
        <v>97.123382394845436</v>
      </c>
      <c r="D80" t="s">
        <v>341</v>
      </c>
    </row>
    <row r="81" spans="1:4">
      <c r="A81" t="s">
        <v>95</v>
      </c>
      <c r="B81" t="s">
        <v>12</v>
      </c>
      <c r="C81">
        <v>416.18680139614196</v>
      </c>
      <c r="D81" t="s">
        <v>341</v>
      </c>
    </row>
    <row r="82" spans="1:4">
      <c r="A82" t="s">
        <v>96</v>
      </c>
      <c r="B82" t="s">
        <v>12</v>
      </c>
      <c r="C82">
        <v>716.85681361241836</v>
      </c>
      <c r="D82" t="s">
        <v>341</v>
      </c>
    </row>
    <row r="83" spans="1:4">
      <c r="A83" t="s">
        <v>97</v>
      </c>
      <c r="B83" t="s">
        <v>12</v>
      </c>
      <c r="C83">
        <v>80.286425602322268</v>
      </c>
      <c r="D83" t="s">
        <v>341</v>
      </c>
    </row>
    <row r="84" spans="1:4">
      <c r="A84" t="s">
        <v>98</v>
      </c>
      <c r="B84" t="s">
        <v>12</v>
      </c>
      <c r="C84">
        <v>338.50789790006621</v>
      </c>
      <c r="D84" t="s">
        <v>341</v>
      </c>
    </row>
    <row r="85" spans="1:4">
      <c r="A85" t="s">
        <v>99</v>
      </c>
      <c r="B85" t="s">
        <v>12</v>
      </c>
      <c r="C85">
        <v>1583.3677656590189</v>
      </c>
      <c r="D85" t="s">
        <v>341</v>
      </c>
    </row>
    <row r="86" spans="1:4">
      <c r="A86" t="s">
        <v>88</v>
      </c>
      <c r="B86" t="s">
        <v>4</v>
      </c>
      <c r="C86">
        <v>929.14363966282167</v>
      </c>
      <c r="D86" t="s">
        <v>341</v>
      </c>
    </row>
    <row r="87" spans="1:4">
      <c r="A87" t="s">
        <v>89</v>
      </c>
      <c r="B87" t="s">
        <v>4</v>
      </c>
      <c r="C87">
        <v>178.13971448777534</v>
      </c>
      <c r="D87" t="s">
        <v>341</v>
      </c>
    </row>
    <row r="88" spans="1:4">
      <c r="A88" t="s">
        <v>90</v>
      </c>
      <c r="B88" t="s">
        <v>4</v>
      </c>
      <c r="C88">
        <v>112.19353479533427</v>
      </c>
      <c r="D88" t="s">
        <v>341</v>
      </c>
    </row>
    <row r="89" spans="1:4">
      <c r="A89" t="s">
        <v>91</v>
      </c>
      <c r="B89" t="s">
        <v>4</v>
      </c>
      <c r="C89">
        <v>985.6257839286319</v>
      </c>
      <c r="D89" t="s">
        <v>341</v>
      </c>
    </row>
    <row r="90" spans="1:4">
      <c r="A90" t="s">
        <v>92</v>
      </c>
      <c r="B90" t="s">
        <v>4</v>
      </c>
      <c r="C90">
        <v>37.300976687921221</v>
      </c>
      <c r="D90" t="s">
        <v>341</v>
      </c>
    </row>
    <row r="91" spans="1:4">
      <c r="A91" t="s">
        <v>93</v>
      </c>
      <c r="B91" t="s">
        <v>4</v>
      </c>
      <c r="C91">
        <v>640.08341882453749</v>
      </c>
      <c r="D91" t="s">
        <v>341</v>
      </c>
    </row>
    <row r="92" spans="1:4">
      <c r="A92" t="s">
        <v>94</v>
      </c>
      <c r="B92" t="s">
        <v>4</v>
      </c>
      <c r="C92">
        <v>65.077066043953394</v>
      </c>
      <c r="D92" t="s">
        <v>341</v>
      </c>
    </row>
    <row r="93" spans="1:4">
      <c r="A93" t="s">
        <v>95</v>
      </c>
      <c r="B93" t="s">
        <v>4</v>
      </c>
      <c r="C93">
        <v>107.23958533749557</v>
      </c>
      <c r="D93" t="s">
        <v>341</v>
      </c>
    </row>
    <row r="94" spans="1:4">
      <c r="A94" t="s">
        <v>96</v>
      </c>
      <c r="B94" t="s">
        <v>4</v>
      </c>
      <c r="C94">
        <v>654.59032848298659</v>
      </c>
      <c r="D94" t="s">
        <v>341</v>
      </c>
    </row>
    <row r="95" spans="1:4">
      <c r="A95" t="s">
        <v>97</v>
      </c>
      <c r="B95" t="s">
        <v>4</v>
      </c>
      <c r="C95">
        <v>53.594665249734945</v>
      </c>
      <c r="D95" t="s">
        <v>341</v>
      </c>
    </row>
    <row r="96" spans="1:4">
      <c r="A96" t="s">
        <v>98</v>
      </c>
      <c r="B96" t="s">
        <v>4</v>
      </c>
      <c r="C96">
        <v>226.66940740481343</v>
      </c>
      <c r="D96" t="s">
        <v>341</v>
      </c>
    </row>
    <row r="97" spans="1:4">
      <c r="A97" t="s">
        <v>99</v>
      </c>
      <c r="B97" t="s">
        <v>4</v>
      </c>
      <c r="C97">
        <v>174.26832332143911</v>
      </c>
      <c r="D97" t="s">
        <v>341</v>
      </c>
    </row>
    <row r="98" spans="1:4">
      <c r="A98" t="s">
        <v>88</v>
      </c>
      <c r="B98" t="s">
        <v>373</v>
      </c>
      <c r="C98">
        <v>3861.9612652173914</v>
      </c>
      <c r="D98" t="s">
        <v>341</v>
      </c>
    </row>
    <row r="99" spans="1:4">
      <c r="A99" t="s">
        <v>89</v>
      </c>
      <c r="B99" t="s">
        <v>373</v>
      </c>
      <c r="C99">
        <v>1178.6300404122046</v>
      </c>
      <c r="D99" t="s">
        <v>341</v>
      </c>
    </row>
    <row r="100" spans="1:4">
      <c r="A100" t="s">
        <v>90</v>
      </c>
      <c r="B100" t="s">
        <v>373</v>
      </c>
      <c r="C100">
        <v>858.9613880261403</v>
      </c>
      <c r="D100" t="s">
        <v>341</v>
      </c>
    </row>
    <row r="101" spans="1:4">
      <c r="A101" t="s">
        <v>91</v>
      </c>
      <c r="B101" t="s">
        <v>373</v>
      </c>
      <c r="C101">
        <v>861.594241340351</v>
      </c>
      <c r="D101" t="s">
        <v>341</v>
      </c>
    </row>
    <row r="102" spans="1:4">
      <c r="A102" t="s">
        <v>92</v>
      </c>
      <c r="B102" t="s">
        <v>373</v>
      </c>
      <c r="C102">
        <v>216.36165040379589</v>
      </c>
      <c r="D102" t="s">
        <v>341</v>
      </c>
    </row>
    <row r="103" spans="1:4">
      <c r="A103" t="s">
        <v>93</v>
      </c>
      <c r="B103" t="s">
        <v>373</v>
      </c>
      <c r="C103">
        <v>4879.2896420849584</v>
      </c>
      <c r="D103" t="s">
        <v>341</v>
      </c>
    </row>
    <row r="104" spans="1:4">
      <c r="A104" t="s">
        <v>94</v>
      </c>
      <c r="B104" t="s">
        <v>373</v>
      </c>
      <c r="C104">
        <v>1899.7252973676152</v>
      </c>
      <c r="D104" t="s">
        <v>341</v>
      </c>
    </row>
    <row r="105" spans="1:4">
      <c r="A105" t="s">
        <v>95</v>
      </c>
      <c r="B105" t="s">
        <v>373</v>
      </c>
      <c r="C105">
        <v>1889.843740222736</v>
      </c>
      <c r="D105" t="s">
        <v>341</v>
      </c>
    </row>
    <row r="106" spans="1:4">
      <c r="A106" t="s">
        <v>96</v>
      </c>
      <c r="B106" t="s">
        <v>373</v>
      </c>
      <c r="C106">
        <v>1730.4563105382965</v>
      </c>
      <c r="D106" t="s">
        <v>341</v>
      </c>
    </row>
    <row r="107" spans="1:4">
      <c r="A107" t="s">
        <v>97</v>
      </c>
      <c r="B107" t="s">
        <v>373</v>
      </c>
      <c r="C107">
        <v>288.28826386219367</v>
      </c>
      <c r="D107" t="s">
        <v>341</v>
      </c>
    </row>
    <row r="108" spans="1:4">
      <c r="A108" t="s">
        <v>98</v>
      </c>
      <c r="B108" t="s">
        <v>373</v>
      </c>
      <c r="C108">
        <v>1285.3462797387247</v>
      </c>
      <c r="D108" t="s">
        <v>341</v>
      </c>
    </row>
    <row r="109" spans="1:4">
      <c r="A109" t="s">
        <v>99</v>
      </c>
      <c r="B109" t="s">
        <v>373</v>
      </c>
      <c r="C109">
        <v>5512.336066155025</v>
      </c>
      <c r="D109" t="s">
        <v>341</v>
      </c>
    </row>
    <row r="110" spans="1:4">
      <c r="A110" t="s">
        <v>88</v>
      </c>
      <c r="B110" t="s">
        <v>15</v>
      </c>
      <c r="C110">
        <v>1606.4097381543922</v>
      </c>
      <c r="D110" t="s">
        <v>341</v>
      </c>
    </row>
    <row r="111" spans="1:4">
      <c r="A111" t="s">
        <v>89</v>
      </c>
      <c r="B111" t="s">
        <v>15</v>
      </c>
      <c r="C111">
        <v>464.08683713881601</v>
      </c>
      <c r="D111" t="s">
        <v>341</v>
      </c>
    </row>
    <row r="112" spans="1:4">
      <c r="A112" t="s">
        <v>90</v>
      </c>
      <c r="B112" t="s">
        <v>15</v>
      </c>
      <c r="C112">
        <v>342.18371730871417</v>
      </c>
      <c r="D112" t="s">
        <v>341</v>
      </c>
    </row>
    <row r="113" spans="1:4">
      <c r="A113" t="s">
        <v>91</v>
      </c>
      <c r="B113" t="s">
        <v>15</v>
      </c>
      <c r="C113">
        <v>284.9251105603156</v>
      </c>
      <c r="D113" t="s">
        <v>341</v>
      </c>
    </row>
    <row r="114" spans="1:4">
      <c r="A114" t="s">
        <v>92</v>
      </c>
      <c r="B114" t="s">
        <v>15</v>
      </c>
      <c r="C114">
        <v>73.501125876432667</v>
      </c>
      <c r="D114" t="s">
        <v>341</v>
      </c>
    </row>
    <row r="115" spans="1:4">
      <c r="A115" t="s">
        <v>93</v>
      </c>
      <c r="B115" t="s">
        <v>15</v>
      </c>
      <c r="C115">
        <v>2018.4385846839223</v>
      </c>
      <c r="D115" t="s">
        <v>341</v>
      </c>
    </row>
    <row r="116" spans="1:4">
      <c r="A116" t="s">
        <v>94</v>
      </c>
      <c r="B116" t="s">
        <v>15</v>
      </c>
      <c r="C116">
        <v>782.83835396783718</v>
      </c>
      <c r="D116" t="s">
        <v>341</v>
      </c>
    </row>
    <row r="117" spans="1:4">
      <c r="A117" t="s">
        <v>95</v>
      </c>
      <c r="B117" t="s">
        <v>15</v>
      </c>
      <c r="C117">
        <v>746.96795295555683</v>
      </c>
      <c r="D117" t="s">
        <v>341</v>
      </c>
    </row>
    <row r="118" spans="1:4">
      <c r="A118" t="s">
        <v>96</v>
      </c>
      <c r="B118" t="s">
        <v>15</v>
      </c>
      <c r="C118">
        <v>625.71384988690056</v>
      </c>
      <c r="D118" t="s">
        <v>341</v>
      </c>
    </row>
    <row r="119" spans="1:4">
      <c r="A119" t="s">
        <v>97</v>
      </c>
      <c r="B119" t="s">
        <v>15</v>
      </c>
      <c r="C119">
        <v>119.86315304002891</v>
      </c>
      <c r="D119" t="s">
        <v>341</v>
      </c>
    </row>
    <row r="120" spans="1:4">
      <c r="A120" t="s">
        <v>98</v>
      </c>
      <c r="B120" t="s">
        <v>15</v>
      </c>
      <c r="C120">
        <v>488.96694044623604</v>
      </c>
      <c r="D120" t="s">
        <v>341</v>
      </c>
    </row>
    <row r="121" spans="1:4">
      <c r="A121" t="s">
        <v>99</v>
      </c>
      <c r="B121" t="s">
        <v>15</v>
      </c>
      <c r="C121">
        <v>2813.2886919560615</v>
      </c>
      <c r="D121" t="s">
        <v>341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TS29"/>
  <sheetViews>
    <sheetView showGridLines="0" zoomScale="80" zoomScaleNormal="80" workbookViewId="0">
      <pane xSplit="3" ySplit="5" topLeftCell="AF6" activePane="bottomRight" state="frozen"/>
      <selection pane="topRight" activeCell="C1" sqref="C1"/>
      <selection pane="bottomLeft" activeCell="A6" sqref="A6"/>
      <selection pane="bottomRight" sqref="A1:C5"/>
    </sheetView>
  </sheetViews>
  <sheetFormatPr baseColWidth="10" defaultRowHeight="15" outlineLevelCol="2"/>
  <cols>
    <col min="1" max="1" width="15.42578125" customWidth="1"/>
    <col min="2" max="2" width="15.42578125" hidden="1" customWidth="1"/>
    <col min="3" max="3" width="20.85546875" bestFit="1" customWidth="1"/>
    <col min="4" max="4" width="9" customWidth="1"/>
    <col min="5" max="5" width="7.42578125" hidden="1" customWidth="1" outlineLevel="1"/>
    <col min="6" max="6" width="7.85546875" hidden="1" customWidth="1" outlineLevel="1"/>
    <col min="7" max="7" width="7.42578125" hidden="1" customWidth="1" outlineLevel="1"/>
    <col min="8" max="9" width="11" hidden="1" customWidth="1" outlineLevel="1"/>
    <col min="10" max="10" width="11.7109375" hidden="1" customWidth="1" outlineLevel="1"/>
    <col min="11" max="11" width="4.28515625" hidden="1" customWidth="1" outlineLevel="1"/>
    <col min="12" max="12" width="5.85546875" hidden="1" customWidth="1" outlineLevel="1"/>
    <col min="13" max="13" width="9.28515625" hidden="1" customWidth="1" outlineLevel="1"/>
    <col min="14" max="15" width="10.140625" hidden="1" customWidth="1" outlineLevel="1"/>
    <col min="16" max="16" width="6.42578125" hidden="1" customWidth="1" outlineLevel="1"/>
    <col min="17" max="17" width="10.28515625" hidden="1" customWidth="1" outlineLevel="1"/>
    <col min="18" max="20" width="8" hidden="1" customWidth="1" outlineLevel="1"/>
    <col min="21" max="23" width="8.7109375" hidden="1" customWidth="1" outlineLevel="1"/>
    <col min="24" max="24" width="6.42578125" hidden="1" customWidth="1" outlineLevel="1"/>
    <col min="25" max="25" width="4.28515625" hidden="1" customWidth="1" outlineLevel="1"/>
    <col min="26" max="26" width="5" hidden="1" customWidth="1" outlineLevel="1"/>
    <col min="27" max="31" width="4.28515625" hidden="1" customWidth="1" outlineLevel="1"/>
    <col min="32" max="32" width="6.42578125" bestFit="1" customWidth="1" collapsed="1"/>
    <col min="33" max="33" width="7.42578125" hidden="1" customWidth="1" outlineLevel="1"/>
    <col min="34" max="34" width="7.85546875" hidden="1" customWidth="1" outlineLevel="1"/>
    <col min="35" max="36" width="7.42578125" hidden="1" customWidth="1" outlineLevel="1"/>
    <col min="37" max="37" width="6.42578125" hidden="1" customWidth="1" outlineLevel="1"/>
    <col min="38" max="39" width="4.28515625" hidden="1" customWidth="1" outlineLevel="1"/>
    <col min="40" max="40" width="5.85546875" hidden="1" customWidth="1" outlineLevel="1"/>
    <col min="41" max="41" width="9.28515625" hidden="1" customWidth="1" outlineLevel="1"/>
    <col min="42" max="43" width="10.140625" hidden="1" customWidth="1" outlineLevel="1"/>
    <col min="44" max="44" width="6.42578125" hidden="1" customWidth="1" outlineLevel="1"/>
    <col min="45" max="45" width="10.28515625" hidden="1" customWidth="1" outlineLevel="1"/>
    <col min="46" max="48" width="8" hidden="1" customWidth="1" outlineLevel="1"/>
    <col min="49" max="52" width="8.7109375" hidden="1" customWidth="1" outlineLevel="1"/>
    <col min="53" max="59" width="4.28515625" hidden="1" customWidth="1" outlineLevel="1"/>
    <col min="60" max="60" width="6" bestFit="1" customWidth="1" collapsed="1"/>
    <col min="61" max="61" width="7.42578125" hidden="1" customWidth="1" outlineLevel="1"/>
    <col min="62" max="62" width="7.85546875" hidden="1" customWidth="1" outlineLevel="1"/>
    <col min="63" max="64" width="7.42578125" hidden="1" customWidth="1" outlineLevel="1"/>
    <col min="65" max="65" width="6.42578125" hidden="1" customWidth="1" outlineLevel="1"/>
    <col min="66" max="66" width="4.85546875" hidden="1" customWidth="1" outlineLevel="1"/>
    <col min="67" max="67" width="4.28515625" hidden="1" customWidth="1" outlineLevel="1"/>
    <col min="68" max="68" width="5.85546875" hidden="1" customWidth="1" outlineLevel="1"/>
    <col min="69" max="69" width="9.28515625" hidden="1" customWidth="1" outlineLevel="1"/>
    <col min="70" max="71" width="10.140625" hidden="1" customWidth="1" outlineLevel="1"/>
    <col min="72" max="72" width="6.42578125" hidden="1" customWidth="1" outlineLevel="1"/>
    <col min="73" max="73" width="10.28515625" hidden="1" customWidth="1" outlineLevel="1"/>
    <col min="74" max="76" width="8" hidden="1" customWidth="1" outlineLevel="1"/>
    <col min="77" max="80" width="8.7109375" hidden="1" customWidth="1" outlineLevel="1"/>
    <col min="81" max="87" width="4.28515625" hidden="1" customWidth="1" outlineLevel="1"/>
    <col min="88" max="88" width="6.42578125" bestFit="1" customWidth="1" collapsed="1"/>
    <col min="89" max="89" width="7.42578125" hidden="1" customWidth="1" outlineLevel="1"/>
    <col min="90" max="90" width="7.85546875" hidden="1" customWidth="1" outlineLevel="1"/>
    <col min="91" max="92" width="7.42578125" hidden="1" customWidth="1" outlineLevel="1"/>
    <col min="93" max="93" width="6.42578125" hidden="1" customWidth="1" outlineLevel="1"/>
    <col min="94" max="95" width="4.28515625" hidden="1" customWidth="1" outlineLevel="1"/>
    <col min="96" max="96" width="5.85546875" hidden="1" customWidth="1" outlineLevel="1"/>
    <col min="97" max="97" width="9.28515625" hidden="1" customWidth="1" outlineLevel="1"/>
    <col min="98" max="99" width="10.140625" hidden="1" customWidth="1" outlineLevel="1"/>
    <col min="100" max="100" width="6.42578125" hidden="1" customWidth="1" outlineLevel="1"/>
    <col min="101" max="101" width="10.28515625" hidden="1" customWidth="1" outlineLevel="1"/>
    <col min="102" max="104" width="8" hidden="1" customWidth="1" outlineLevel="1"/>
    <col min="105" max="108" width="8.7109375" hidden="1" customWidth="1" outlineLevel="1"/>
    <col min="109" max="115" width="4.28515625" hidden="1" customWidth="1" outlineLevel="1"/>
    <col min="116" max="116" width="5" bestFit="1" customWidth="1" collapsed="1"/>
    <col min="117" max="117" width="7.42578125" hidden="1" customWidth="1" outlineLevel="1"/>
    <col min="118" max="118" width="7.85546875" hidden="1" customWidth="1" outlineLevel="1"/>
    <col min="119" max="120" width="7.42578125" hidden="1" customWidth="1" outlineLevel="1"/>
    <col min="121" max="121" width="6.42578125" hidden="1" customWidth="1" outlineLevel="1"/>
    <col min="122" max="123" width="4.28515625" hidden="1" customWidth="1" outlineLevel="1"/>
    <col min="124" max="124" width="5.85546875" hidden="1" customWidth="1" outlineLevel="1"/>
    <col min="125" max="125" width="9.28515625" hidden="1" customWidth="1" outlineLevel="1"/>
    <col min="126" max="127" width="10.140625" hidden="1" customWidth="1" outlineLevel="1"/>
    <col min="128" max="128" width="6.42578125" hidden="1" customWidth="1" outlineLevel="1"/>
    <col min="129" max="129" width="10.28515625" hidden="1" customWidth="1" outlineLevel="1"/>
    <col min="130" max="132" width="8" hidden="1" customWidth="1" outlineLevel="1"/>
    <col min="133" max="136" width="8.7109375" hidden="1" customWidth="1" outlineLevel="1"/>
    <col min="137" max="143" width="4.28515625" hidden="1" customWidth="1" outlineLevel="1"/>
    <col min="144" max="144" width="4.42578125" bestFit="1" customWidth="1" collapsed="1"/>
    <col min="145" max="145" width="6.85546875" bestFit="1" customWidth="1"/>
    <col min="146" max="146" width="7.42578125" hidden="1" customWidth="1" outlineLevel="1"/>
    <col min="147" max="147" width="7.85546875" hidden="1" customWidth="1" outlineLevel="1"/>
    <col min="148" max="149" width="7.42578125" hidden="1" customWidth="1" outlineLevel="1"/>
    <col min="150" max="150" width="6.42578125" hidden="1" customWidth="1" outlineLevel="1"/>
    <col min="151" max="152" width="4.28515625" hidden="1" customWidth="1" outlineLevel="1"/>
    <col min="153" max="153" width="5.85546875" hidden="1" customWidth="1" outlineLevel="1"/>
    <col min="154" max="154" width="9.28515625" hidden="1" customWidth="1" outlineLevel="1"/>
    <col min="155" max="156" width="10.140625" hidden="1" customWidth="1" outlineLevel="1"/>
    <col min="157" max="157" width="6.42578125" hidden="1" customWidth="1" outlineLevel="1"/>
    <col min="158" max="158" width="10.28515625" hidden="1" customWidth="1" outlineLevel="1"/>
    <col min="159" max="161" width="8" hidden="1" customWidth="1" outlineLevel="1"/>
    <col min="162" max="165" width="8.7109375" hidden="1" customWidth="1" outlineLevel="1"/>
    <col min="166" max="172" width="4.28515625" hidden="1" customWidth="1" outlineLevel="1"/>
    <col min="173" max="173" width="5" bestFit="1" customWidth="1" collapsed="1"/>
    <col min="174" max="174" width="7.42578125" hidden="1" customWidth="1" outlineLevel="1"/>
    <col min="175" max="175" width="7.85546875" hidden="1" customWidth="1" outlineLevel="1"/>
    <col min="176" max="177" width="7.42578125" hidden="1" customWidth="1" outlineLevel="1"/>
    <col min="178" max="178" width="6.42578125" hidden="1" customWidth="1" outlineLevel="1"/>
    <col min="179" max="180" width="4.28515625" hidden="1" customWidth="1" outlineLevel="1"/>
    <col min="181" max="181" width="5.85546875" hidden="1" customWidth="1" outlineLevel="1"/>
    <col min="182" max="182" width="9.28515625" hidden="1" customWidth="1" outlineLevel="1"/>
    <col min="183" max="184" width="10.140625" hidden="1" customWidth="1" outlineLevel="1"/>
    <col min="185" max="185" width="6.42578125" hidden="1" customWidth="1" outlineLevel="1"/>
    <col min="186" max="186" width="10.28515625" hidden="1" customWidth="1" outlineLevel="1"/>
    <col min="187" max="189" width="8" hidden="1" customWidth="1" outlineLevel="1"/>
    <col min="190" max="193" width="8.7109375" hidden="1" customWidth="1" outlineLevel="1"/>
    <col min="194" max="200" width="4.28515625" hidden="1" customWidth="1" outlineLevel="1"/>
    <col min="201" max="201" width="5" bestFit="1" customWidth="1" collapsed="1"/>
    <col min="202" max="202" width="7.42578125" hidden="1" customWidth="1" outlineLevel="1"/>
    <col min="203" max="203" width="7.85546875" hidden="1" customWidth="1" outlineLevel="1"/>
    <col min="204" max="205" width="7.42578125" hidden="1" customWidth="1" outlineLevel="1"/>
    <col min="206" max="206" width="6.42578125" hidden="1" customWidth="1" outlineLevel="1"/>
    <col min="207" max="208" width="4.28515625" hidden="1" customWidth="1" outlineLevel="1"/>
    <col min="209" max="209" width="5.85546875" hidden="1" customWidth="1" outlineLevel="1"/>
    <col min="210" max="210" width="9.28515625" hidden="1" customWidth="1" outlineLevel="1"/>
    <col min="211" max="212" width="10.140625" hidden="1" customWidth="1" outlineLevel="1"/>
    <col min="213" max="213" width="6.42578125" hidden="1" customWidth="1" outlineLevel="1"/>
    <col min="214" max="214" width="10.28515625" hidden="1" customWidth="1" outlineLevel="1"/>
    <col min="215" max="217" width="8" hidden="1" customWidth="1" outlineLevel="1"/>
    <col min="218" max="221" width="8.7109375" hidden="1" customWidth="1" outlineLevel="1"/>
    <col min="222" max="228" width="4.28515625" hidden="1" customWidth="1" outlineLevel="1"/>
    <col min="229" max="229" width="6.42578125" bestFit="1" customWidth="1" collapsed="1"/>
    <col min="230" max="230" width="8.7109375" bestFit="1" customWidth="1"/>
    <col min="231" max="231" width="8.7109375" hidden="1" customWidth="1" outlineLevel="1"/>
    <col min="232" max="232" width="6.7109375" hidden="1" customWidth="1" outlineLevel="1"/>
    <col min="233" max="234" width="6.42578125" hidden="1" customWidth="1" outlineLevel="1"/>
    <col min="235" max="235" width="5.85546875" hidden="1" customWidth="1" outlineLevel="1"/>
    <col min="236" max="237" width="3.42578125" hidden="1" customWidth="1" outlineLevel="1"/>
    <col min="238" max="238" width="5" hidden="1" customWidth="1" outlineLevel="1"/>
    <col min="239" max="239" width="8.42578125" hidden="1" customWidth="1" outlineLevel="1"/>
    <col min="240" max="241" width="8.85546875" hidden="1" customWidth="1" outlineLevel="1"/>
    <col min="242" max="242" width="5.7109375" hidden="1" customWidth="1" outlineLevel="1"/>
    <col min="243" max="243" width="8.85546875" hidden="1" customWidth="1" outlineLevel="1"/>
    <col min="244" max="246" width="6.7109375" hidden="1" customWidth="1" outlineLevel="1"/>
    <col min="247" max="250" width="7.140625" hidden="1" customWidth="1" outlineLevel="1"/>
    <col min="251" max="251" width="4" hidden="1" customWidth="1" outlineLevel="1"/>
    <col min="252" max="257" width="4.42578125" hidden="1" customWidth="1" outlineLevel="1"/>
    <col min="258" max="258" width="5" bestFit="1" customWidth="1" collapsed="1"/>
    <col min="259" max="259" width="8.7109375" hidden="1" customWidth="1" outlineLevel="2"/>
    <col min="260" max="260" width="6.7109375" hidden="1" customWidth="1" outlineLevel="2"/>
    <col min="261" max="262" width="6.42578125" hidden="1" customWidth="1" outlineLevel="2"/>
    <col min="263" max="263" width="5.85546875" hidden="1" customWidth="1" outlineLevel="2"/>
    <col min="264" max="265" width="3.42578125" hidden="1" customWidth="1" outlineLevel="2"/>
    <col min="266" max="266" width="5" hidden="1" customWidth="1" outlineLevel="2"/>
    <col min="267" max="267" width="8.42578125" hidden="1" customWidth="1" outlineLevel="2"/>
    <col min="268" max="269" width="8.85546875" hidden="1" customWidth="1" outlineLevel="2"/>
    <col min="270" max="270" width="5.7109375" hidden="1" customWidth="1" outlineLevel="2"/>
    <col min="271" max="271" width="8.85546875" hidden="1" customWidth="1" outlineLevel="2"/>
    <col min="272" max="274" width="6.7109375" hidden="1" customWidth="1" outlineLevel="2"/>
    <col min="275" max="278" width="7.140625" hidden="1" customWidth="1" outlineLevel="2"/>
    <col min="279" max="279" width="4" hidden="1" customWidth="1" outlineLevel="2"/>
    <col min="280" max="285" width="4.42578125" hidden="1" customWidth="1" outlineLevel="2"/>
    <col min="286" max="286" width="6.42578125" bestFit="1" customWidth="1" collapsed="1"/>
    <col min="287" max="287" width="8.7109375" hidden="1" customWidth="1" outlineLevel="1"/>
    <col min="288" max="288" width="6.7109375" hidden="1" customWidth="1" outlineLevel="1"/>
    <col min="289" max="290" width="6.42578125" hidden="1" customWidth="1" outlineLevel="1"/>
    <col min="291" max="291" width="5.85546875" hidden="1" customWidth="1" outlineLevel="1"/>
    <col min="292" max="293" width="3.42578125" hidden="1" customWidth="1" outlineLevel="1"/>
    <col min="294" max="294" width="5" hidden="1" customWidth="1" outlineLevel="1"/>
    <col min="295" max="295" width="8.42578125" hidden="1" customWidth="1" outlineLevel="1"/>
    <col min="296" max="297" width="8.85546875" hidden="1" customWidth="1" outlineLevel="1"/>
    <col min="298" max="298" width="5.7109375" hidden="1" customWidth="1" outlineLevel="1"/>
    <col min="299" max="299" width="8.85546875" hidden="1" customWidth="1" outlineLevel="1"/>
    <col min="300" max="302" width="6.7109375" hidden="1" customWidth="1" outlineLevel="1"/>
    <col min="303" max="306" width="7.140625" hidden="1" customWidth="1" outlineLevel="1"/>
    <col min="307" max="307" width="4" hidden="1" customWidth="1" outlineLevel="1"/>
    <col min="308" max="313" width="4.42578125" hidden="1" customWidth="1" outlineLevel="1"/>
    <col min="314" max="314" width="4.42578125" bestFit="1" customWidth="1" collapsed="1"/>
    <col min="315" max="315" width="6.42578125" bestFit="1" customWidth="1"/>
    <col min="316" max="317" width="6.7109375" hidden="1" customWidth="1" outlineLevel="1"/>
    <col min="318" max="319" width="6.42578125" hidden="1" customWidth="1" outlineLevel="1"/>
    <col min="320" max="320" width="5.85546875" hidden="1" customWidth="1" outlineLevel="1"/>
    <col min="321" max="322" width="3.42578125" hidden="1" customWidth="1" outlineLevel="1"/>
    <col min="323" max="323" width="5" hidden="1" customWidth="1" outlineLevel="1"/>
    <col min="324" max="324" width="8.42578125" hidden="1" customWidth="1" outlineLevel="1"/>
    <col min="325" max="326" width="8.85546875" hidden="1" customWidth="1" outlineLevel="1"/>
    <col min="327" max="327" width="5.7109375" hidden="1" customWidth="1" outlineLevel="1"/>
    <col min="328" max="328" width="8.85546875" hidden="1" customWidth="1" outlineLevel="1"/>
    <col min="329" max="331" width="6.7109375" hidden="1" customWidth="1" outlineLevel="1"/>
    <col min="332" max="335" width="7.140625" hidden="1" customWidth="1" outlineLevel="1"/>
    <col min="336" max="336" width="4" hidden="1" customWidth="1" outlineLevel="1"/>
    <col min="337" max="342" width="4.42578125" hidden="1" customWidth="1" outlineLevel="1"/>
    <col min="343" max="343" width="11.42578125" collapsed="1"/>
    <col min="344" max="345" width="6.7109375" hidden="1" customWidth="1" outlineLevel="1"/>
    <col min="346" max="347" width="6.42578125" hidden="1" customWidth="1" outlineLevel="1"/>
    <col min="348" max="348" width="5.85546875" hidden="1" customWidth="1" outlineLevel="1"/>
    <col min="349" max="350" width="3.42578125" hidden="1" customWidth="1" outlineLevel="1"/>
    <col min="351" max="351" width="5" hidden="1" customWidth="1" outlineLevel="1"/>
    <col min="352" max="352" width="8.42578125" hidden="1" customWidth="1" outlineLevel="1"/>
    <col min="353" max="354" width="8.85546875" hidden="1" customWidth="1" outlineLevel="1"/>
    <col min="355" max="355" width="5.7109375" hidden="1" customWidth="1" outlineLevel="1"/>
    <col min="356" max="356" width="8.85546875" hidden="1" customWidth="1" outlineLevel="1"/>
    <col min="357" max="359" width="6.7109375" hidden="1" customWidth="1" outlineLevel="1"/>
    <col min="360" max="363" width="7.140625" hidden="1" customWidth="1" outlineLevel="1"/>
    <col min="364" max="364" width="4" hidden="1" customWidth="1" outlineLevel="1"/>
    <col min="365" max="370" width="4.42578125" hidden="1" customWidth="1" outlineLevel="1"/>
    <col min="371" max="371" width="6.7109375" customWidth="1" collapsed="1"/>
    <col min="372" max="373" width="6.7109375" hidden="1" customWidth="1" outlineLevel="1"/>
    <col min="374" max="375" width="6.42578125" hidden="1" customWidth="1" outlineLevel="1"/>
    <col min="376" max="376" width="5.85546875" hidden="1" customWidth="1" outlineLevel="1"/>
    <col min="377" max="378" width="3.42578125" hidden="1" customWidth="1" outlineLevel="1"/>
    <col min="379" max="379" width="5" hidden="1" customWidth="1" outlineLevel="1"/>
    <col min="380" max="380" width="8.42578125" hidden="1" customWidth="1" outlineLevel="1"/>
    <col min="381" max="382" width="8.85546875" hidden="1" customWidth="1" outlineLevel="1"/>
    <col min="383" max="383" width="5.7109375" hidden="1" customWidth="1" outlineLevel="1"/>
    <col min="384" max="384" width="8.85546875" hidden="1" customWidth="1" outlineLevel="1"/>
    <col min="385" max="387" width="6.7109375" hidden="1" customWidth="1" outlineLevel="1"/>
    <col min="388" max="391" width="7.140625" hidden="1" customWidth="1" outlineLevel="1"/>
    <col min="392" max="392" width="4" hidden="1" customWidth="1" outlineLevel="1"/>
    <col min="393" max="398" width="4.42578125" hidden="1" customWidth="1" outlineLevel="1"/>
    <col min="399" max="399" width="6.85546875" bestFit="1" customWidth="1" collapsed="1"/>
    <col min="400" max="401" width="6.7109375" hidden="1" customWidth="1" outlineLevel="1"/>
    <col min="402" max="403" width="6.42578125" hidden="1" customWidth="1" outlineLevel="1"/>
    <col min="404" max="404" width="5.85546875" hidden="1" customWidth="1" outlineLevel="1"/>
    <col min="405" max="406" width="3.42578125" hidden="1" customWidth="1" outlineLevel="1"/>
    <col min="407" max="407" width="5" hidden="1" customWidth="1" outlineLevel="1"/>
    <col min="408" max="408" width="8.42578125" hidden="1" customWidth="1" outlineLevel="1"/>
    <col min="409" max="410" width="8.85546875" hidden="1" customWidth="1" outlineLevel="1"/>
    <col min="411" max="411" width="5.7109375" hidden="1" customWidth="1" outlineLevel="1"/>
    <col min="412" max="412" width="8.85546875" hidden="1" customWidth="1" outlineLevel="1"/>
    <col min="413" max="415" width="6.7109375" hidden="1" customWidth="1" outlineLevel="1"/>
    <col min="416" max="419" width="7.140625" hidden="1" customWidth="1" outlineLevel="1"/>
    <col min="420" max="420" width="4" hidden="1" customWidth="1" outlineLevel="1"/>
    <col min="421" max="426" width="4.42578125" hidden="1" customWidth="1" outlineLevel="1"/>
    <col min="427" max="427" width="6.42578125" bestFit="1" customWidth="1" collapsed="1"/>
    <col min="428" max="429" width="6.7109375" hidden="1" customWidth="1" outlineLevel="1"/>
    <col min="430" max="431" width="6.42578125" hidden="1" customWidth="1" outlineLevel="1"/>
    <col min="432" max="432" width="5.85546875" hidden="1" customWidth="1" outlineLevel="1"/>
    <col min="433" max="433" width="11.7109375" hidden="1" customWidth="1" outlineLevel="1"/>
    <col min="434" max="434" width="3.42578125" hidden="1" customWidth="1" outlineLevel="1"/>
    <col min="435" max="435" width="5" hidden="1" customWidth="1" outlineLevel="1"/>
    <col min="436" max="436" width="8.42578125" hidden="1" customWidth="1" outlineLevel="1"/>
    <col min="437" max="438" width="8.85546875" hidden="1" customWidth="1" outlineLevel="1"/>
    <col min="439" max="439" width="5.7109375" hidden="1" customWidth="1" outlineLevel="1"/>
    <col min="440" max="440" width="8.85546875" hidden="1" customWidth="1" outlineLevel="1"/>
    <col min="441" max="443" width="6.7109375" hidden="1" customWidth="1" outlineLevel="1"/>
    <col min="444" max="447" width="7.140625" hidden="1" customWidth="1" outlineLevel="1"/>
    <col min="448" max="448" width="4" hidden="1" customWidth="1" outlineLevel="1"/>
    <col min="449" max="454" width="4.42578125" hidden="1" customWidth="1" outlineLevel="1"/>
    <col min="455" max="455" width="6.85546875" bestFit="1" customWidth="1" collapsed="1"/>
    <col min="456" max="457" width="6.7109375" hidden="1" customWidth="1" outlineLevel="1"/>
    <col min="458" max="459" width="6.42578125" hidden="1" customWidth="1" outlineLevel="1"/>
    <col min="460" max="460" width="5.85546875" hidden="1" customWidth="1" outlineLevel="1"/>
    <col min="461" max="462" width="3.42578125" hidden="1" customWidth="1" outlineLevel="1"/>
    <col min="463" max="463" width="5" hidden="1" customWidth="1" outlineLevel="1"/>
    <col min="464" max="464" width="8.42578125" hidden="1" customWidth="1" outlineLevel="1"/>
    <col min="465" max="466" width="8.85546875" hidden="1" customWidth="1" outlineLevel="1"/>
    <col min="467" max="467" width="5.7109375" hidden="1" customWidth="1" outlineLevel="1"/>
    <col min="468" max="468" width="8.85546875" hidden="1" customWidth="1" outlineLevel="1"/>
    <col min="469" max="471" width="6.7109375" hidden="1" customWidth="1" outlineLevel="1"/>
    <col min="472" max="475" width="7.140625" hidden="1" customWidth="1" outlineLevel="1"/>
    <col min="476" max="476" width="4" hidden="1" customWidth="1" outlineLevel="1"/>
    <col min="477" max="482" width="4.42578125" hidden="1" customWidth="1" outlineLevel="1"/>
    <col min="483" max="483" width="6.42578125" bestFit="1" customWidth="1" collapsed="1"/>
    <col min="484" max="485" width="6.7109375" hidden="1" customWidth="1" outlineLevel="1"/>
    <col min="486" max="487" width="6.42578125" hidden="1" customWidth="1" outlineLevel="1"/>
    <col min="488" max="488" width="5.85546875" hidden="1" customWidth="1" outlineLevel="1"/>
    <col min="489" max="490" width="3.42578125" hidden="1" customWidth="1" outlineLevel="1"/>
    <col min="491" max="491" width="5" hidden="1" customWidth="1" outlineLevel="1"/>
    <col min="492" max="492" width="8.42578125" hidden="1" customWidth="1" outlineLevel="1"/>
    <col min="493" max="494" width="8.85546875" hidden="1" customWidth="1" outlineLevel="1"/>
    <col min="495" max="495" width="5.7109375" hidden="1" customWidth="1" outlineLevel="1"/>
    <col min="496" max="496" width="8.85546875" hidden="1" customWidth="1" outlineLevel="1"/>
    <col min="497" max="499" width="6.7109375" hidden="1" customWidth="1" outlineLevel="1"/>
    <col min="500" max="503" width="7.140625" hidden="1" customWidth="1" outlineLevel="1"/>
    <col min="504" max="504" width="4" hidden="1" customWidth="1" outlineLevel="1"/>
    <col min="505" max="510" width="4.42578125" hidden="1" customWidth="1" outlineLevel="1"/>
    <col min="511" max="511" width="5.7109375" customWidth="1" collapsed="1"/>
    <col min="519" max="519" width="11.42578125" bestFit="1" customWidth="1"/>
    <col min="520" max="520" width="13.42578125" bestFit="1" customWidth="1"/>
    <col min="521" max="521" width="13" bestFit="1" customWidth="1"/>
    <col min="522" max="522" width="12" bestFit="1" customWidth="1"/>
    <col min="523" max="523" width="11" bestFit="1" customWidth="1"/>
    <col min="524" max="524" width="13.42578125" bestFit="1" customWidth="1"/>
    <col min="525" max="525" width="13" bestFit="1" customWidth="1"/>
    <col min="526" max="526" width="12" bestFit="1" customWidth="1"/>
    <col min="527" max="527" width="11" bestFit="1" customWidth="1"/>
    <col min="528" max="528" width="13.42578125" bestFit="1" customWidth="1"/>
    <col min="529" max="529" width="13" bestFit="1" customWidth="1"/>
    <col min="530" max="530" width="11.140625" bestFit="1" customWidth="1"/>
    <col min="531" max="531" width="12" bestFit="1" customWidth="1"/>
    <col min="532" max="532" width="13.42578125" bestFit="1" customWidth="1"/>
    <col min="533" max="533" width="13" bestFit="1" customWidth="1"/>
    <col min="534" max="534" width="12.42578125" bestFit="1" customWidth="1"/>
    <col min="535" max="535" width="12" bestFit="1" customWidth="1"/>
    <col min="536" max="536" width="13.42578125" bestFit="1" customWidth="1"/>
    <col min="537" max="537" width="13" bestFit="1" customWidth="1"/>
    <col min="538" max="538" width="12" bestFit="1" customWidth="1"/>
    <col min="539" max="539" width="13.42578125" bestFit="1" customWidth="1"/>
  </cols>
  <sheetData>
    <row r="1" spans="1:538" ht="18.75">
      <c r="A1" s="170" t="s">
        <v>251</v>
      </c>
      <c r="B1" s="170"/>
      <c r="C1" s="170"/>
      <c r="D1" s="170" t="s">
        <v>320</v>
      </c>
      <c r="E1" s="175" t="s">
        <v>8</v>
      </c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175"/>
      <c r="AR1" s="175"/>
      <c r="AS1" s="175"/>
      <c r="AT1" s="175"/>
      <c r="AU1" s="175"/>
      <c r="AV1" s="175"/>
      <c r="AW1" s="175"/>
      <c r="AX1" s="175"/>
      <c r="AY1" s="175"/>
      <c r="AZ1" s="175"/>
      <c r="BA1" s="175"/>
      <c r="BB1" s="175"/>
      <c r="BC1" s="175"/>
      <c r="BD1" s="175"/>
      <c r="BE1" s="175"/>
      <c r="BF1" s="175"/>
      <c r="BG1" s="175"/>
      <c r="BH1" s="175"/>
      <c r="BI1" s="175"/>
      <c r="BJ1" s="175"/>
      <c r="BK1" s="175"/>
      <c r="BL1" s="175"/>
      <c r="BM1" s="175"/>
      <c r="BN1" s="175"/>
      <c r="BO1" s="175"/>
      <c r="BP1" s="175"/>
      <c r="BQ1" s="175"/>
      <c r="BR1" s="175"/>
      <c r="BS1" s="175"/>
      <c r="BT1" s="175"/>
      <c r="BU1" s="175"/>
      <c r="BV1" s="175"/>
      <c r="BW1" s="175"/>
      <c r="BX1" s="175"/>
      <c r="BY1" s="175"/>
      <c r="BZ1" s="175"/>
      <c r="CA1" s="175"/>
      <c r="CB1" s="175"/>
      <c r="CC1" s="175"/>
      <c r="CD1" s="175"/>
      <c r="CE1" s="175"/>
      <c r="CF1" s="175"/>
      <c r="CG1" s="175"/>
      <c r="CH1" s="175"/>
      <c r="CI1" s="175"/>
      <c r="CJ1" s="175"/>
      <c r="CK1" s="175"/>
      <c r="CL1" s="175"/>
      <c r="CM1" s="175"/>
      <c r="CN1" s="175"/>
      <c r="CO1" s="175"/>
      <c r="CP1" s="175"/>
      <c r="CQ1" s="175"/>
      <c r="CR1" s="175"/>
      <c r="CS1" s="175"/>
      <c r="CT1" s="175"/>
      <c r="CU1" s="175"/>
      <c r="CV1" s="175"/>
      <c r="CW1" s="175"/>
      <c r="CX1" s="175"/>
      <c r="CY1" s="175"/>
      <c r="CZ1" s="175"/>
      <c r="DA1" s="175"/>
      <c r="DB1" s="175"/>
      <c r="DC1" s="175"/>
      <c r="DD1" s="175"/>
      <c r="DE1" s="175"/>
      <c r="DF1" s="175"/>
      <c r="DG1" s="175"/>
      <c r="DH1" s="175"/>
      <c r="DI1" s="175"/>
      <c r="DJ1" s="175"/>
      <c r="DK1" s="175"/>
      <c r="DL1" s="175"/>
      <c r="DM1" s="175"/>
      <c r="DN1" s="175"/>
      <c r="DO1" s="175"/>
      <c r="DP1" s="175"/>
      <c r="DQ1" s="175"/>
      <c r="DR1" s="175"/>
      <c r="DS1" s="175"/>
      <c r="DT1" s="175"/>
      <c r="DU1" s="175"/>
      <c r="DV1" s="175"/>
      <c r="DW1" s="175"/>
      <c r="DX1" s="175"/>
      <c r="DY1" s="175"/>
      <c r="DZ1" s="175"/>
      <c r="EA1" s="175"/>
      <c r="EB1" s="175"/>
      <c r="EC1" s="175"/>
      <c r="ED1" s="175"/>
      <c r="EE1" s="175"/>
      <c r="EF1" s="175"/>
      <c r="EG1" s="175"/>
      <c r="EH1" s="175"/>
      <c r="EI1" s="175"/>
      <c r="EJ1" s="175"/>
      <c r="EK1" s="175"/>
      <c r="EL1" s="175"/>
      <c r="EM1" s="175"/>
      <c r="EP1" s="175" t="s">
        <v>12</v>
      </c>
      <c r="EQ1" s="175"/>
      <c r="ER1" s="175"/>
      <c r="ES1" s="175"/>
      <c r="ET1" s="175"/>
      <c r="EU1" s="175"/>
      <c r="EV1" s="175"/>
      <c r="EW1" s="175"/>
      <c r="EX1" s="175"/>
      <c r="EY1" s="175"/>
      <c r="EZ1" s="175"/>
      <c r="FA1" s="175"/>
      <c r="FB1" s="175"/>
      <c r="FC1" s="175"/>
      <c r="FD1" s="175"/>
      <c r="FE1" s="175"/>
      <c r="FF1" s="175"/>
      <c r="FG1" s="175"/>
      <c r="FH1" s="175"/>
      <c r="FI1" s="175"/>
      <c r="FJ1" s="175"/>
      <c r="FK1" s="175"/>
      <c r="FL1" s="175"/>
      <c r="FM1" s="175"/>
      <c r="FN1" s="175"/>
      <c r="FO1" s="175"/>
      <c r="FP1" s="175"/>
      <c r="FQ1" s="175"/>
      <c r="FR1" s="175"/>
      <c r="FS1" s="175"/>
      <c r="FT1" s="175"/>
      <c r="FU1" s="175"/>
      <c r="FV1" s="175"/>
      <c r="FW1" s="175"/>
      <c r="FX1" s="175"/>
      <c r="FY1" s="175"/>
      <c r="FZ1" s="175"/>
      <c r="GA1" s="175"/>
      <c r="GB1" s="175"/>
      <c r="GC1" s="175"/>
      <c r="GD1" s="175"/>
      <c r="GE1" s="175"/>
      <c r="GF1" s="175"/>
      <c r="GG1" s="175"/>
      <c r="GH1" s="175"/>
      <c r="GI1" s="175"/>
      <c r="GJ1" s="175"/>
      <c r="GK1" s="175"/>
      <c r="GL1" s="175"/>
      <c r="GM1" s="175"/>
      <c r="GN1" s="175"/>
      <c r="GO1" s="175"/>
      <c r="GP1" s="175"/>
      <c r="GQ1" s="175"/>
      <c r="GR1" s="175"/>
      <c r="GS1" s="175"/>
      <c r="GT1" s="175"/>
      <c r="GU1" s="175"/>
      <c r="GV1" s="175"/>
      <c r="GW1" s="175"/>
      <c r="GX1" s="175"/>
      <c r="GY1" s="175"/>
      <c r="GZ1" s="175"/>
      <c r="HA1" s="175"/>
      <c r="HB1" s="175"/>
      <c r="HC1" s="175"/>
      <c r="HD1" s="175"/>
      <c r="HE1" s="175"/>
      <c r="HF1" s="175"/>
      <c r="HG1" s="175"/>
      <c r="HH1" s="175"/>
      <c r="HI1" s="175"/>
      <c r="HJ1" s="175"/>
      <c r="HK1" s="175"/>
      <c r="HL1" s="175"/>
      <c r="HM1" s="175"/>
      <c r="HN1" s="175"/>
      <c r="HO1" s="175"/>
      <c r="HP1" s="175"/>
      <c r="HQ1" s="175"/>
      <c r="HR1" s="175"/>
      <c r="HS1" s="175"/>
      <c r="HT1" s="175"/>
      <c r="HU1" s="175"/>
      <c r="HW1" s="171" t="s">
        <v>4</v>
      </c>
      <c r="HX1" s="171"/>
      <c r="HY1" s="171"/>
      <c r="HZ1" s="171"/>
      <c r="IA1" s="171"/>
      <c r="IB1" s="171"/>
      <c r="IC1" s="171"/>
      <c r="ID1" s="171"/>
      <c r="IE1" s="171"/>
      <c r="IF1" s="171"/>
      <c r="IG1" s="171"/>
      <c r="IH1" s="171"/>
      <c r="II1" s="171"/>
      <c r="IJ1" s="171"/>
      <c r="IK1" s="171"/>
      <c r="IL1" s="171"/>
      <c r="IM1" s="171"/>
      <c r="IN1" s="171"/>
      <c r="IO1" s="171"/>
      <c r="IP1" s="171"/>
      <c r="IQ1" s="171"/>
      <c r="IR1" s="171"/>
      <c r="IS1" s="171"/>
      <c r="IT1" s="171"/>
      <c r="IU1" s="171"/>
      <c r="IV1" s="171"/>
      <c r="IW1" s="171"/>
      <c r="IX1" s="171"/>
      <c r="IY1" s="171"/>
      <c r="IZ1" s="171"/>
      <c r="JA1" s="171"/>
      <c r="JB1" s="171"/>
      <c r="JC1" s="171"/>
      <c r="JD1" s="171"/>
      <c r="JE1" s="171"/>
      <c r="JF1" s="171"/>
      <c r="JG1" s="171"/>
      <c r="JH1" s="171"/>
      <c r="JI1" s="171"/>
      <c r="JJ1" s="171"/>
      <c r="JK1" s="171"/>
      <c r="JL1" s="171"/>
      <c r="JM1" s="171"/>
      <c r="JN1" s="171"/>
      <c r="JO1" s="171"/>
      <c r="JP1" s="171"/>
      <c r="JQ1" s="171"/>
      <c r="JR1" s="171"/>
      <c r="JS1" s="171"/>
      <c r="JT1" s="171"/>
      <c r="JU1" s="171"/>
      <c r="JV1" s="171"/>
      <c r="JW1" s="171"/>
      <c r="JX1" s="171"/>
      <c r="JY1" s="171"/>
      <c r="JZ1" s="171"/>
      <c r="KA1" s="171"/>
      <c r="KB1" s="171"/>
      <c r="KC1" s="171"/>
      <c r="KD1" s="171"/>
      <c r="KE1" s="171"/>
      <c r="KF1" s="171"/>
      <c r="KG1" s="171"/>
      <c r="KH1" s="171"/>
      <c r="KI1" s="171"/>
      <c r="KJ1" s="171"/>
      <c r="KK1" s="171"/>
      <c r="KL1" s="171"/>
      <c r="KM1" s="171"/>
      <c r="KN1" s="171"/>
      <c r="KO1" s="171"/>
      <c r="KP1" s="171"/>
      <c r="KQ1" s="171"/>
      <c r="KR1" s="171"/>
      <c r="KS1" s="171"/>
      <c r="KT1" s="171"/>
      <c r="KU1" s="171"/>
      <c r="KV1" s="171"/>
      <c r="KW1" s="171"/>
      <c r="KX1" s="171"/>
      <c r="KY1" s="171"/>
      <c r="KZ1" s="171"/>
      <c r="LA1" s="171"/>
      <c r="LD1" s="171" t="s">
        <v>184</v>
      </c>
      <c r="LE1" s="171"/>
      <c r="LF1" s="171"/>
      <c r="LG1" s="171"/>
      <c r="LH1" s="171"/>
      <c r="LI1" s="171"/>
      <c r="LJ1" s="171"/>
      <c r="LK1" s="171"/>
      <c r="LL1" s="171"/>
      <c r="LM1" s="171"/>
      <c r="LN1" s="171"/>
      <c r="LO1" s="171"/>
      <c r="LP1" s="171"/>
      <c r="LQ1" s="171"/>
      <c r="LR1" s="171"/>
      <c r="LS1" s="171"/>
      <c r="LT1" s="171"/>
      <c r="LU1" s="171"/>
      <c r="LV1" s="171"/>
      <c r="LW1" s="171"/>
      <c r="LX1" s="171"/>
      <c r="LY1" s="171"/>
      <c r="LZ1" s="171"/>
      <c r="MA1" s="171"/>
      <c r="MB1" s="171"/>
      <c r="MC1" s="171"/>
      <c r="MD1" s="171"/>
      <c r="ME1" s="171"/>
      <c r="MF1" s="171"/>
      <c r="MG1" s="171"/>
      <c r="MH1" s="171"/>
      <c r="MI1" s="171"/>
      <c r="MJ1" s="171"/>
      <c r="MK1" s="171"/>
      <c r="ML1" s="171"/>
      <c r="MM1" s="171"/>
      <c r="MN1" s="171"/>
      <c r="MO1" s="171"/>
      <c r="MP1" s="171"/>
      <c r="MQ1" s="171"/>
      <c r="MR1" s="171"/>
      <c r="MS1" s="171"/>
      <c r="MT1" s="171"/>
      <c r="MU1" s="171"/>
      <c r="MV1" s="171"/>
      <c r="MW1" s="171"/>
      <c r="MX1" s="171"/>
      <c r="MY1" s="171"/>
      <c r="MZ1" s="171"/>
      <c r="NA1" s="171"/>
      <c r="NB1" s="171"/>
      <c r="NC1" s="171"/>
      <c r="ND1" s="171"/>
      <c r="NE1" s="171"/>
      <c r="NF1" s="171"/>
      <c r="NG1" s="171"/>
      <c r="NH1" s="171"/>
      <c r="NI1" s="171"/>
      <c r="NJ1" s="171"/>
      <c r="NK1" s="171"/>
      <c r="NL1" s="171"/>
      <c r="NM1" s="171"/>
      <c r="NN1" s="171"/>
      <c r="NO1" s="171"/>
      <c r="NP1" s="171"/>
      <c r="NQ1" s="171"/>
      <c r="NR1" s="171"/>
      <c r="NS1" s="171"/>
      <c r="NT1" s="171"/>
      <c r="NU1" s="171"/>
      <c r="NV1" s="171"/>
      <c r="NW1" s="171"/>
      <c r="NX1" s="171"/>
      <c r="NY1" s="171"/>
      <c r="NZ1" s="171"/>
      <c r="OA1" s="171"/>
      <c r="OB1" s="171"/>
      <c r="OC1" s="171"/>
      <c r="OD1" s="171"/>
      <c r="OE1" s="171"/>
      <c r="OF1" s="171"/>
      <c r="OG1" s="171"/>
      <c r="OH1" s="171"/>
      <c r="OI1" s="171"/>
      <c r="OJ1" s="171"/>
      <c r="OK1" s="171"/>
      <c r="OL1" s="171"/>
      <c r="OM1" s="171"/>
      <c r="ON1" s="171"/>
      <c r="OO1" s="171"/>
      <c r="OP1" s="171"/>
      <c r="OQ1" s="171"/>
      <c r="OR1" s="171"/>
      <c r="OS1" s="171"/>
      <c r="OT1" s="171"/>
      <c r="OU1" s="171"/>
      <c r="OV1" s="171"/>
      <c r="OW1" s="171"/>
      <c r="OX1" s="171"/>
      <c r="OY1" s="171"/>
      <c r="OZ1" s="171"/>
      <c r="PA1" s="171"/>
      <c r="PB1" s="171"/>
      <c r="PC1" s="171"/>
      <c r="PD1" s="171"/>
      <c r="PE1" s="171"/>
      <c r="PF1" s="171"/>
      <c r="PG1" s="171"/>
      <c r="PH1" s="171"/>
      <c r="PI1" s="171"/>
      <c r="PJ1" s="171"/>
      <c r="PK1" s="171"/>
      <c r="PL1" s="171"/>
      <c r="PM1" s="171"/>
      <c r="PN1" s="171"/>
      <c r="PO1" s="171"/>
      <c r="PP1" s="171"/>
      <c r="PQ1" s="171"/>
      <c r="PR1" s="171"/>
      <c r="PS1" s="171"/>
      <c r="PT1" s="171"/>
      <c r="PU1" s="171"/>
      <c r="PV1" s="171"/>
      <c r="PW1" s="171"/>
      <c r="PX1" s="171"/>
      <c r="PY1" s="171"/>
      <c r="PZ1" s="171"/>
      <c r="QA1" s="171"/>
      <c r="QB1" s="171"/>
      <c r="QC1" s="171"/>
      <c r="QD1" s="171"/>
      <c r="QE1" s="171"/>
      <c r="QF1" s="171"/>
      <c r="QG1" s="171"/>
      <c r="QH1" s="171"/>
      <c r="QI1" s="171"/>
      <c r="QJ1" s="171"/>
      <c r="QK1" s="171"/>
      <c r="QL1" s="171"/>
      <c r="QM1" s="171"/>
      <c r="QN1" s="171"/>
      <c r="QO1" s="171"/>
      <c r="QP1" s="171"/>
      <c r="QQ1" s="171"/>
      <c r="QR1" s="171"/>
      <c r="QS1" s="171"/>
      <c r="QT1" s="171"/>
      <c r="QU1" s="171"/>
      <c r="QV1" s="171"/>
      <c r="QW1" s="171"/>
      <c r="QX1" s="171"/>
      <c r="QY1" s="171"/>
      <c r="QZ1" s="171"/>
      <c r="RA1" s="171"/>
      <c r="RB1" s="171"/>
      <c r="RC1" s="171"/>
      <c r="RD1" s="171"/>
      <c r="RE1" s="171"/>
      <c r="RF1" s="171"/>
      <c r="RG1" s="171"/>
      <c r="RH1" s="171"/>
      <c r="RI1" s="171"/>
      <c r="RJ1" s="171"/>
      <c r="RK1" s="171"/>
      <c r="RL1" s="171"/>
      <c r="RM1" s="171"/>
      <c r="RN1" s="171"/>
      <c r="RO1" s="171"/>
      <c r="RP1" s="171"/>
      <c r="RQ1" s="171"/>
      <c r="RR1" s="171"/>
      <c r="RS1" s="171"/>
      <c r="RT1" s="171"/>
      <c r="RU1" s="171"/>
      <c r="RV1" s="171"/>
      <c r="RW1" s="171"/>
      <c r="RX1" s="171"/>
      <c r="RY1" s="171"/>
      <c r="RZ1" s="171"/>
      <c r="SA1" s="171"/>
      <c r="SB1" s="171"/>
      <c r="SC1" s="171"/>
      <c r="SD1" s="171"/>
      <c r="SE1" s="171"/>
      <c r="SF1" s="171"/>
      <c r="SG1" s="171"/>
      <c r="SH1" s="171"/>
      <c r="SI1" s="171"/>
      <c r="SJ1" s="171"/>
      <c r="SK1" s="171"/>
      <c r="SL1" s="171"/>
      <c r="SM1" s="171"/>
      <c r="SN1" s="171"/>
      <c r="SO1" s="171"/>
      <c r="SP1" s="171"/>
      <c r="SQ1" s="171"/>
    </row>
    <row r="2" spans="1:538" ht="18.75" customHeight="1">
      <c r="A2" s="170"/>
      <c r="B2" s="170"/>
      <c r="C2" s="170"/>
      <c r="D2" s="170"/>
      <c r="E2" s="73">
        <f>+SUMIFS(TablaGeneral[Has],TablaGeneral[Finca],"Camino truncado",TablaGeneral[Variedad],F2)</f>
        <v>21.907999999999994</v>
      </c>
      <c r="F2" s="173" t="s">
        <v>7</v>
      </c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29"/>
      <c r="AG2" s="73">
        <f>+SUMIFS(TablaGeneral[Has],TablaGeneral[Finca],"Camino truncado",TablaGeneral[Variedad],AH2)</f>
        <v>15.840000000000002</v>
      </c>
      <c r="AH2" s="173" t="s">
        <v>10</v>
      </c>
      <c r="AI2" s="173"/>
      <c r="AJ2" s="173"/>
      <c r="AK2" s="173"/>
      <c r="AL2" s="173"/>
      <c r="AM2" s="173"/>
      <c r="AN2" s="173"/>
      <c r="AO2" s="173"/>
      <c r="AP2" s="173"/>
      <c r="AQ2" s="173"/>
      <c r="AR2" s="173"/>
      <c r="AS2" s="173"/>
      <c r="AT2" s="173"/>
      <c r="AU2" s="173"/>
      <c r="AV2" s="173"/>
      <c r="AW2" s="173"/>
      <c r="AX2" s="173"/>
      <c r="AY2" s="173"/>
      <c r="AZ2" s="173"/>
      <c r="BA2" s="173"/>
      <c r="BB2" s="173"/>
      <c r="BC2" s="173"/>
      <c r="BD2" s="173"/>
      <c r="BE2" s="173"/>
      <c r="BF2" s="173"/>
      <c r="BG2" s="173"/>
      <c r="BH2" s="29"/>
      <c r="BI2" s="73">
        <f>+SUMIFS(TablaGeneral[Has],TablaGeneral[Finca],"Camino truncado",TablaGeneral[Variedad],BJ2)</f>
        <v>19.5258</v>
      </c>
      <c r="BJ2" s="173" t="s">
        <v>6</v>
      </c>
      <c r="BK2" s="173"/>
      <c r="BL2" s="173"/>
      <c r="BM2" s="173"/>
      <c r="BN2" s="173"/>
      <c r="BO2" s="173"/>
      <c r="BP2" s="173"/>
      <c r="BQ2" s="173"/>
      <c r="BR2" s="173"/>
      <c r="BS2" s="173"/>
      <c r="BT2" s="173"/>
      <c r="BU2" s="173"/>
      <c r="BV2" s="173"/>
      <c r="BW2" s="173"/>
      <c r="BX2" s="173"/>
      <c r="BY2" s="173"/>
      <c r="BZ2" s="173"/>
      <c r="CA2" s="173"/>
      <c r="CB2" s="173"/>
      <c r="CC2" s="173"/>
      <c r="CD2" s="173"/>
      <c r="CE2" s="173"/>
      <c r="CF2" s="173"/>
      <c r="CG2" s="173"/>
      <c r="CH2" s="173"/>
      <c r="CI2" s="173"/>
      <c r="CJ2" s="29"/>
      <c r="CK2" s="73">
        <f>+SUMIFS(TablaGeneral[Has],TablaGeneral[Finca],"Camino truncado",TablaGeneral[Variedad],CL2)</f>
        <v>5.7799999999999994</v>
      </c>
      <c r="CL2" s="173" t="s">
        <v>9</v>
      </c>
      <c r="CM2" s="173"/>
      <c r="CN2" s="173"/>
      <c r="CO2" s="173"/>
      <c r="CP2" s="173"/>
      <c r="CQ2" s="173"/>
      <c r="CR2" s="173"/>
      <c r="CS2" s="173"/>
      <c r="CT2" s="173"/>
      <c r="CU2" s="173"/>
      <c r="CV2" s="173"/>
      <c r="CW2" s="173"/>
      <c r="CX2" s="173"/>
      <c r="CY2" s="173"/>
      <c r="CZ2" s="173"/>
      <c r="DA2" s="173"/>
      <c r="DB2" s="173"/>
      <c r="DC2" s="173"/>
      <c r="DD2" s="173"/>
      <c r="DE2" s="173"/>
      <c r="DF2" s="173"/>
      <c r="DG2" s="173"/>
      <c r="DH2" s="173"/>
      <c r="DI2" s="173"/>
      <c r="DJ2" s="173"/>
      <c r="DK2" s="173"/>
      <c r="DL2" s="29"/>
      <c r="DM2" s="73">
        <f>+SUMIFS(TablaGeneral[Has],TablaGeneral[Finca],"Camino truncado",TablaGeneral[Variedad],DN2)</f>
        <v>2.99</v>
      </c>
      <c r="DN2" s="173" t="s">
        <v>11</v>
      </c>
      <c r="DO2" s="173"/>
      <c r="DP2" s="173"/>
      <c r="DQ2" s="173"/>
      <c r="DR2" s="173"/>
      <c r="DS2" s="173"/>
      <c r="DT2" s="173"/>
      <c r="DU2" s="173"/>
      <c r="DV2" s="173"/>
      <c r="DW2" s="173"/>
      <c r="DX2" s="173"/>
      <c r="DY2" s="173"/>
      <c r="DZ2" s="173"/>
      <c r="EA2" s="173"/>
      <c r="EB2" s="173"/>
      <c r="EC2" s="173"/>
      <c r="ED2" s="173"/>
      <c r="EE2" s="173"/>
      <c r="EF2" s="173"/>
      <c r="EG2" s="173"/>
      <c r="EH2" s="173"/>
      <c r="EI2" s="173"/>
      <c r="EJ2" s="173"/>
      <c r="EK2" s="173"/>
      <c r="EL2" s="173"/>
      <c r="EM2" s="173"/>
      <c r="EN2" s="85">
        <f>+SUMIFS(TablaGeneral[Has],TablaGeneral[Finca],"Camino truncado")</f>
        <v>66.043800000000005</v>
      </c>
      <c r="EO2" s="73"/>
      <c r="EP2" s="73">
        <f>+SUMIFS(TablaGeneral[Has],TablaGeneral[Finca],"La Chimbera",TablaGeneral[Variedad],EQ2)</f>
        <v>11.4</v>
      </c>
      <c r="EQ2" s="173" t="s">
        <v>7</v>
      </c>
      <c r="ER2" s="173"/>
      <c r="ES2" s="173"/>
      <c r="ET2" s="173"/>
      <c r="EU2" s="173"/>
      <c r="EV2" s="173"/>
      <c r="EW2" s="173"/>
      <c r="EX2" s="173"/>
      <c r="EY2" s="173"/>
      <c r="EZ2" s="173"/>
      <c r="FA2" s="173"/>
      <c r="FB2" s="173"/>
      <c r="FC2" s="173"/>
      <c r="FD2" s="173"/>
      <c r="FE2" s="173"/>
      <c r="FF2" s="173"/>
      <c r="FG2" s="173"/>
      <c r="FH2" s="173"/>
      <c r="FI2" s="173"/>
      <c r="FJ2" s="173"/>
      <c r="FK2" s="173"/>
      <c r="FL2" s="173"/>
      <c r="FM2" s="173"/>
      <c r="FN2" s="173"/>
      <c r="FO2" s="173"/>
      <c r="FP2" s="173"/>
      <c r="FQ2" s="75"/>
      <c r="FR2" s="73">
        <f>+SUMIFS(TablaGeneral[Has],TablaGeneral[Finca],"La Chimbera",TablaGeneral[Variedad],FS2)</f>
        <v>9.8000000000000007</v>
      </c>
      <c r="FS2" s="173" t="s">
        <v>10</v>
      </c>
      <c r="FT2" s="173"/>
      <c r="FU2" s="173"/>
      <c r="FV2" s="173"/>
      <c r="FW2" s="173"/>
      <c r="FX2" s="173"/>
      <c r="FY2" s="173"/>
      <c r="FZ2" s="173"/>
      <c r="GA2" s="173"/>
      <c r="GB2" s="173"/>
      <c r="GC2" s="173"/>
      <c r="GD2" s="173"/>
      <c r="GE2" s="173"/>
      <c r="GF2" s="173"/>
      <c r="GG2" s="173"/>
      <c r="GH2" s="173"/>
      <c r="GI2" s="173"/>
      <c r="GJ2" s="173"/>
      <c r="GK2" s="173"/>
      <c r="GL2" s="173"/>
      <c r="GM2" s="173"/>
      <c r="GN2" s="173"/>
      <c r="GO2" s="173"/>
      <c r="GP2" s="173"/>
      <c r="GQ2" s="173"/>
      <c r="GR2" s="173"/>
      <c r="GS2" s="75"/>
      <c r="GT2" s="73">
        <f>+SUMIFS(TablaGeneral[Has],TablaGeneral[Finca],"La Chimbera",TablaGeneral[Variedad],GU2)</f>
        <v>19.100000000000001</v>
      </c>
      <c r="GU2" s="173" t="s">
        <v>6</v>
      </c>
      <c r="GV2" s="173"/>
      <c r="GW2" s="173"/>
      <c r="GX2" s="173"/>
      <c r="GY2" s="173"/>
      <c r="GZ2" s="173"/>
      <c r="HA2" s="173"/>
      <c r="HB2" s="173"/>
      <c r="HC2" s="173"/>
      <c r="HD2" s="173"/>
      <c r="HE2" s="173"/>
      <c r="HF2" s="173"/>
      <c r="HG2" s="173"/>
      <c r="HH2" s="173"/>
      <c r="HI2" s="173"/>
      <c r="HJ2" s="173"/>
      <c r="HK2" s="173"/>
      <c r="HL2" s="173"/>
      <c r="HM2" s="173"/>
      <c r="HN2" s="173"/>
      <c r="HO2" s="173"/>
      <c r="HP2" s="173"/>
      <c r="HQ2" s="173"/>
      <c r="HR2" s="173"/>
      <c r="HS2" s="173"/>
      <c r="HT2" s="173"/>
      <c r="HU2" s="73">
        <f>+SUMIFS(TablaGeneral[Has],TablaGeneral[Finca],"La Chimbera")</f>
        <v>40.300000000000004</v>
      </c>
      <c r="HV2" s="29"/>
      <c r="HW2" s="73">
        <f>+SUMIFS(TablaGeneral[Has],TablaGeneral[Finca],"Puente Alto",TablaGeneral[Variedad],HX2)</f>
        <v>5.82</v>
      </c>
      <c r="HX2" s="173" t="s">
        <v>7</v>
      </c>
      <c r="HY2" s="173"/>
      <c r="HZ2" s="173"/>
      <c r="IA2" s="173"/>
      <c r="IB2" s="173"/>
      <c r="IC2" s="173"/>
      <c r="ID2" s="173"/>
      <c r="IE2" s="173"/>
      <c r="IF2" s="173"/>
      <c r="IG2" s="173"/>
      <c r="IH2" s="173"/>
      <c r="II2" s="173"/>
      <c r="IJ2" s="173"/>
      <c r="IK2" s="173"/>
      <c r="IL2" s="173"/>
      <c r="IM2" s="173"/>
      <c r="IN2" s="173"/>
      <c r="IO2" s="173"/>
      <c r="IP2" s="173"/>
      <c r="IQ2" s="173"/>
      <c r="IR2" s="173"/>
      <c r="IS2" s="173"/>
      <c r="IT2" s="173"/>
      <c r="IU2" s="173"/>
      <c r="IV2" s="173"/>
      <c r="IW2" s="173"/>
      <c r="IX2" s="75"/>
      <c r="IY2" s="73">
        <f>+SUMIFS(TablaGeneral[Has],TablaGeneral[Finca],"Puente Alto",TablaGeneral[Variedad],IZ2)</f>
        <v>14.68</v>
      </c>
      <c r="IZ2" s="173" t="s">
        <v>6</v>
      </c>
      <c r="JA2" s="173"/>
      <c r="JB2" s="173"/>
      <c r="JC2" s="173"/>
      <c r="JD2" s="173"/>
      <c r="JE2" s="173"/>
      <c r="JF2" s="173"/>
      <c r="JG2" s="173"/>
      <c r="JH2" s="173"/>
      <c r="JI2" s="173"/>
      <c r="JJ2" s="173"/>
      <c r="JK2" s="173"/>
      <c r="JL2" s="173"/>
      <c r="JM2" s="173"/>
      <c r="JN2" s="173"/>
      <c r="JO2" s="173"/>
      <c r="JP2" s="173"/>
      <c r="JQ2" s="173"/>
      <c r="JR2" s="173"/>
      <c r="JS2" s="173"/>
      <c r="JT2" s="173"/>
      <c r="JU2" s="173"/>
      <c r="JV2" s="173"/>
      <c r="JW2" s="173"/>
      <c r="JX2" s="173"/>
      <c r="JY2" s="173"/>
      <c r="JZ2" s="75"/>
      <c r="KA2" s="73">
        <f>+SUMIFS(TablaGeneral[Has],TablaGeneral[Finca],"Puente Alto",TablaGeneral[Variedad],KB2)</f>
        <v>6.2799999999999994</v>
      </c>
      <c r="KB2" s="173" t="s">
        <v>5</v>
      </c>
      <c r="KC2" s="173"/>
      <c r="KD2" s="173"/>
      <c r="KE2" s="173"/>
      <c r="KF2" s="173"/>
      <c r="KG2" s="173"/>
      <c r="KH2" s="173"/>
      <c r="KI2" s="173"/>
      <c r="KJ2" s="173"/>
      <c r="KK2" s="173"/>
      <c r="KL2" s="173"/>
      <c r="KM2" s="173"/>
      <c r="KN2" s="173"/>
      <c r="KO2" s="173"/>
      <c r="KP2" s="173"/>
      <c r="KQ2" s="173"/>
      <c r="KR2" s="173"/>
      <c r="KS2" s="173"/>
      <c r="KT2" s="173"/>
      <c r="KU2" s="173"/>
      <c r="KV2" s="173"/>
      <c r="KW2" s="173"/>
      <c r="KX2" s="173"/>
      <c r="KY2" s="173"/>
      <c r="KZ2" s="173"/>
      <c r="LA2" s="173"/>
      <c r="LB2" s="73">
        <f>+SUMIFS(TablaGeneral[Has],TablaGeneral[Finca],"puente alto")</f>
        <v>26.78</v>
      </c>
      <c r="LC2" s="81"/>
      <c r="LD2" s="73">
        <f>+SUMIFS(TablaGeneral[Has],TablaGeneral[Ref Fincas],"El Espejo",TablaGeneral[Ref 2],LE2)</f>
        <v>27.630000000000003</v>
      </c>
      <c r="LE2" s="173" t="s">
        <v>176</v>
      </c>
      <c r="LF2" s="173"/>
      <c r="LG2" s="173"/>
      <c r="LH2" s="173"/>
      <c r="LI2" s="173"/>
      <c r="LJ2" s="173"/>
      <c r="LK2" s="173"/>
      <c r="LL2" s="173"/>
      <c r="LM2" s="173"/>
      <c r="LN2" s="173"/>
      <c r="LO2" s="173"/>
      <c r="LP2" s="173"/>
      <c r="LQ2" s="173"/>
      <c r="LR2" s="173"/>
      <c r="LS2" s="173"/>
      <c r="LT2" s="173"/>
      <c r="LU2" s="173"/>
      <c r="LV2" s="173"/>
      <c r="LW2" s="173"/>
      <c r="LX2" s="173"/>
      <c r="LY2" s="173"/>
      <c r="LZ2" s="173"/>
      <c r="MA2" s="173"/>
      <c r="MB2" s="173"/>
      <c r="MC2" s="173"/>
      <c r="MD2" s="173"/>
      <c r="ME2" s="75"/>
      <c r="MF2" s="73">
        <f>+SUMIFS(TablaGeneral[Has],TablaGeneral[Ref Fincas],"El Espejo",TablaGeneral[Ref 2],MG2)</f>
        <v>55.179999999999993</v>
      </c>
      <c r="MG2" s="173" t="s">
        <v>177</v>
      </c>
      <c r="MH2" s="173"/>
      <c r="MI2" s="173"/>
      <c r="MJ2" s="173"/>
      <c r="MK2" s="173"/>
      <c r="ML2" s="173"/>
      <c r="MM2" s="173"/>
      <c r="MN2" s="173"/>
      <c r="MO2" s="173"/>
      <c r="MP2" s="173"/>
      <c r="MQ2" s="173"/>
      <c r="MR2" s="173"/>
      <c r="MS2" s="173"/>
      <c r="MT2" s="173"/>
      <c r="MU2" s="173"/>
      <c r="MV2" s="173"/>
      <c r="MW2" s="173"/>
      <c r="MX2" s="173"/>
      <c r="MY2" s="173"/>
      <c r="MZ2" s="173"/>
      <c r="NA2" s="173"/>
      <c r="NB2" s="173"/>
      <c r="NC2" s="173"/>
      <c r="ND2" s="173"/>
      <c r="NE2" s="173"/>
      <c r="NF2" s="173"/>
      <c r="NG2" s="75"/>
      <c r="NH2" s="73">
        <f>+SUMIFS(TablaGeneral[Has],TablaGeneral[Ref Fincas],"El Espejo",TablaGeneral[Ref 2],NI2)</f>
        <v>52.019999999999996</v>
      </c>
      <c r="NI2" s="173" t="s">
        <v>178</v>
      </c>
      <c r="NJ2" s="173"/>
      <c r="NK2" s="173"/>
      <c r="NL2" s="173"/>
      <c r="NM2" s="173"/>
      <c r="NN2" s="173"/>
      <c r="NO2" s="173"/>
      <c r="NP2" s="173"/>
      <c r="NQ2" s="173"/>
      <c r="NR2" s="173"/>
      <c r="NS2" s="173"/>
      <c r="NT2" s="173"/>
      <c r="NU2" s="173"/>
      <c r="NV2" s="173"/>
      <c r="NW2" s="173"/>
      <c r="NX2" s="173"/>
      <c r="NY2" s="173"/>
      <c r="NZ2" s="173"/>
      <c r="OA2" s="173"/>
      <c r="OB2" s="173"/>
      <c r="OC2" s="173"/>
      <c r="OD2" s="173"/>
      <c r="OE2" s="173"/>
      <c r="OF2" s="173"/>
      <c r="OG2" s="173"/>
      <c r="OH2" s="173"/>
      <c r="OI2" s="75"/>
      <c r="OJ2" s="73">
        <f>+SUMIFS(TablaGeneral[Has],TablaGeneral[Ref Fincas],"El Espejo",TablaGeneral[Ref 2],OK2)</f>
        <v>26.03</v>
      </c>
      <c r="OK2" s="173" t="s">
        <v>179</v>
      </c>
      <c r="OL2" s="173"/>
      <c r="OM2" s="173"/>
      <c r="ON2" s="173"/>
      <c r="OO2" s="173"/>
      <c r="OP2" s="173"/>
      <c r="OQ2" s="173"/>
      <c r="OR2" s="173"/>
      <c r="OS2" s="173"/>
      <c r="OT2" s="173"/>
      <c r="OU2" s="173"/>
      <c r="OV2" s="173"/>
      <c r="OW2" s="173"/>
      <c r="OX2" s="173"/>
      <c r="OY2" s="173"/>
      <c r="OZ2" s="173"/>
      <c r="PA2" s="173"/>
      <c r="PB2" s="173"/>
      <c r="PC2" s="173"/>
      <c r="PD2" s="173"/>
      <c r="PE2" s="173"/>
      <c r="PF2" s="173"/>
      <c r="PG2" s="173"/>
      <c r="PH2" s="173"/>
      <c r="PI2" s="173"/>
      <c r="PJ2" s="173"/>
      <c r="PK2" s="75"/>
      <c r="PL2" s="73">
        <f>+SUMIFS(TablaGeneral[Has],TablaGeneral[Ref Fincas],"El Espejo",TablaGeneral[Ref 2],PM2)</f>
        <v>31.15</v>
      </c>
      <c r="PM2" s="173" t="s">
        <v>180</v>
      </c>
      <c r="PN2" s="173"/>
      <c r="PO2" s="173"/>
      <c r="PP2" s="173"/>
      <c r="PQ2" s="173"/>
      <c r="PR2" s="173"/>
      <c r="PS2" s="173"/>
      <c r="PT2" s="173"/>
      <c r="PU2" s="173"/>
      <c r="PV2" s="173"/>
      <c r="PW2" s="173"/>
      <c r="PX2" s="173"/>
      <c r="PY2" s="173"/>
      <c r="PZ2" s="173"/>
      <c r="QA2" s="173"/>
      <c r="QB2" s="173"/>
      <c r="QC2" s="173"/>
      <c r="QD2" s="173"/>
      <c r="QE2" s="173"/>
      <c r="QF2" s="173"/>
      <c r="QG2" s="173"/>
      <c r="QH2" s="173"/>
      <c r="QI2" s="173"/>
      <c r="QJ2" s="173"/>
      <c r="QK2" s="173"/>
      <c r="QL2" s="173"/>
      <c r="QM2" s="75"/>
      <c r="QN2" s="73">
        <f>+SUMIFS(TablaGeneral[Has],TablaGeneral[Ref Fincas],"El Espejo",TablaGeneral[Ref 2],QO2)</f>
        <v>44.32</v>
      </c>
      <c r="QO2" s="173" t="s">
        <v>181</v>
      </c>
      <c r="QP2" s="173"/>
      <c r="QQ2" s="173"/>
      <c r="QR2" s="173"/>
      <c r="QS2" s="173"/>
      <c r="QT2" s="173"/>
      <c r="QU2" s="173"/>
      <c r="QV2" s="173"/>
      <c r="QW2" s="173"/>
      <c r="QX2" s="173"/>
      <c r="QY2" s="173"/>
      <c r="QZ2" s="173"/>
      <c r="RA2" s="173"/>
      <c r="RB2" s="173"/>
      <c r="RC2" s="173"/>
      <c r="RD2" s="173"/>
      <c r="RE2" s="173"/>
      <c r="RF2" s="173"/>
      <c r="RG2" s="173"/>
      <c r="RH2" s="173"/>
      <c r="RI2" s="173"/>
      <c r="RJ2" s="173"/>
      <c r="RK2" s="173"/>
      <c r="RL2" s="173"/>
      <c r="RM2" s="173"/>
      <c r="RN2" s="173"/>
      <c r="RO2" s="75"/>
      <c r="RP2" s="73">
        <f>+SUMIFS(TablaGeneral[Has],TablaGeneral[Ref Fincas],"El Espejo",TablaGeneral[Ref 2],RQ2)</f>
        <v>12.72</v>
      </c>
      <c r="RQ2" s="173" t="s">
        <v>182</v>
      </c>
      <c r="RR2" s="173"/>
      <c r="RS2" s="173"/>
      <c r="RT2" s="173"/>
      <c r="RU2" s="173"/>
      <c r="RV2" s="173"/>
      <c r="RW2" s="173"/>
      <c r="RX2" s="173"/>
      <c r="RY2" s="173"/>
      <c r="RZ2" s="173"/>
      <c r="SA2" s="173"/>
      <c r="SB2" s="173"/>
      <c r="SC2" s="173"/>
      <c r="SD2" s="173"/>
      <c r="SE2" s="173"/>
      <c r="SF2" s="173"/>
      <c r="SG2" s="173"/>
      <c r="SH2" s="173"/>
      <c r="SI2" s="173"/>
      <c r="SJ2" s="173"/>
      <c r="SK2" s="173"/>
      <c r="SL2" s="173"/>
      <c r="SM2" s="173"/>
      <c r="SN2" s="173"/>
      <c r="SO2" s="173"/>
      <c r="SP2" s="173"/>
      <c r="SQ2" s="73">
        <f>+SUMIFS(TablaGeneral[Has],TablaGeneral[Ref Fincas],"el espejo")</f>
        <v>249.04999999999993</v>
      </c>
      <c r="SR2" s="29"/>
      <c r="SS2" s="172" t="s">
        <v>311</v>
      </c>
    </row>
    <row r="3" spans="1:538" ht="18.75" customHeight="1">
      <c r="A3" s="170"/>
      <c r="B3" s="170"/>
      <c r="C3" s="170"/>
      <c r="D3" s="170"/>
      <c r="E3" s="174" t="s">
        <v>92</v>
      </c>
      <c r="F3" s="174"/>
      <c r="G3" s="174"/>
      <c r="H3" s="174" t="s">
        <v>93</v>
      </c>
      <c r="I3" s="174"/>
      <c r="J3" s="174"/>
      <c r="K3" s="174"/>
      <c r="L3" s="174" t="s">
        <v>94</v>
      </c>
      <c r="M3" s="174"/>
      <c r="N3" s="174"/>
      <c r="O3" s="174"/>
      <c r="P3" s="174" t="s">
        <v>95</v>
      </c>
      <c r="Q3" s="174"/>
      <c r="R3" s="174"/>
      <c r="S3" s="174"/>
      <c r="T3" s="174" t="s">
        <v>252</v>
      </c>
      <c r="U3" s="174"/>
      <c r="V3" s="174"/>
      <c r="W3" s="174"/>
      <c r="X3" s="174" t="s">
        <v>97</v>
      </c>
      <c r="Y3" s="174"/>
      <c r="Z3" s="174"/>
      <c r="AA3" s="174"/>
      <c r="AB3" s="174" t="s">
        <v>98</v>
      </c>
      <c r="AC3" s="174"/>
      <c r="AD3" s="174"/>
      <c r="AE3" s="174"/>
      <c r="AF3" s="29"/>
      <c r="AG3" s="174" t="s">
        <v>92</v>
      </c>
      <c r="AH3" s="174"/>
      <c r="AI3" s="174"/>
      <c r="AJ3" s="174" t="s">
        <v>93</v>
      </c>
      <c r="AK3" s="174"/>
      <c r="AL3" s="174"/>
      <c r="AM3" s="174"/>
      <c r="AN3" s="174" t="s">
        <v>94</v>
      </c>
      <c r="AO3" s="174"/>
      <c r="AP3" s="174"/>
      <c r="AQ3" s="174"/>
      <c r="AR3" s="174" t="s">
        <v>95</v>
      </c>
      <c r="AS3" s="174"/>
      <c r="AT3" s="174"/>
      <c r="AU3" s="174"/>
      <c r="AV3" s="174" t="s">
        <v>252</v>
      </c>
      <c r="AW3" s="174"/>
      <c r="AX3" s="174"/>
      <c r="AY3" s="174"/>
      <c r="AZ3" s="174" t="s">
        <v>97</v>
      </c>
      <c r="BA3" s="174"/>
      <c r="BB3" s="174"/>
      <c r="BC3" s="174"/>
      <c r="BD3" s="174" t="s">
        <v>98</v>
      </c>
      <c r="BE3" s="174"/>
      <c r="BF3" s="174"/>
      <c r="BG3" s="174"/>
      <c r="BH3" s="29"/>
      <c r="BI3" s="174" t="s">
        <v>92</v>
      </c>
      <c r="BJ3" s="174"/>
      <c r="BK3" s="174"/>
      <c r="BL3" s="174" t="s">
        <v>93</v>
      </c>
      <c r="BM3" s="174"/>
      <c r="BN3" s="174"/>
      <c r="BO3" s="174"/>
      <c r="BP3" s="174" t="s">
        <v>94</v>
      </c>
      <c r="BQ3" s="174"/>
      <c r="BR3" s="174"/>
      <c r="BS3" s="174"/>
      <c r="BT3" s="174" t="s">
        <v>95</v>
      </c>
      <c r="BU3" s="174"/>
      <c r="BV3" s="174"/>
      <c r="BW3" s="174"/>
      <c r="BX3" s="174" t="s">
        <v>252</v>
      </c>
      <c r="BY3" s="174"/>
      <c r="BZ3" s="174"/>
      <c r="CA3" s="174"/>
      <c r="CB3" s="174" t="s">
        <v>97</v>
      </c>
      <c r="CC3" s="174"/>
      <c r="CD3" s="174"/>
      <c r="CE3" s="174"/>
      <c r="CF3" s="174" t="s">
        <v>98</v>
      </c>
      <c r="CG3" s="174"/>
      <c r="CH3" s="174"/>
      <c r="CI3" s="174"/>
      <c r="CJ3" s="29"/>
      <c r="CK3" s="174" t="s">
        <v>92</v>
      </c>
      <c r="CL3" s="174"/>
      <c r="CM3" s="174"/>
      <c r="CN3" s="174" t="s">
        <v>93</v>
      </c>
      <c r="CO3" s="174"/>
      <c r="CP3" s="174"/>
      <c r="CQ3" s="174"/>
      <c r="CR3" s="174" t="s">
        <v>94</v>
      </c>
      <c r="CS3" s="174"/>
      <c r="CT3" s="174"/>
      <c r="CU3" s="174"/>
      <c r="CV3" s="174" t="s">
        <v>95</v>
      </c>
      <c r="CW3" s="174"/>
      <c r="CX3" s="174"/>
      <c r="CY3" s="174"/>
      <c r="CZ3" s="174" t="s">
        <v>252</v>
      </c>
      <c r="DA3" s="174"/>
      <c r="DB3" s="174"/>
      <c r="DC3" s="174"/>
      <c r="DD3" s="174" t="s">
        <v>97</v>
      </c>
      <c r="DE3" s="174"/>
      <c r="DF3" s="174"/>
      <c r="DG3" s="174"/>
      <c r="DH3" s="174" t="s">
        <v>98</v>
      </c>
      <c r="DI3" s="174"/>
      <c r="DJ3" s="174"/>
      <c r="DK3" s="174"/>
      <c r="DL3" s="29"/>
      <c r="DM3" s="174" t="s">
        <v>92</v>
      </c>
      <c r="DN3" s="174"/>
      <c r="DO3" s="174"/>
      <c r="DP3" s="174" t="s">
        <v>93</v>
      </c>
      <c r="DQ3" s="174"/>
      <c r="DR3" s="174"/>
      <c r="DS3" s="174"/>
      <c r="DT3" s="174" t="s">
        <v>94</v>
      </c>
      <c r="DU3" s="174"/>
      <c r="DV3" s="174"/>
      <c r="DW3" s="174"/>
      <c r="DX3" s="174" t="s">
        <v>95</v>
      </c>
      <c r="DY3" s="174"/>
      <c r="DZ3" s="174"/>
      <c r="EA3" s="174"/>
      <c r="EB3" s="174" t="s">
        <v>252</v>
      </c>
      <c r="EC3" s="174"/>
      <c r="ED3" s="174"/>
      <c r="EE3" s="174"/>
      <c r="EF3" s="174" t="s">
        <v>97</v>
      </c>
      <c r="EG3" s="174"/>
      <c r="EH3" s="174"/>
      <c r="EI3" s="174"/>
      <c r="EJ3" s="174" t="s">
        <v>98</v>
      </c>
      <c r="EK3" s="174"/>
      <c r="EL3" s="174"/>
      <c r="EM3" s="174"/>
      <c r="EN3" s="29"/>
      <c r="EO3" s="29"/>
      <c r="EP3" s="174" t="s">
        <v>92</v>
      </c>
      <c r="EQ3" s="174"/>
      <c r="ER3" s="174"/>
      <c r="ES3" s="174" t="s">
        <v>93</v>
      </c>
      <c r="ET3" s="174"/>
      <c r="EU3" s="174"/>
      <c r="EV3" s="174"/>
      <c r="EW3" s="174" t="s">
        <v>94</v>
      </c>
      <c r="EX3" s="174"/>
      <c r="EY3" s="174"/>
      <c r="EZ3" s="174"/>
      <c r="FA3" s="174" t="s">
        <v>95</v>
      </c>
      <c r="FB3" s="174"/>
      <c r="FC3" s="174"/>
      <c r="FD3" s="174"/>
      <c r="FE3" s="174" t="s">
        <v>252</v>
      </c>
      <c r="FF3" s="174"/>
      <c r="FG3" s="174"/>
      <c r="FH3" s="174"/>
      <c r="FI3" s="174" t="s">
        <v>97</v>
      </c>
      <c r="FJ3" s="174"/>
      <c r="FK3" s="174"/>
      <c r="FL3" s="174"/>
      <c r="FM3" s="174" t="s">
        <v>98</v>
      </c>
      <c r="FN3" s="174"/>
      <c r="FO3" s="174"/>
      <c r="FP3" s="174"/>
      <c r="FQ3" s="29"/>
      <c r="FR3" s="174" t="s">
        <v>92</v>
      </c>
      <c r="FS3" s="174"/>
      <c r="FT3" s="174"/>
      <c r="FU3" s="174" t="s">
        <v>93</v>
      </c>
      <c r="FV3" s="174"/>
      <c r="FW3" s="174"/>
      <c r="FX3" s="174"/>
      <c r="FY3" s="174" t="s">
        <v>94</v>
      </c>
      <c r="FZ3" s="174"/>
      <c r="GA3" s="174"/>
      <c r="GB3" s="174"/>
      <c r="GC3" s="174" t="s">
        <v>95</v>
      </c>
      <c r="GD3" s="174"/>
      <c r="GE3" s="174"/>
      <c r="GF3" s="174"/>
      <c r="GG3" s="174" t="s">
        <v>252</v>
      </c>
      <c r="GH3" s="174"/>
      <c r="GI3" s="174"/>
      <c r="GJ3" s="174"/>
      <c r="GK3" s="174" t="s">
        <v>97</v>
      </c>
      <c r="GL3" s="174"/>
      <c r="GM3" s="174"/>
      <c r="GN3" s="174"/>
      <c r="GO3" s="174" t="s">
        <v>98</v>
      </c>
      <c r="GP3" s="174"/>
      <c r="GQ3" s="174"/>
      <c r="GR3" s="174"/>
      <c r="GS3" s="29"/>
      <c r="GT3" s="174" t="s">
        <v>92</v>
      </c>
      <c r="GU3" s="174"/>
      <c r="GV3" s="174"/>
      <c r="GW3" s="174" t="s">
        <v>93</v>
      </c>
      <c r="GX3" s="174"/>
      <c r="GY3" s="174"/>
      <c r="GZ3" s="174"/>
      <c r="HA3" s="174" t="s">
        <v>94</v>
      </c>
      <c r="HB3" s="174"/>
      <c r="HC3" s="174"/>
      <c r="HD3" s="174"/>
      <c r="HE3" s="174" t="s">
        <v>95</v>
      </c>
      <c r="HF3" s="174"/>
      <c r="HG3" s="174"/>
      <c r="HH3" s="174"/>
      <c r="HI3" s="174" t="s">
        <v>252</v>
      </c>
      <c r="HJ3" s="174"/>
      <c r="HK3" s="174"/>
      <c r="HL3" s="174"/>
      <c r="HM3" s="174" t="s">
        <v>97</v>
      </c>
      <c r="HN3" s="174"/>
      <c r="HO3" s="174"/>
      <c r="HP3" s="174"/>
      <c r="HQ3" s="174" t="s">
        <v>98</v>
      </c>
      <c r="HR3" s="174"/>
      <c r="HS3" s="174"/>
      <c r="HT3" s="174"/>
      <c r="HU3" s="29"/>
      <c r="HV3" s="29"/>
      <c r="HW3" s="174" t="s">
        <v>92</v>
      </c>
      <c r="HX3" s="174"/>
      <c r="HY3" s="174"/>
      <c r="HZ3" s="174" t="s">
        <v>93</v>
      </c>
      <c r="IA3" s="174"/>
      <c r="IB3" s="174"/>
      <c r="IC3" s="174"/>
      <c r="ID3" s="174" t="s">
        <v>94</v>
      </c>
      <c r="IE3" s="174"/>
      <c r="IF3" s="174"/>
      <c r="IG3" s="174"/>
      <c r="IH3" s="174" t="s">
        <v>95</v>
      </c>
      <c r="II3" s="174"/>
      <c r="IJ3" s="174"/>
      <c r="IK3" s="174"/>
      <c r="IL3" s="174" t="s">
        <v>252</v>
      </c>
      <c r="IM3" s="174"/>
      <c r="IN3" s="174"/>
      <c r="IO3" s="174"/>
      <c r="IP3" s="174" t="s">
        <v>97</v>
      </c>
      <c r="IQ3" s="174"/>
      <c r="IR3" s="174"/>
      <c r="IS3" s="174"/>
      <c r="IT3" s="174" t="s">
        <v>98</v>
      </c>
      <c r="IU3" s="174"/>
      <c r="IV3" s="174"/>
      <c r="IW3" s="174"/>
      <c r="IX3" s="29"/>
      <c r="IY3" s="174" t="s">
        <v>92</v>
      </c>
      <c r="IZ3" s="174"/>
      <c r="JA3" s="174"/>
      <c r="JB3" s="174" t="s">
        <v>93</v>
      </c>
      <c r="JC3" s="174"/>
      <c r="JD3" s="174"/>
      <c r="JE3" s="174"/>
      <c r="JF3" s="174" t="s">
        <v>94</v>
      </c>
      <c r="JG3" s="174"/>
      <c r="JH3" s="174"/>
      <c r="JI3" s="174"/>
      <c r="JJ3" s="174" t="s">
        <v>95</v>
      </c>
      <c r="JK3" s="174"/>
      <c r="JL3" s="174"/>
      <c r="JM3" s="174"/>
      <c r="JN3" s="174" t="s">
        <v>252</v>
      </c>
      <c r="JO3" s="174"/>
      <c r="JP3" s="174"/>
      <c r="JQ3" s="174"/>
      <c r="JR3" s="174" t="s">
        <v>97</v>
      </c>
      <c r="JS3" s="174"/>
      <c r="JT3" s="174"/>
      <c r="JU3" s="174"/>
      <c r="JV3" s="174" t="s">
        <v>98</v>
      </c>
      <c r="JW3" s="174"/>
      <c r="JX3" s="174"/>
      <c r="JY3" s="174"/>
      <c r="JZ3" s="29"/>
      <c r="KA3" s="174" t="s">
        <v>92</v>
      </c>
      <c r="KB3" s="174"/>
      <c r="KC3" s="174"/>
      <c r="KD3" s="174" t="s">
        <v>93</v>
      </c>
      <c r="KE3" s="174"/>
      <c r="KF3" s="174"/>
      <c r="KG3" s="174"/>
      <c r="KH3" s="174" t="s">
        <v>94</v>
      </c>
      <c r="KI3" s="174"/>
      <c r="KJ3" s="174"/>
      <c r="KK3" s="174"/>
      <c r="KL3" s="174" t="s">
        <v>95</v>
      </c>
      <c r="KM3" s="174"/>
      <c r="KN3" s="174"/>
      <c r="KO3" s="174"/>
      <c r="KP3" s="174" t="s">
        <v>252</v>
      </c>
      <c r="KQ3" s="174"/>
      <c r="KR3" s="174"/>
      <c r="KS3" s="174"/>
      <c r="KT3" s="174" t="s">
        <v>97</v>
      </c>
      <c r="KU3" s="174"/>
      <c r="KV3" s="174"/>
      <c r="KW3" s="174"/>
      <c r="KX3" s="174" t="s">
        <v>98</v>
      </c>
      <c r="KY3" s="174"/>
      <c r="KZ3" s="174"/>
      <c r="LA3" s="174"/>
      <c r="LB3" s="76"/>
      <c r="LC3" s="29"/>
      <c r="LD3" s="174" t="s">
        <v>92</v>
      </c>
      <c r="LE3" s="174"/>
      <c r="LF3" s="174"/>
      <c r="LG3" s="174" t="s">
        <v>93</v>
      </c>
      <c r="LH3" s="174"/>
      <c r="LI3" s="174"/>
      <c r="LJ3" s="174"/>
      <c r="LK3" s="174" t="s">
        <v>94</v>
      </c>
      <c r="LL3" s="174"/>
      <c r="LM3" s="174"/>
      <c r="LN3" s="174"/>
      <c r="LO3" s="174" t="s">
        <v>95</v>
      </c>
      <c r="LP3" s="174"/>
      <c r="LQ3" s="174"/>
      <c r="LR3" s="174"/>
      <c r="LS3" s="174" t="s">
        <v>252</v>
      </c>
      <c r="LT3" s="174"/>
      <c r="LU3" s="174"/>
      <c r="LV3" s="174"/>
      <c r="LW3" s="174" t="s">
        <v>97</v>
      </c>
      <c r="LX3" s="174"/>
      <c r="LY3" s="174"/>
      <c r="LZ3" s="174"/>
      <c r="MA3" s="174" t="s">
        <v>98</v>
      </c>
      <c r="MB3" s="174"/>
      <c r="MC3" s="174"/>
      <c r="MD3" s="174"/>
      <c r="ME3" s="29"/>
      <c r="MF3" s="174" t="s">
        <v>92</v>
      </c>
      <c r="MG3" s="174"/>
      <c r="MH3" s="174"/>
      <c r="MI3" s="174" t="s">
        <v>93</v>
      </c>
      <c r="MJ3" s="174"/>
      <c r="MK3" s="174"/>
      <c r="ML3" s="174"/>
      <c r="MM3" s="174" t="s">
        <v>94</v>
      </c>
      <c r="MN3" s="174"/>
      <c r="MO3" s="174"/>
      <c r="MP3" s="174"/>
      <c r="MQ3" s="174" t="s">
        <v>95</v>
      </c>
      <c r="MR3" s="174"/>
      <c r="MS3" s="174"/>
      <c r="MT3" s="174"/>
      <c r="MU3" s="174" t="s">
        <v>252</v>
      </c>
      <c r="MV3" s="174"/>
      <c r="MW3" s="174"/>
      <c r="MX3" s="174"/>
      <c r="MY3" s="174" t="s">
        <v>97</v>
      </c>
      <c r="MZ3" s="174"/>
      <c r="NA3" s="174"/>
      <c r="NB3" s="174"/>
      <c r="NC3" s="174" t="s">
        <v>98</v>
      </c>
      <c r="ND3" s="174"/>
      <c r="NE3" s="174"/>
      <c r="NF3" s="174"/>
      <c r="NG3" s="29"/>
      <c r="NH3" s="174" t="s">
        <v>92</v>
      </c>
      <c r="NI3" s="174"/>
      <c r="NJ3" s="174"/>
      <c r="NK3" s="174" t="s">
        <v>93</v>
      </c>
      <c r="NL3" s="174"/>
      <c r="NM3" s="174"/>
      <c r="NN3" s="174"/>
      <c r="NO3" s="174" t="s">
        <v>94</v>
      </c>
      <c r="NP3" s="174"/>
      <c r="NQ3" s="174"/>
      <c r="NR3" s="174"/>
      <c r="NS3" s="174" t="s">
        <v>95</v>
      </c>
      <c r="NT3" s="174"/>
      <c r="NU3" s="174"/>
      <c r="NV3" s="174"/>
      <c r="NW3" s="174" t="s">
        <v>252</v>
      </c>
      <c r="NX3" s="174"/>
      <c r="NY3" s="174"/>
      <c r="NZ3" s="174"/>
      <c r="OA3" s="174" t="s">
        <v>97</v>
      </c>
      <c r="OB3" s="174"/>
      <c r="OC3" s="174"/>
      <c r="OD3" s="174"/>
      <c r="OE3" s="174" t="s">
        <v>98</v>
      </c>
      <c r="OF3" s="174"/>
      <c r="OG3" s="174"/>
      <c r="OH3" s="174"/>
      <c r="OI3" s="29"/>
      <c r="OJ3" s="174" t="s">
        <v>92</v>
      </c>
      <c r="OK3" s="174"/>
      <c r="OL3" s="174"/>
      <c r="OM3" s="174" t="s">
        <v>93</v>
      </c>
      <c r="ON3" s="174"/>
      <c r="OO3" s="174"/>
      <c r="OP3" s="174"/>
      <c r="OQ3" s="174" t="s">
        <v>94</v>
      </c>
      <c r="OR3" s="174"/>
      <c r="OS3" s="174"/>
      <c r="OT3" s="174"/>
      <c r="OU3" s="174" t="s">
        <v>95</v>
      </c>
      <c r="OV3" s="174"/>
      <c r="OW3" s="174"/>
      <c r="OX3" s="174"/>
      <c r="OY3" s="174" t="s">
        <v>252</v>
      </c>
      <c r="OZ3" s="174"/>
      <c r="PA3" s="174"/>
      <c r="PB3" s="174"/>
      <c r="PC3" s="174" t="s">
        <v>97</v>
      </c>
      <c r="PD3" s="174"/>
      <c r="PE3" s="174"/>
      <c r="PF3" s="174"/>
      <c r="PG3" s="174" t="s">
        <v>98</v>
      </c>
      <c r="PH3" s="174"/>
      <c r="PI3" s="174"/>
      <c r="PJ3" s="174"/>
      <c r="PK3" s="29"/>
      <c r="PL3" s="174" t="s">
        <v>92</v>
      </c>
      <c r="PM3" s="174"/>
      <c r="PN3" s="174"/>
      <c r="PO3" s="174" t="s">
        <v>93</v>
      </c>
      <c r="PP3" s="174"/>
      <c r="PQ3" s="174"/>
      <c r="PR3" s="174"/>
      <c r="PS3" s="174" t="s">
        <v>94</v>
      </c>
      <c r="PT3" s="174"/>
      <c r="PU3" s="174"/>
      <c r="PV3" s="174"/>
      <c r="PW3" s="174" t="s">
        <v>95</v>
      </c>
      <c r="PX3" s="174"/>
      <c r="PY3" s="174"/>
      <c r="PZ3" s="174"/>
      <c r="QA3" s="174" t="s">
        <v>252</v>
      </c>
      <c r="QB3" s="174"/>
      <c r="QC3" s="174"/>
      <c r="QD3" s="174"/>
      <c r="QE3" s="174" t="s">
        <v>97</v>
      </c>
      <c r="QF3" s="174"/>
      <c r="QG3" s="174"/>
      <c r="QH3" s="174"/>
      <c r="QI3" s="174" t="s">
        <v>98</v>
      </c>
      <c r="QJ3" s="174"/>
      <c r="QK3" s="174"/>
      <c r="QL3" s="174"/>
      <c r="QM3" s="29"/>
      <c r="QN3" s="174" t="s">
        <v>92</v>
      </c>
      <c r="QO3" s="174"/>
      <c r="QP3" s="174"/>
      <c r="QQ3" s="174" t="s">
        <v>93</v>
      </c>
      <c r="QR3" s="174"/>
      <c r="QS3" s="174"/>
      <c r="QT3" s="174"/>
      <c r="QU3" s="174" t="s">
        <v>94</v>
      </c>
      <c r="QV3" s="174"/>
      <c r="QW3" s="174"/>
      <c r="QX3" s="174"/>
      <c r="QY3" s="174" t="s">
        <v>95</v>
      </c>
      <c r="QZ3" s="174"/>
      <c r="RA3" s="174"/>
      <c r="RB3" s="174"/>
      <c r="RC3" s="174" t="s">
        <v>252</v>
      </c>
      <c r="RD3" s="174"/>
      <c r="RE3" s="174"/>
      <c r="RF3" s="174"/>
      <c r="RG3" s="174" t="s">
        <v>97</v>
      </c>
      <c r="RH3" s="174"/>
      <c r="RI3" s="174"/>
      <c r="RJ3" s="174"/>
      <c r="RK3" s="174" t="s">
        <v>98</v>
      </c>
      <c r="RL3" s="174"/>
      <c r="RM3" s="174"/>
      <c r="RN3" s="174"/>
      <c r="RO3" s="76"/>
      <c r="RP3" s="174" t="s">
        <v>92</v>
      </c>
      <c r="RQ3" s="174"/>
      <c r="RR3" s="174"/>
      <c r="RS3" s="174" t="s">
        <v>93</v>
      </c>
      <c r="RT3" s="174"/>
      <c r="RU3" s="174"/>
      <c r="RV3" s="174"/>
      <c r="RW3" s="174" t="s">
        <v>94</v>
      </c>
      <c r="RX3" s="174"/>
      <c r="RY3" s="174"/>
      <c r="RZ3" s="174"/>
      <c r="SA3" s="174" t="s">
        <v>95</v>
      </c>
      <c r="SB3" s="174"/>
      <c r="SC3" s="174"/>
      <c r="SD3" s="174"/>
      <c r="SE3" s="174" t="s">
        <v>252</v>
      </c>
      <c r="SF3" s="174"/>
      <c r="SG3" s="174"/>
      <c r="SH3" s="174"/>
      <c r="SI3" s="174" t="s">
        <v>97</v>
      </c>
      <c r="SJ3" s="174"/>
      <c r="SK3" s="174"/>
      <c r="SL3" s="174"/>
      <c r="SM3" s="174" t="s">
        <v>98</v>
      </c>
      <c r="SN3" s="174"/>
      <c r="SO3" s="174"/>
      <c r="SP3" s="174"/>
      <c r="SQ3" s="76"/>
      <c r="SR3" s="29"/>
      <c r="SS3" s="172"/>
      <c r="SY3" s="43">
        <v>0.2</v>
      </c>
      <c r="SZ3" s="43">
        <v>0.24</v>
      </c>
      <c r="TA3" s="43">
        <v>0.2</v>
      </c>
      <c r="TB3" s="43">
        <v>0.36</v>
      </c>
    </row>
    <row r="4" spans="1:538" ht="18.75" customHeight="1">
      <c r="A4" s="170"/>
      <c r="B4" s="170"/>
      <c r="C4" s="170"/>
      <c r="D4" s="170"/>
      <c r="E4" s="71" t="s">
        <v>253</v>
      </c>
      <c r="F4" s="71" t="s">
        <v>254</v>
      </c>
      <c r="G4" s="71" t="s">
        <v>255</v>
      </c>
      <c r="H4" s="71" t="s">
        <v>256</v>
      </c>
      <c r="I4" s="71" t="s">
        <v>257</v>
      </c>
      <c r="J4" s="71" t="s">
        <v>258</v>
      </c>
      <c r="K4" s="71" t="s">
        <v>259</v>
      </c>
      <c r="L4" s="71" t="s">
        <v>260</v>
      </c>
      <c r="M4" s="71" t="s">
        <v>261</v>
      </c>
      <c r="N4" s="71" t="s">
        <v>262</v>
      </c>
      <c r="O4" s="71" t="s">
        <v>263</v>
      </c>
      <c r="P4" s="71" t="s">
        <v>264</v>
      </c>
      <c r="Q4" s="71" t="s">
        <v>265</v>
      </c>
      <c r="R4" s="71" t="s">
        <v>266</v>
      </c>
      <c r="S4" s="71" t="s">
        <v>267</v>
      </c>
      <c r="T4" s="71" t="s">
        <v>268</v>
      </c>
      <c r="U4" s="71" t="s">
        <v>269</v>
      </c>
      <c r="V4" s="71" t="s">
        <v>270</v>
      </c>
      <c r="W4" s="71" t="s">
        <v>271</v>
      </c>
      <c r="X4" s="71" t="s">
        <v>272</v>
      </c>
      <c r="Y4" s="71" t="s">
        <v>273</v>
      </c>
      <c r="Z4" s="71" t="s">
        <v>274</v>
      </c>
      <c r="AA4" s="71" t="s">
        <v>275</v>
      </c>
      <c r="AB4" s="71" t="s">
        <v>276</v>
      </c>
      <c r="AC4" s="71" t="s">
        <v>277</v>
      </c>
      <c r="AD4" s="71" t="s">
        <v>278</v>
      </c>
      <c r="AE4" s="71" t="s">
        <v>279</v>
      </c>
      <c r="AF4" s="29"/>
      <c r="AG4" s="71" t="s">
        <v>253</v>
      </c>
      <c r="AH4" s="71" t="s">
        <v>254</v>
      </c>
      <c r="AI4" s="71" t="s">
        <v>255</v>
      </c>
      <c r="AJ4" s="71" t="s">
        <v>256</v>
      </c>
      <c r="AK4" s="71" t="s">
        <v>257</v>
      </c>
      <c r="AL4" s="71" t="s">
        <v>258</v>
      </c>
      <c r="AM4" s="71" t="s">
        <v>259</v>
      </c>
      <c r="AN4" s="71" t="s">
        <v>260</v>
      </c>
      <c r="AO4" s="71" t="s">
        <v>261</v>
      </c>
      <c r="AP4" s="71" t="s">
        <v>262</v>
      </c>
      <c r="AQ4" s="71" t="s">
        <v>263</v>
      </c>
      <c r="AR4" s="71" t="s">
        <v>264</v>
      </c>
      <c r="AS4" s="71" t="s">
        <v>265</v>
      </c>
      <c r="AT4" s="71" t="s">
        <v>266</v>
      </c>
      <c r="AU4" s="71" t="s">
        <v>267</v>
      </c>
      <c r="AV4" s="71" t="s">
        <v>268</v>
      </c>
      <c r="AW4" s="71" t="s">
        <v>269</v>
      </c>
      <c r="AX4" s="71" t="s">
        <v>270</v>
      </c>
      <c r="AY4" s="71" t="s">
        <v>271</v>
      </c>
      <c r="AZ4" s="71" t="s">
        <v>272</v>
      </c>
      <c r="BA4" s="71" t="s">
        <v>273</v>
      </c>
      <c r="BB4" s="71" t="s">
        <v>274</v>
      </c>
      <c r="BC4" s="71" t="s">
        <v>275</v>
      </c>
      <c r="BD4" s="71" t="s">
        <v>276</v>
      </c>
      <c r="BE4" s="71" t="s">
        <v>277</v>
      </c>
      <c r="BF4" s="71" t="s">
        <v>278</v>
      </c>
      <c r="BG4" s="71" t="s">
        <v>279</v>
      </c>
      <c r="BH4" s="29"/>
      <c r="BI4" s="71" t="s">
        <v>253</v>
      </c>
      <c r="BJ4" s="71" t="s">
        <v>254</v>
      </c>
      <c r="BK4" s="71" t="s">
        <v>255</v>
      </c>
      <c r="BL4" s="71" t="s">
        <v>256</v>
      </c>
      <c r="BM4" s="71" t="s">
        <v>257</v>
      </c>
      <c r="BN4" s="71" t="s">
        <v>258</v>
      </c>
      <c r="BO4" s="71" t="s">
        <v>259</v>
      </c>
      <c r="BP4" s="71" t="s">
        <v>260</v>
      </c>
      <c r="BQ4" s="71" t="s">
        <v>261</v>
      </c>
      <c r="BR4" s="71" t="s">
        <v>262</v>
      </c>
      <c r="BS4" s="71" t="s">
        <v>263</v>
      </c>
      <c r="BT4" s="71" t="s">
        <v>264</v>
      </c>
      <c r="BU4" s="71" t="s">
        <v>265</v>
      </c>
      <c r="BV4" s="71" t="s">
        <v>266</v>
      </c>
      <c r="BW4" s="71" t="s">
        <v>267</v>
      </c>
      <c r="BX4" s="71" t="s">
        <v>268</v>
      </c>
      <c r="BY4" s="71" t="s">
        <v>269</v>
      </c>
      <c r="BZ4" s="71" t="s">
        <v>270</v>
      </c>
      <c r="CA4" s="71" t="s">
        <v>271</v>
      </c>
      <c r="CB4" s="71" t="s">
        <v>272</v>
      </c>
      <c r="CC4" s="71" t="s">
        <v>273</v>
      </c>
      <c r="CD4" s="71" t="s">
        <v>274</v>
      </c>
      <c r="CE4" s="71" t="s">
        <v>275</v>
      </c>
      <c r="CF4" s="71" t="s">
        <v>276</v>
      </c>
      <c r="CG4" s="71" t="s">
        <v>277</v>
      </c>
      <c r="CH4" s="71" t="s">
        <v>278</v>
      </c>
      <c r="CI4" s="71" t="s">
        <v>279</v>
      </c>
      <c r="CJ4" s="29"/>
      <c r="CK4" s="71" t="s">
        <v>253</v>
      </c>
      <c r="CL4" s="71" t="s">
        <v>254</v>
      </c>
      <c r="CM4" s="71" t="s">
        <v>255</v>
      </c>
      <c r="CN4" s="71" t="s">
        <v>256</v>
      </c>
      <c r="CO4" s="71" t="s">
        <v>257</v>
      </c>
      <c r="CP4" s="71" t="s">
        <v>258</v>
      </c>
      <c r="CQ4" s="71" t="s">
        <v>259</v>
      </c>
      <c r="CR4" s="71" t="s">
        <v>260</v>
      </c>
      <c r="CS4" s="71" t="s">
        <v>261</v>
      </c>
      <c r="CT4" s="71" t="s">
        <v>262</v>
      </c>
      <c r="CU4" s="71" t="s">
        <v>263</v>
      </c>
      <c r="CV4" s="71" t="s">
        <v>264</v>
      </c>
      <c r="CW4" s="71" t="s">
        <v>265</v>
      </c>
      <c r="CX4" s="71" t="s">
        <v>266</v>
      </c>
      <c r="CY4" s="71" t="s">
        <v>267</v>
      </c>
      <c r="CZ4" s="71" t="s">
        <v>268</v>
      </c>
      <c r="DA4" s="71" t="s">
        <v>269</v>
      </c>
      <c r="DB4" s="71" t="s">
        <v>270</v>
      </c>
      <c r="DC4" s="71" t="s">
        <v>271</v>
      </c>
      <c r="DD4" s="71" t="s">
        <v>272</v>
      </c>
      <c r="DE4" s="71" t="s">
        <v>273</v>
      </c>
      <c r="DF4" s="71" t="s">
        <v>274</v>
      </c>
      <c r="DG4" s="71" t="s">
        <v>275</v>
      </c>
      <c r="DH4" s="71" t="s">
        <v>276</v>
      </c>
      <c r="DI4" s="71" t="s">
        <v>277</v>
      </c>
      <c r="DJ4" s="71" t="s">
        <v>278</v>
      </c>
      <c r="DK4" s="71" t="s">
        <v>279</v>
      </c>
      <c r="DL4" s="29"/>
      <c r="DM4" s="71" t="s">
        <v>253</v>
      </c>
      <c r="DN4" s="71" t="s">
        <v>254</v>
      </c>
      <c r="DO4" s="71" t="s">
        <v>255</v>
      </c>
      <c r="DP4" s="71" t="s">
        <v>256</v>
      </c>
      <c r="DQ4" s="71" t="s">
        <v>257</v>
      </c>
      <c r="DR4" s="71" t="s">
        <v>258</v>
      </c>
      <c r="DS4" s="71" t="s">
        <v>259</v>
      </c>
      <c r="DT4" s="71" t="s">
        <v>260</v>
      </c>
      <c r="DU4" s="71" t="s">
        <v>261</v>
      </c>
      <c r="DV4" s="71" t="s">
        <v>262</v>
      </c>
      <c r="DW4" s="71" t="s">
        <v>263</v>
      </c>
      <c r="DX4" s="71" t="s">
        <v>264</v>
      </c>
      <c r="DY4" s="71" t="s">
        <v>265</v>
      </c>
      <c r="DZ4" s="71" t="s">
        <v>266</v>
      </c>
      <c r="EA4" s="71" t="s">
        <v>267</v>
      </c>
      <c r="EB4" s="71" t="s">
        <v>268</v>
      </c>
      <c r="EC4" s="71" t="s">
        <v>269</v>
      </c>
      <c r="ED4" s="71" t="s">
        <v>270</v>
      </c>
      <c r="EE4" s="71" t="s">
        <v>271</v>
      </c>
      <c r="EF4" s="71" t="s">
        <v>272</v>
      </c>
      <c r="EG4" s="71" t="s">
        <v>273</v>
      </c>
      <c r="EH4" s="71" t="s">
        <v>274</v>
      </c>
      <c r="EI4" s="71" t="s">
        <v>275</v>
      </c>
      <c r="EJ4" s="71" t="s">
        <v>276</v>
      </c>
      <c r="EK4" s="71" t="s">
        <v>277</v>
      </c>
      <c r="EL4" s="71" t="s">
        <v>278</v>
      </c>
      <c r="EM4" s="71" t="s">
        <v>279</v>
      </c>
      <c r="EN4" s="29"/>
      <c r="EO4" s="29"/>
      <c r="EP4" s="71" t="s">
        <v>253</v>
      </c>
      <c r="EQ4" s="71" t="s">
        <v>254</v>
      </c>
      <c r="ER4" s="71" t="s">
        <v>255</v>
      </c>
      <c r="ES4" s="71" t="s">
        <v>256</v>
      </c>
      <c r="ET4" s="71" t="s">
        <v>257</v>
      </c>
      <c r="EU4" s="71" t="s">
        <v>258</v>
      </c>
      <c r="EV4" s="71" t="s">
        <v>259</v>
      </c>
      <c r="EW4" s="71" t="s">
        <v>260</v>
      </c>
      <c r="EX4" s="71" t="s">
        <v>261</v>
      </c>
      <c r="EY4" s="71" t="s">
        <v>262</v>
      </c>
      <c r="EZ4" s="71" t="s">
        <v>263</v>
      </c>
      <c r="FA4" s="71" t="s">
        <v>264</v>
      </c>
      <c r="FB4" s="71" t="s">
        <v>265</v>
      </c>
      <c r="FC4" s="71" t="s">
        <v>266</v>
      </c>
      <c r="FD4" s="71" t="s">
        <v>267</v>
      </c>
      <c r="FE4" s="71" t="s">
        <v>268</v>
      </c>
      <c r="FF4" s="71" t="s">
        <v>269</v>
      </c>
      <c r="FG4" s="71" t="s">
        <v>270</v>
      </c>
      <c r="FH4" s="71" t="s">
        <v>271</v>
      </c>
      <c r="FI4" s="71" t="s">
        <v>272</v>
      </c>
      <c r="FJ4" s="71" t="s">
        <v>273</v>
      </c>
      <c r="FK4" s="71" t="s">
        <v>274</v>
      </c>
      <c r="FL4" s="71" t="s">
        <v>275</v>
      </c>
      <c r="FM4" s="71" t="s">
        <v>276</v>
      </c>
      <c r="FN4" s="71" t="s">
        <v>277</v>
      </c>
      <c r="FO4" s="71" t="s">
        <v>278</v>
      </c>
      <c r="FP4" s="71" t="s">
        <v>279</v>
      </c>
      <c r="FQ4" s="29"/>
      <c r="FR4" s="71" t="s">
        <v>253</v>
      </c>
      <c r="FS4" s="71" t="s">
        <v>254</v>
      </c>
      <c r="FT4" s="71" t="s">
        <v>255</v>
      </c>
      <c r="FU4" s="71" t="s">
        <v>256</v>
      </c>
      <c r="FV4" s="71" t="s">
        <v>257</v>
      </c>
      <c r="FW4" s="71" t="s">
        <v>258</v>
      </c>
      <c r="FX4" s="71" t="s">
        <v>259</v>
      </c>
      <c r="FY4" s="71" t="s">
        <v>260</v>
      </c>
      <c r="FZ4" s="71" t="s">
        <v>261</v>
      </c>
      <c r="GA4" s="71" t="s">
        <v>262</v>
      </c>
      <c r="GB4" s="71" t="s">
        <v>263</v>
      </c>
      <c r="GC4" s="71" t="s">
        <v>264</v>
      </c>
      <c r="GD4" s="71" t="s">
        <v>265</v>
      </c>
      <c r="GE4" s="71" t="s">
        <v>266</v>
      </c>
      <c r="GF4" s="71" t="s">
        <v>267</v>
      </c>
      <c r="GG4" s="71" t="s">
        <v>268</v>
      </c>
      <c r="GH4" s="71" t="s">
        <v>269</v>
      </c>
      <c r="GI4" s="71" t="s">
        <v>270</v>
      </c>
      <c r="GJ4" s="71" t="s">
        <v>271</v>
      </c>
      <c r="GK4" s="71" t="s">
        <v>272</v>
      </c>
      <c r="GL4" s="71" t="s">
        <v>273</v>
      </c>
      <c r="GM4" s="71" t="s">
        <v>274</v>
      </c>
      <c r="GN4" s="71" t="s">
        <v>275</v>
      </c>
      <c r="GO4" s="71" t="s">
        <v>276</v>
      </c>
      <c r="GP4" s="71" t="s">
        <v>277</v>
      </c>
      <c r="GQ4" s="71" t="s">
        <v>278</v>
      </c>
      <c r="GR4" s="71" t="s">
        <v>279</v>
      </c>
      <c r="GS4" s="29"/>
      <c r="GT4" s="71" t="s">
        <v>253</v>
      </c>
      <c r="GU4" s="71" t="s">
        <v>254</v>
      </c>
      <c r="GV4" s="71" t="s">
        <v>255</v>
      </c>
      <c r="GW4" s="71" t="s">
        <v>256</v>
      </c>
      <c r="GX4" s="71" t="s">
        <v>257</v>
      </c>
      <c r="GY4" s="71" t="s">
        <v>258</v>
      </c>
      <c r="GZ4" s="71" t="s">
        <v>259</v>
      </c>
      <c r="HA4" s="71" t="s">
        <v>260</v>
      </c>
      <c r="HB4" s="71" t="s">
        <v>261</v>
      </c>
      <c r="HC4" s="71" t="s">
        <v>262</v>
      </c>
      <c r="HD4" s="71" t="s">
        <v>263</v>
      </c>
      <c r="HE4" s="71" t="s">
        <v>264</v>
      </c>
      <c r="HF4" s="71" t="s">
        <v>265</v>
      </c>
      <c r="HG4" s="71" t="s">
        <v>266</v>
      </c>
      <c r="HH4" s="71" t="s">
        <v>267</v>
      </c>
      <c r="HI4" s="71" t="s">
        <v>268</v>
      </c>
      <c r="HJ4" s="71" t="s">
        <v>269</v>
      </c>
      <c r="HK4" s="71" t="s">
        <v>270</v>
      </c>
      <c r="HL4" s="71" t="s">
        <v>271</v>
      </c>
      <c r="HM4" s="71" t="s">
        <v>272</v>
      </c>
      <c r="HN4" s="71" t="s">
        <v>273</v>
      </c>
      <c r="HO4" s="71" t="s">
        <v>274</v>
      </c>
      <c r="HP4" s="71" t="s">
        <v>275</v>
      </c>
      <c r="HQ4" s="71" t="s">
        <v>276</v>
      </c>
      <c r="HR4" s="71" t="s">
        <v>277</v>
      </c>
      <c r="HS4" s="71" t="s">
        <v>278</v>
      </c>
      <c r="HT4" s="71" t="s">
        <v>279</v>
      </c>
      <c r="HU4" s="29"/>
      <c r="HV4" s="29"/>
      <c r="HW4" s="71" t="s">
        <v>253</v>
      </c>
      <c r="HX4" s="71" t="s">
        <v>254</v>
      </c>
      <c r="HY4" s="71" t="s">
        <v>255</v>
      </c>
      <c r="HZ4" s="71" t="s">
        <v>256</v>
      </c>
      <c r="IA4" s="71" t="s">
        <v>257</v>
      </c>
      <c r="IB4" s="71" t="s">
        <v>258</v>
      </c>
      <c r="IC4" s="71" t="s">
        <v>259</v>
      </c>
      <c r="ID4" s="71" t="s">
        <v>260</v>
      </c>
      <c r="IE4" s="71" t="s">
        <v>261</v>
      </c>
      <c r="IF4" s="71" t="s">
        <v>262</v>
      </c>
      <c r="IG4" s="71" t="s">
        <v>263</v>
      </c>
      <c r="IH4" s="71" t="s">
        <v>264</v>
      </c>
      <c r="II4" s="71" t="s">
        <v>265</v>
      </c>
      <c r="IJ4" s="71" t="s">
        <v>266</v>
      </c>
      <c r="IK4" s="71" t="s">
        <v>267</v>
      </c>
      <c r="IL4" s="71" t="s">
        <v>268</v>
      </c>
      <c r="IM4" s="71" t="s">
        <v>269</v>
      </c>
      <c r="IN4" s="71" t="s">
        <v>270</v>
      </c>
      <c r="IO4" s="71" t="s">
        <v>271</v>
      </c>
      <c r="IP4" s="71" t="s">
        <v>272</v>
      </c>
      <c r="IQ4" s="71" t="s">
        <v>273</v>
      </c>
      <c r="IR4" s="71" t="s">
        <v>274</v>
      </c>
      <c r="IS4" s="71" t="s">
        <v>275</v>
      </c>
      <c r="IT4" s="71" t="s">
        <v>276</v>
      </c>
      <c r="IU4" s="71" t="s">
        <v>277</v>
      </c>
      <c r="IV4" s="71" t="s">
        <v>278</v>
      </c>
      <c r="IW4" s="71" t="s">
        <v>279</v>
      </c>
      <c r="IX4" s="29"/>
      <c r="IY4" s="71" t="s">
        <v>253</v>
      </c>
      <c r="IZ4" s="71" t="s">
        <v>254</v>
      </c>
      <c r="JA4" s="71" t="s">
        <v>255</v>
      </c>
      <c r="JB4" s="71" t="s">
        <v>256</v>
      </c>
      <c r="JC4" s="71" t="s">
        <v>257</v>
      </c>
      <c r="JD4" s="71" t="s">
        <v>258</v>
      </c>
      <c r="JE4" s="71" t="s">
        <v>259</v>
      </c>
      <c r="JF4" s="71" t="s">
        <v>260</v>
      </c>
      <c r="JG4" s="71" t="s">
        <v>261</v>
      </c>
      <c r="JH4" s="71" t="s">
        <v>262</v>
      </c>
      <c r="JI4" s="71" t="s">
        <v>263</v>
      </c>
      <c r="JJ4" s="71" t="s">
        <v>264</v>
      </c>
      <c r="JK4" s="71" t="s">
        <v>265</v>
      </c>
      <c r="JL4" s="71" t="s">
        <v>266</v>
      </c>
      <c r="JM4" s="71" t="s">
        <v>267</v>
      </c>
      <c r="JN4" s="71" t="s">
        <v>268</v>
      </c>
      <c r="JO4" s="71" t="s">
        <v>269</v>
      </c>
      <c r="JP4" s="71" t="s">
        <v>270</v>
      </c>
      <c r="JQ4" s="71" t="s">
        <v>271</v>
      </c>
      <c r="JR4" s="71" t="s">
        <v>272</v>
      </c>
      <c r="JS4" s="71" t="s">
        <v>273</v>
      </c>
      <c r="JT4" s="71" t="s">
        <v>274</v>
      </c>
      <c r="JU4" s="71" t="s">
        <v>275</v>
      </c>
      <c r="JV4" s="71" t="s">
        <v>276</v>
      </c>
      <c r="JW4" s="71" t="s">
        <v>277</v>
      </c>
      <c r="JX4" s="71" t="s">
        <v>278</v>
      </c>
      <c r="JY4" s="71" t="s">
        <v>279</v>
      </c>
      <c r="JZ4" s="29"/>
      <c r="KA4" s="71" t="s">
        <v>253</v>
      </c>
      <c r="KB4" s="71" t="s">
        <v>254</v>
      </c>
      <c r="KC4" s="71" t="s">
        <v>255</v>
      </c>
      <c r="KD4" s="71" t="s">
        <v>256</v>
      </c>
      <c r="KE4" s="71" t="s">
        <v>257</v>
      </c>
      <c r="KF4" s="71" t="s">
        <v>258</v>
      </c>
      <c r="KG4" s="71" t="s">
        <v>259</v>
      </c>
      <c r="KH4" s="71" t="s">
        <v>260</v>
      </c>
      <c r="KI4" s="71" t="s">
        <v>261</v>
      </c>
      <c r="KJ4" s="71" t="s">
        <v>262</v>
      </c>
      <c r="KK4" s="71" t="s">
        <v>263</v>
      </c>
      <c r="KL4" s="71" t="s">
        <v>264</v>
      </c>
      <c r="KM4" s="71" t="s">
        <v>265</v>
      </c>
      <c r="KN4" s="71" t="s">
        <v>266</v>
      </c>
      <c r="KO4" s="71" t="s">
        <v>267</v>
      </c>
      <c r="KP4" s="71" t="s">
        <v>268</v>
      </c>
      <c r="KQ4" s="71" t="s">
        <v>269</v>
      </c>
      <c r="KR4" s="71" t="s">
        <v>270</v>
      </c>
      <c r="KS4" s="71" t="s">
        <v>271</v>
      </c>
      <c r="KT4" s="71" t="s">
        <v>272</v>
      </c>
      <c r="KU4" s="71" t="s">
        <v>273</v>
      </c>
      <c r="KV4" s="71" t="s">
        <v>274</v>
      </c>
      <c r="KW4" s="71" t="s">
        <v>275</v>
      </c>
      <c r="KX4" s="71" t="s">
        <v>276</v>
      </c>
      <c r="KY4" s="71" t="s">
        <v>277</v>
      </c>
      <c r="KZ4" s="71" t="s">
        <v>278</v>
      </c>
      <c r="LA4" s="71" t="s">
        <v>279</v>
      </c>
      <c r="LB4" s="29"/>
      <c r="LC4" s="29"/>
      <c r="LD4" s="71" t="s">
        <v>253</v>
      </c>
      <c r="LE4" s="71" t="s">
        <v>254</v>
      </c>
      <c r="LF4" s="71" t="s">
        <v>255</v>
      </c>
      <c r="LG4" s="71" t="s">
        <v>256</v>
      </c>
      <c r="LH4" s="71" t="s">
        <v>257</v>
      </c>
      <c r="LI4" s="71" t="s">
        <v>258</v>
      </c>
      <c r="LJ4" s="71" t="s">
        <v>259</v>
      </c>
      <c r="LK4" s="71" t="s">
        <v>260</v>
      </c>
      <c r="LL4" s="71" t="s">
        <v>261</v>
      </c>
      <c r="LM4" s="71" t="s">
        <v>262</v>
      </c>
      <c r="LN4" s="71" t="s">
        <v>263</v>
      </c>
      <c r="LO4" s="71" t="s">
        <v>264</v>
      </c>
      <c r="LP4" s="71" t="s">
        <v>265</v>
      </c>
      <c r="LQ4" s="71" t="s">
        <v>266</v>
      </c>
      <c r="LR4" s="71" t="s">
        <v>267</v>
      </c>
      <c r="LS4" s="71" t="s">
        <v>268</v>
      </c>
      <c r="LT4" s="71" t="s">
        <v>269</v>
      </c>
      <c r="LU4" s="71" t="s">
        <v>270</v>
      </c>
      <c r="LV4" s="71" t="s">
        <v>271</v>
      </c>
      <c r="LW4" s="71" t="s">
        <v>272</v>
      </c>
      <c r="LX4" s="71" t="s">
        <v>273</v>
      </c>
      <c r="LY4" s="71" t="s">
        <v>274</v>
      </c>
      <c r="LZ4" s="71" t="s">
        <v>275</v>
      </c>
      <c r="MA4" s="71" t="s">
        <v>276</v>
      </c>
      <c r="MB4" s="71" t="s">
        <v>277</v>
      </c>
      <c r="MC4" s="71" t="s">
        <v>278</v>
      </c>
      <c r="MD4" s="71" t="s">
        <v>279</v>
      </c>
      <c r="ME4" s="29"/>
      <c r="MF4" s="71" t="s">
        <v>253</v>
      </c>
      <c r="MG4" s="71" t="s">
        <v>254</v>
      </c>
      <c r="MH4" s="71" t="s">
        <v>255</v>
      </c>
      <c r="MI4" s="71" t="s">
        <v>256</v>
      </c>
      <c r="MJ4" s="71" t="s">
        <v>257</v>
      </c>
      <c r="MK4" s="71" t="s">
        <v>258</v>
      </c>
      <c r="ML4" s="71" t="s">
        <v>259</v>
      </c>
      <c r="MM4" s="71" t="s">
        <v>260</v>
      </c>
      <c r="MN4" s="71" t="s">
        <v>261</v>
      </c>
      <c r="MO4" s="71" t="s">
        <v>262</v>
      </c>
      <c r="MP4" s="71" t="s">
        <v>263</v>
      </c>
      <c r="MQ4" s="71" t="s">
        <v>264</v>
      </c>
      <c r="MR4" s="71" t="s">
        <v>265</v>
      </c>
      <c r="MS4" s="71" t="s">
        <v>266</v>
      </c>
      <c r="MT4" s="71" t="s">
        <v>267</v>
      </c>
      <c r="MU4" s="71" t="s">
        <v>268</v>
      </c>
      <c r="MV4" s="71" t="s">
        <v>269</v>
      </c>
      <c r="MW4" s="71" t="s">
        <v>270</v>
      </c>
      <c r="MX4" s="71" t="s">
        <v>271</v>
      </c>
      <c r="MY4" s="71" t="s">
        <v>272</v>
      </c>
      <c r="MZ4" s="71" t="s">
        <v>273</v>
      </c>
      <c r="NA4" s="71" t="s">
        <v>274</v>
      </c>
      <c r="NB4" s="71" t="s">
        <v>275</v>
      </c>
      <c r="NC4" s="71" t="s">
        <v>276</v>
      </c>
      <c r="ND4" s="71" t="s">
        <v>277</v>
      </c>
      <c r="NE4" s="71" t="s">
        <v>278</v>
      </c>
      <c r="NF4" s="71" t="s">
        <v>279</v>
      </c>
      <c r="NG4" s="29"/>
      <c r="NH4" s="71" t="s">
        <v>253</v>
      </c>
      <c r="NI4" s="71" t="s">
        <v>254</v>
      </c>
      <c r="NJ4" s="71" t="s">
        <v>255</v>
      </c>
      <c r="NK4" s="71" t="s">
        <v>256</v>
      </c>
      <c r="NL4" s="71" t="s">
        <v>257</v>
      </c>
      <c r="NM4" s="71" t="s">
        <v>258</v>
      </c>
      <c r="NN4" s="71" t="s">
        <v>259</v>
      </c>
      <c r="NO4" s="71" t="s">
        <v>260</v>
      </c>
      <c r="NP4" s="71" t="s">
        <v>261</v>
      </c>
      <c r="NQ4" s="71" t="s">
        <v>262</v>
      </c>
      <c r="NR4" s="71" t="s">
        <v>263</v>
      </c>
      <c r="NS4" s="71" t="s">
        <v>264</v>
      </c>
      <c r="NT4" s="71" t="s">
        <v>265</v>
      </c>
      <c r="NU4" s="71" t="s">
        <v>266</v>
      </c>
      <c r="NV4" s="71" t="s">
        <v>267</v>
      </c>
      <c r="NW4" s="71" t="s">
        <v>268</v>
      </c>
      <c r="NX4" s="71" t="s">
        <v>269</v>
      </c>
      <c r="NY4" s="71" t="s">
        <v>270</v>
      </c>
      <c r="NZ4" s="71" t="s">
        <v>271</v>
      </c>
      <c r="OA4" s="71" t="s">
        <v>272</v>
      </c>
      <c r="OB4" s="71" t="s">
        <v>273</v>
      </c>
      <c r="OC4" s="71" t="s">
        <v>274</v>
      </c>
      <c r="OD4" s="71" t="s">
        <v>275</v>
      </c>
      <c r="OE4" s="71" t="s">
        <v>276</v>
      </c>
      <c r="OF4" s="71" t="s">
        <v>277</v>
      </c>
      <c r="OG4" s="71" t="s">
        <v>278</v>
      </c>
      <c r="OH4" s="71" t="s">
        <v>279</v>
      </c>
      <c r="OI4" s="29"/>
      <c r="OJ4" s="71" t="s">
        <v>253</v>
      </c>
      <c r="OK4" s="71" t="s">
        <v>254</v>
      </c>
      <c r="OL4" s="71" t="s">
        <v>255</v>
      </c>
      <c r="OM4" s="71" t="s">
        <v>256</v>
      </c>
      <c r="ON4" s="71" t="s">
        <v>257</v>
      </c>
      <c r="OO4" s="71" t="s">
        <v>258</v>
      </c>
      <c r="OP4" s="71" t="s">
        <v>259</v>
      </c>
      <c r="OQ4" s="71" t="s">
        <v>260</v>
      </c>
      <c r="OR4" s="71" t="s">
        <v>261</v>
      </c>
      <c r="OS4" s="71" t="s">
        <v>262</v>
      </c>
      <c r="OT4" s="71" t="s">
        <v>263</v>
      </c>
      <c r="OU4" s="71" t="s">
        <v>264</v>
      </c>
      <c r="OV4" s="71" t="s">
        <v>265</v>
      </c>
      <c r="OW4" s="71" t="s">
        <v>266</v>
      </c>
      <c r="OX4" s="71" t="s">
        <v>267</v>
      </c>
      <c r="OY4" s="71" t="s">
        <v>268</v>
      </c>
      <c r="OZ4" s="71" t="s">
        <v>269</v>
      </c>
      <c r="PA4" s="71" t="s">
        <v>270</v>
      </c>
      <c r="PB4" s="71" t="s">
        <v>271</v>
      </c>
      <c r="PC4" s="71" t="s">
        <v>272</v>
      </c>
      <c r="PD4" s="71" t="s">
        <v>273</v>
      </c>
      <c r="PE4" s="71" t="s">
        <v>274</v>
      </c>
      <c r="PF4" s="71" t="s">
        <v>275</v>
      </c>
      <c r="PG4" s="71" t="s">
        <v>276</v>
      </c>
      <c r="PH4" s="71" t="s">
        <v>277</v>
      </c>
      <c r="PI4" s="71" t="s">
        <v>278</v>
      </c>
      <c r="PJ4" s="71" t="s">
        <v>279</v>
      </c>
      <c r="PK4" s="29"/>
      <c r="PL4" s="71" t="s">
        <v>253</v>
      </c>
      <c r="PM4" s="71" t="s">
        <v>254</v>
      </c>
      <c r="PN4" s="71" t="s">
        <v>255</v>
      </c>
      <c r="PO4" s="71" t="s">
        <v>256</v>
      </c>
      <c r="PP4" s="71" t="s">
        <v>257</v>
      </c>
      <c r="PQ4" s="71" t="s">
        <v>258</v>
      </c>
      <c r="PR4" s="71" t="s">
        <v>259</v>
      </c>
      <c r="PS4" s="71" t="s">
        <v>260</v>
      </c>
      <c r="PT4" s="71" t="s">
        <v>261</v>
      </c>
      <c r="PU4" s="71" t="s">
        <v>262</v>
      </c>
      <c r="PV4" s="71" t="s">
        <v>263</v>
      </c>
      <c r="PW4" s="71" t="s">
        <v>264</v>
      </c>
      <c r="PX4" s="71" t="s">
        <v>265</v>
      </c>
      <c r="PY4" s="71" t="s">
        <v>266</v>
      </c>
      <c r="PZ4" s="71" t="s">
        <v>267</v>
      </c>
      <c r="QA4" s="71" t="s">
        <v>268</v>
      </c>
      <c r="QB4" s="71" t="s">
        <v>269</v>
      </c>
      <c r="QC4" s="71" t="s">
        <v>270</v>
      </c>
      <c r="QD4" s="71" t="s">
        <v>271</v>
      </c>
      <c r="QE4" s="71" t="s">
        <v>272</v>
      </c>
      <c r="QF4" s="71" t="s">
        <v>273</v>
      </c>
      <c r="QG4" s="71" t="s">
        <v>274</v>
      </c>
      <c r="QH4" s="71" t="s">
        <v>275</v>
      </c>
      <c r="QI4" s="71" t="s">
        <v>276</v>
      </c>
      <c r="QJ4" s="71" t="s">
        <v>277</v>
      </c>
      <c r="QK4" s="71" t="s">
        <v>278</v>
      </c>
      <c r="QL4" s="71" t="s">
        <v>279</v>
      </c>
      <c r="QM4" s="29"/>
      <c r="QN4" s="71" t="s">
        <v>253</v>
      </c>
      <c r="QO4" s="71" t="s">
        <v>254</v>
      </c>
      <c r="QP4" s="71" t="s">
        <v>255</v>
      </c>
      <c r="QQ4" s="71" t="s">
        <v>256</v>
      </c>
      <c r="QR4" s="71" t="s">
        <v>257</v>
      </c>
      <c r="QS4" s="71" t="s">
        <v>258</v>
      </c>
      <c r="QT4" s="71" t="s">
        <v>259</v>
      </c>
      <c r="QU4" s="71" t="s">
        <v>260</v>
      </c>
      <c r="QV4" s="71" t="s">
        <v>261</v>
      </c>
      <c r="QW4" s="71" t="s">
        <v>262</v>
      </c>
      <c r="QX4" s="71" t="s">
        <v>263</v>
      </c>
      <c r="QY4" s="71" t="s">
        <v>264</v>
      </c>
      <c r="QZ4" s="71" t="s">
        <v>265</v>
      </c>
      <c r="RA4" s="71" t="s">
        <v>266</v>
      </c>
      <c r="RB4" s="71" t="s">
        <v>267</v>
      </c>
      <c r="RC4" s="71" t="s">
        <v>268</v>
      </c>
      <c r="RD4" s="71" t="s">
        <v>269</v>
      </c>
      <c r="RE4" s="71" t="s">
        <v>270</v>
      </c>
      <c r="RF4" s="71" t="s">
        <v>271</v>
      </c>
      <c r="RG4" s="71" t="s">
        <v>272</v>
      </c>
      <c r="RH4" s="71" t="s">
        <v>273</v>
      </c>
      <c r="RI4" s="71" t="s">
        <v>274</v>
      </c>
      <c r="RJ4" s="71" t="s">
        <v>275</v>
      </c>
      <c r="RK4" s="71" t="s">
        <v>276</v>
      </c>
      <c r="RL4" s="71" t="s">
        <v>277</v>
      </c>
      <c r="RM4" s="71" t="s">
        <v>278</v>
      </c>
      <c r="RN4" s="71" t="s">
        <v>279</v>
      </c>
      <c r="RO4" s="29"/>
      <c r="RP4" s="71" t="s">
        <v>253</v>
      </c>
      <c r="RQ4" s="71" t="s">
        <v>254</v>
      </c>
      <c r="RR4" s="71" t="s">
        <v>255</v>
      </c>
      <c r="RS4" s="71" t="s">
        <v>256</v>
      </c>
      <c r="RT4" s="71" t="s">
        <v>257</v>
      </c>
      <c r="RU4" s="71" t="s">
        <v>258</v>
      </c>
      <c r="RV4" s="71" t="s">
        <v>259</v>
      </c>
      <c r="RW4" s="71" t="s">
        <v>260</v>
      </c>
      <c r="RX4" s="71" t="s">
        <v>261</v>
      </c>
      <c r="RY4" s="71" t="s">
        <v>262</v>
      </c>
      <c r="RZ4" s="71" t="s">
        <v>263</v>
      </c>
      <c r="SA4" s="71" t="s">
        <v>264</v>
      </c>
      <c r="SB4" s="71" t="s">
        <v>265</v>
      </c>
      <c r="SC4" s="71" t="s">
        <v>266</v>
      </c>
      <c r="SD4" s="71" t="s">
        <v>267</v>
      </c>
      <c r="SE4" s="71" t="s">
        <v>268</v>
      </c>
      <c r="SF4" s="71" t="s">
        <v>269</v>
      </c>
      <c r="SG4" s="71" t="s">
        <v>270</v>
      </c>
      <c r="SH4" s="71" t="s">
        <v>271</v>
      </c>
      <c r="SI4" s="71" t="s">
        <v>272</v>
      </c>
      <c r="SJ4" s="71" t="s">
        <v>273</v>
      </c>
      <c r="SK4" s="71" t="s">
        <v>274</v>
      </c>
      <c r="SL4" s="71" t="s">
        <v>275</v>
      </c>
      <c r="SM4" s="71" t="s">
        <v>276</v>
      </c>
      <c r="SN4" s="71" t="s">
        <v>277</v>
      </c>
      <c r="SO4" s="71" t="s">
        <v>278</v>
      </c>
      <c r="SP4" s="71" t="s">
        <v>279</v>
      </c>
      <c r="SQ4" s="29"/>
      <c r="SR4" s="29"/>
      <c r="SS4" s="172"/>
      <c r="SY4" s="177" t="s">
        <v>324</v>
      </c>
      <c r="SZ4" s="177"/>
      <c r="TA4" s="177"/>
      <c r="TB4" s="177"/>
      <c r="TC4" s="177" t="s">
        <v>325</v>
      </c>
      <c r="TD4" s="177"/>
      <c r="TE4" s="177"/>
      <c r="TF4" s="177"/>
      <c r="TG4" s="177" t="s">
        <v>326</v>
      </c>
      <c r="TH4" s="177"/>
      <c r="TI4" s="177"/>
      <c r="TJ4" s="177"/>
      <c r="TK4" s="177" t="s">
        <v>327</v>
      </c>
      <c r="TL4" s="177"/>
      <c r="TM4" s="177"/>
      <c r="TN4" s="177"/>
      <c r="TO4" s="177" t="s">
        <v>328</v>
      </c>
      <c r="TP4" s="177"/>
      <c r="TQ4" s="177"/>
      <c r="TR4" s="177"/>
    </row>
    <row r="5" spans="1:538" ht="18.75" customHeight="1">
      <c r="A5" s="170"/>
      <c r="B5" s="170"/>
      <c r="C5" s="170"/>
      <c r="D5" s="170"/>
      <c r="E5" s="72" t="s">
        <v>280</v>
      </c>
      <c r="F5" s="72" t="s">
        <v>281</v>
      </c>
      <c r="G5" s="72" t="s">
        <v>282</v>
      </c>
      <c r="H5" s="72" t="s">
        <v>283</v>
      </c>
      <c r="I5" s="72" t="s">
        <v>284</v>
      </c>
      <c r="J5" s="72" t="s">
        <v>285</v>
      </c>
      <c r="K5" s="72" t="s">
        <v>285</v>
      </c>
      <c r="L5" s="72" t="s">
        <v>290</v>
      </c>
      <c r="M5" s="72" t="s">
        <v>286</v>
      </c>
      <c r="N5" s="72" t="s">
        <v>287</v>
      </c>
      <c r="O5" s="72" t="s">
        <v>287</v>
      </c>
      <c r="P5" s="72" t="s">
        <v>288</v>
      </c>
      <c r="Q5" s="72" t="s">
        <v>289</v>
      </c>
      <c r="R5" s="72" t="s">
        <v>131</v>
      </c>
      <c r="S5" s="72" t="s">
        <v>131</v>
      </c>
      <c r="T5" s="72" t="s">
        <v>131</v>
      </c>
      <c r="U5" s="72" t="s">
        <v>291</v>
      </c>
      <c r="V5" s="72" t="s">
        <v>291</v>
      </c>
      <c r="W5" s="72" t="s">
        <v>291</v>
      </c>
      <c r="X5" s="72" t="s">
        <v>291</v>
      </c>
      <c r="Y5" s="71"/>
      <c r="Z5" s="71"/>
      <c r="AA5" s="71"/>
      <c r="AB5" s="71"/>
      <c r="AC5" s="71"/>
      <c r="AD5" s="71"/>
      <c r="AE5" s="71"/>
      <c r="AF5" s="29"/>
      <c r="AG5" s="72" t="s">
        <v>280</v>
      </c>
      <c r="AH5" s="72" t="s">
        <v>281</v>
      </c>
      <c r="AI5" s="72" t="s">
        <v>282</v>
      </c>
      <c r="AJ5" s="72" t="s">
        <v>283</v>
      </c>
      <c r="AK5" s="72" t="s">
        <v>284</v>
      </c>
      <c r="AL5" s="72" t="s">
        <v>285</v>
      </c>
      <c r="AM5" s="72" t="s">
        <v>285</v>
      </c>
      <c r="AN5" s="72" t="s">
        <v>290</v>
      </c>
      <c r="AO5" s="72" t="s">
        <v>286</v>
      </c>
      <c r="AP5" s="72" t="s">
        <v>287</v>
      </c>
      <c r="AQ5" s="72" t="s">
        <v>287</v>
      </c>
      <c r="AR5" s="72" t="s">
        <v>288</v>
      </c>
      <c r="AS5" s="72" t="s">
        <v>289</v>
      </c>
      <c r="AT5" s="72" t="s">
        <v>131</v>
      </c>
      <c r="AU5" s="72" t="s">
        <v>131</v>
      </c>
      <c r="AV5" s="72" t="s">
        <v>131</v>
      </c>
      <c r="AW5" s="72" t="s">
        <v>291</v>
      </c>
      <c r="AX5" s="72" t="s">
        <v>291</v>
      </c>
      <c r="AY5" s="72" t="s">
        <v>291</v>
      </c>
      <c r="AZ5" s="72" t="s">
        <v>291</v>
      </c>
      <c r="BA5" s="71"/>
      <c r="BB5" s="71"/>
      <c r="BC5" s="71"/>
      <c r="BD5" s="71"/>
      <c r="BE5" s="71"/>
      <c r="BF5" s="71"/>
      <c r="BG5" s="71"/>
      <c r="BH5" s="29"/>
      <c r="BI5" s="72" t="s">
        <v>280</v>
      </c>
      <c r="BJ5" s="72" t="s">
        <v>281</v>
      </c>
      <c r="BK5" s="72" t="s">
        <v>282</v>
      </c>
      <c r="BL5" s="72" t="s">
        <v>283</v>
      </c>
      <c r="BM5" s="72" t="s">
        <v>284</v>
      </c>
      <c r="BN5" s="72" t="s">
        <v>285</v>
      </c>
      <c r="BO5" s="72" t="s">
        <v>285</v>
      </c>
      <c r="BP5" s="72" t="s">
        <v>290</v>
      </c>
      <c r="BQ5" s="72" t="s">
        <v>286</v>
      </c>
      <c r="BR5" s="72" t="s">
        <v>287</v>
      </c>
      <c r="BS5" s="72" t="s">
        <v>287</v>
      </c>
      <c r="BT5" s="72" t="s">
        <v>288</v>
      </c>
      <c r="BU5" s="72" t="s">
        <v>289</v>
      </c>
      <c r="BV5" s="72" t="s">
        <v>131</v>
      </c>
      <c r="BW5" s="72" t="s">
        <v>131</v>
      </c>
      <c r="BX5" s="72" t="s">
        <v>131</v>
      </c>
      <c r="BY5" s="72" t="s">
        <v>291</v>
      </c>
      <c r="BZ5" s="72" t="s">
        <v>291</v>
      </c>
      <c r="CA5" s="72" t="s">
        <v>291</v>
      </c>
      <c r="CB5" s="72" t="s">
        <v>291</v>
      </c>
      <c r="CC5" s="71"/>
      <c r="CD5" s="71"/>
      <c r="CE5" s="71"/>
      <c r="CF5" s="71"/>
      <c r="CG5" s="71"/>
      <c r="CH5" s="71"/>
      <c r="CI5" s="71"/>
      <c r="CJ5" s="29"/>
      <c r="CK5" s="72" t="s">
        <v>280</v>
      </c>
      <c r="CL5" s="72" t="s">
        <v>281</v>
      </c>
      <c r="CM5" s="72" t="s">
        <v>282</v>
      </c>
      <c r="CN5" s="72" t="s">
        <v>283</v>
      </c>
      <c r="CO5" s="72" t="s">
        <v>284</v>
      </c>
      <c r="CP5" s="72" t="s">
        <v>285</v>
      </c>
      <c r="CQ5" s="72" t="s">
        <v>285</v>
      </c>
      <c r="CR5" s="72" t="s">
        <v>290</v>
      </c>
      <c r="CS5" s="72" t="s">
        <v>286</v>
      </c>
      <c r="CT5" s="72" t="s">
        <v>287</v>
      </c>
      <c r="CU5" s="72" t="s">
        <v>287</v>
      </c>
      <c r="CV5" s="72" t="s">
        <v>288</v>
      </c>
      <c r="CW5" s="72" t="s">
        <v>289</v>
      </c>
      <c r="CX5" s="72" t="s">
        <v>131</v>
      </c>
      <c r="CY5" s="72" t="s">
        <v>131</v>
      </c>
      <c r="CZ5" s="72" t="s">
        <v>131</v>
      </c>
      <c r="DA5" s="72" t="s">
        <v>291</v>
      </c>
      <c r="DB5" s="72" t="s">
        <v>291</v>
      </c>
      <c r="DC5" s="72" t="s">
        <v>291</v>
      </c>
      <c r="DD5" s="72" t="s">
        <v>291</v>
      </c>
      <c r="DE5" s="71"/>
      <c r="DF5" s="71"/>
      <c r="DG5" s="71"/>
      <c r="DH5" s="71"/>
      <c r="DI5" s="71"/>
      <c r="DJ5" s="71"/>
      <c r="DK5" s="71"/>
      <c r="DL5" s="29"/>
      <c r="DM5" s="72" t="s">
        <v>280</v>
      </c>
      <c r="DN5" s="72" t="s">
        <v>281</v>
      </c>
      <c r="DO5" s="72" t="s">
        <v>282</v>
      </c>
      <c r="DP5" s="72" t="s">
        <v>283</v>
      </c>
      <c r="DQ5" s="72" t="s">
        <v>284</v>
      </c>
      <c r="DR5" s="72" t="s">
        <v>285</v>
      </c>
      <c r="DS5" s="72" t="s">
        <v>285</v>
      </c>
      <c r="DT5" s="72" t="s">
        <v>290</v>
      </c>
      <c r="DU5" s="72" t="s">
        <v>286</v>
      </c>
      <c r="DV5" s="72" t="s">
        <v>287</v>
      </c>
      <c r="DW5" s="72" t="s">
        <v>287</v>
      </c>
      <c r="DX5" s="72" t="s">
        <v>288</v>
      </c>
      <c r="DY5" s="72" t="s">
        <v>289</v>
      </c>
      <c r="DZ5" s="72" t="s">
        <v>131</v>
      </c>
      <c r="EA5" s="72" t="s">
        <v>131</v>
      </c>
      <c r="EB5" s="72" t="s">
        <v>131</v>
      </c>
      <c r="EC5" s="72" t="s">
        <v>291</v>
      </c>
      <c r="ED5" s="72" t="s">
        <v>291</v>
      </c>
      <c r="EE5" s="72" t="s">
        <v>291</v>
      </c>
      <c r="EF5" s="72" t="s">
        <v>291</v>
      </c>
      <c r="EG5" s="71"/>
      <c r="EH5" s="71"/>
      <c r="EI5" s="71"/>
      <c r="EJ5" s="71"/>
      <c r="EK5" s="71"/>
      <c r="EL5" s="71"/>
      <c r="EM5" s="71"/>
      <c r="EN5" s="29"/>
      <c r="EO5" s="29"/>
      <c r="EP5" s="72" t="s">
        <v>280</v>
      </c>
      <c r="EQ5" s="72" t="s">
        <v>281</v>
      </c>
      <c r="ER5" s="72" t="s">
        <v>282</v>
      </c>
      <c r="ES5" s="72" t="s">
        <v>283</v>
      </c>
      <c r="ET5" s="72" t="s">
        <v>284</v>
      </c>
      <c r="EU5" s="72" t="s">
        <v>285</v>
      </c>
      <c r="EV5" s="72" t="s">
        <v>285</v>
      </c>
      <c r="EW5" s="72" t="s">
        <v>290</v>
      </c>
      <c r="EX5" s="72" t="s">
        <v>286</v>
      </c>
      <c r="EY5" s="72" t="s">
        <v>287</v>
      </c>
      <c r="EZ5" s="72" t="s">
        <v>287</v>
      </c>
      <c r="FA5" s="72" t="s">
        <v>288</v>
      </c>
      <c r="FB5" s="72" t="s">
        <v>289</v>
      </c>
      <c r="FC5" s="72" t="s">
        <v>131</v>
      </c>
      <c r="FD5" s="72" t="s">
        <v>131</v>
      </c>
      <c r="FE5" s="72" t="s">
        <v>131</v>
      </c>
      <c r="FF5" s="72" t="s">
        <v>291</v>
      </c>
      <c r="FG5" s="72" t="s">
        <v>291</v>
      </c>
      <c r="FH5" s="72" t="s">
        <v>291</v>
      </c>
      <c r="FI5" s="72" t="s">
        <v>291</v>
      </c>
      <c r="FJ5" s="71"/>
      <c r="FK5" s="71"/>
      <c r="FL5" s="71"/>
      <c r="FM5" s="71"/>
      <c r="FN5" s="71"/>
      <c r="FO5" s="71"/>
      <c r="FP5" s="71"/>
      <c r="FQ5" s="29"/>
      <c r="FR5" s="72" t="s">
        <v>280</v>
      </c>
      <c r="FS5" s="72" t="s">
        <v>281</v>
      </c>
      <c r="FT5" s="72" t="s">
        <v>282</v>
      </c>
      <c r="FU5" s="72" t="s">
        <v>283</v>
      </c>
      <c r="FV5" s="72" t="s">
        <v>284</v>
      </c>
      <c r="FW5" s="72" t="s">
        <v>285</v>
      </c>
      <c r="FX5" s="72" t="s">
        <v>285</v>
      </c>
      <c r="FY5" s="72" t="s">
        <v>290</v>
      </c>
      <c r="FZ5" s="72" t="s">
        <v>286</v>
      </c>
      <c r="GA5" s="72" t="s">
        <v>287</v>
      </c>
      <c r="GB5" s="72" t="s">
        <v>287</v>
      </c>
      <c r="GC5" s="72" t="s">
        <v>288</v>
      </c>
      <c r="GD5" s="72" t="s">
        <v>289</v>
      </c>
      <c r="GE5" s="72" t="s">
        <v>131</v>
      </c>
      <c r="GF5" s="72" t="s">
        <v>131</v>
      </c>
      <c r="GG5" s="72" t="s">
        <v>131</v>
      </c>
      <c r="GH5" s="72" t="s">
        <v>291</v>
      </c>
      <c r="GI5" s="72" t="s">
        <v>291</v>
      </c>
      <c r="GJ5" s="72" t="s">
        <v>291</v>
      </c>
      <c r="GK5" s="72" t="s">
        <v>291</v>
      </c>
      <c r="GL5" s="71"/>
      <c r="GM5" s="71"/>
      <c r="GN5" s="71"/>
      <c r="GO5" s="71"/>
      <c r="GP5" s="71"/>
      <c r="GQ5" s="71"/>
      <c r="GR5" s="71"/>
      <c r="GS5" s="29"/>
      <c r="GT5" s="72" t="s">
        <v>280</v>
      </c>
      <c r="GU5" s="72" t="s">
        <v>281</v>
      </c>
      <c r="GV5" s="72" t="s">
        <v>282</v>
      </c>
      <c r="GW5" s="72" t="s">
        <v>283</v>
      </c>
      <c r="GX5" s="72" t="s">
        <v>284</v>
      </c>
      <c r="GY5" s="72" t="s">
        <v>285</v>
      </c>
      <c r="GZ5" s="72" t="s">
        <v>285</v>
      </c>
      <c r="HA5" s="72" t="s">
        <v>290</v>
      </c>
      <c r="HB5" s="72" t="s">
        <v>286</v>
      </c>
      <c r="HC5" s="72" t="s">
        <v>287</v>
      </c>
      <c r="HD5" s="72" t="s">
        <v>287</v>
      </c>
      <c r="HE5" s="72" t="s">
        <v>288</v>
      </c>
      <c r="HF5" s="72" t="s">
        <v>289</v>
      </c>
      <c r="HG5" s="72" t="s">
        <v>131</v>
      </c>
      <c r="HH5" s="72" t="s">
        <v>131</v>
      </c>
      <c r="HI5" s="72" t="s">
        <v>131</v>
      </c>
      <c r="HJ5" s="72" t="s">
        <v>291</v>
      </c>
      <c r="HK5" s="72" t="s">
        <v>291</v>
      </c>
      <c r="HL5" s="72" t="s">
        <v>291</v>
      </c>
      <c r="HM5" s="72" t="s">
        <v>291</v>
      </c>
      <c r="HN5" s="71"/>
      <c r="HO5" s="71"/>
      <c r="HP5" s="71"/>
      <c r="HQ5" s="71"/>
      <c r="HR5" s="71"/>
      <c r="HS5" s="71"/>
      <c r="HT5" s="71"/>
      <c r="HU5" s="29"/>
      <c r="HV5" s="29"/>
      <c r="HW5" s="72" t="s">
        <v>280</v>
      </c>
      <c r="HX5" s="72" t="s">
        <v>281</v>
      </c>
      <c r="HY5" s="72" t="s">
        <v>282</v>
      </c>
      <c r="HZ5" s="72" t="s">
        <v>283</v>
      </c>
      <c r="IA5" s="72" t="s">
        <v>284</v>
      </c>
      <c r="IB5" s="72" t="s">
        <v>285</v>
      </c>
      <c r="IC5" s="72" t="s">
        <v>285</v>
      </c>
      <c r="ID5" s="72" t="s">
        <v>290</v>
      </c>
      <c r="IE5" s="72" t="s">
        <v>286</v>
      </c>
      <c r="IF5" s="72" t="s">
        <v>287</v>
      </c>
      <c r="IG5" s="72" t="s">
        <v>287</v>
      </c>
      <c r="IH5" s="72" t="s">
        <v>288</v>
      </c>
      <c r="II5" s="72" t="s">
        <v>289</v>
      </c>
      <c r="IJ5" s="72" t="s">
        <v>131</v>
      </c>
      <c r="IK5" s="72" t="s">
        <v>131</v>
      </c>
      <c r="IL5" s="72" t="s">
        <v>131</v>
      </c>
      <c r="IM5" s="72" t="s">
        <v>291</v>
      </c>
      <c r="IN5" s="72" t="s">
        <v>291</v>
      </c>
      <c r="IO5" s="72" t="s">
        <v>291</v>
      </c>
      <c r="IP5" s="72" t="s">
        <v>291</v>
      </c>
      <c r="IQ5" s="71"/>
      <c r="IR5" s="71"/>
      <c r="IS5" s="71"/>
      <c r="IT5" s="71"/>
      <c r="IU5" s="71"/>
      <c r="IV5" s="71"/>
      <c r="IW5" s="71"/>
      <c r="IX5" s="29"/>
      <c r="IY5" s="72" t="s">
        <v>280</v>
      </c>
      <c r="IZ5" s="72" t="s">
        <v>281</v>
      </c>
      <c r="JA5" s="72" t="s">
        <v>282</v>
      </c>
      <c r="JB5" s="72" t="s">
        <v>283</v>
      </c>
      <c r="JC5" s="72" t="s">
        <v>284</v>
      </c>
      <c r="JD5" s="72" t="s">
        <v>285</v>
      </c>
      <c r="JE5" s="72" t="s">
        <v>285</v>
      </c>
      <c r="JF5" s="72" t="s">
        <v>290</v>
      </c>
      <c r="JG5" s="72" t="s">
        <v>286</v>
      </c>
      <c r="JH5" s="72" t="s">
        <v>287</v>
      </c>
      <c r="JI5" s="72" t="s">
        <v>287</v>
      </c>
      <c r="JJ5" s="72" t="s">
        <v>288</v>
      </c>
      <c r="JK5" s="72" t="s">
        <v>289</v>
      </c>
      <c r="JL5" s="72" t="s">
        <v>131</v>
      </c>
      <c r="JM5" s="72" t="s">
        <v>131</v>
      </c>
      <c r="JN5" s="72" t="s">
        <v>131</v>
      </c>
      <c r="JO5" s="72" t="s">
        <v>291</v>
      </c>
      <c r="JP5" s="72" t="s">
        <v>291</v>
      </c>
      <c r="JQ5" s="72" t="s">
        <v>291</v>
      </c>
      <c r="JR5" s="72" t="s">
        <v>291</v>
      </c>
      <c r="JS5" s="71"/>
      <c r="JT5" s="71"/>
      <c r="JU5" s="71"/>
      <c r="JV5" s="71"/>
      <c r="JW5" s="71"/>
      <c r="JX5" s="71"/>
      <c r="JY5" s="71"/>
      <c r="JZ5" s="29"/>
      <c r="KA5" s="72" t="s">
        <v>280</v>
      </c>
      <c r="KB5" s="72" t="s">
        <v>281</v>
      </c>
      <c r="KC5" s="72" t="s">
        <v>282</v>
      </c>
      <c r="KD5" s="72" t="s">
        <v>283</v>
      </c>
      <c r="KE5" s="72" t="s">
        <v>284</v>
      </c>
      <c r="KF5" s="72" t="s">
        <v>285</v>
      </c>
      <c r="KG5" s="72" t="s">
        <v>285</v>
      </c>
      <c r="KH5" s="72" t="s">
        <v>290</v>
      </c>
      <c r="KI5" s="72" t="s">
        <v>286</v>
      </c>
      <c r="KJ5" s="72" t="s">
        <v>287</v>
      </c>
      <c r="KK5" s="72" t="s">
        <v>287</v>
      </c>
      <c r="KL5" s="72" t="s">
        <v>288</v>
      </c>
      <c r="KM5" s="72" t="s">
        <v>289</v>
      </c>
      <c r="KN5" s="72" t="s">
        <v>131</v>
      </c>
      <c r="KO5" s="72" t="s">
        <v>131</v>
      </c>
      <c r="KP5" s="72" t="s">
        <v>131</v>
      </c>
      <c r="KQ5" s="72" t="s">
        <v>291</v>
      </c>
      <c r="KR5" s="72" t="s">
        <v>291</v>
      </c>
      <c r="KS5" s="72" t="s">
        <v>291</v>
      </c>
      <c r="KT5" s="72" t="s">
        <v>291</v>
      </c>
      <c r="KU5" s="71"/>
      <c r="KV5" s="71"/>
      <c r="KW5" s="71"/>
      <c r="KX5" s="71"/>
      <c r="KY5" s="71"/>
      <c r="KZ5" s="71"/>
      <c r="LA5" s="71"/>
      <c r="LB5" s="29"/>
      <c r="LC5" s="29"/>
      <c r="LD5" s="72" t="s">
        <v>280</v>
      </c>
      <c r="LE5" s="72" t="s">
        <v>281</v>
      </c>
      <c r="LF5" s="72" t="s">
        <v>282</v>
      </c>
      <c r="LG5" s="72" t="s">
        <v>283</v>
      </c>
      <c r="LH5" s="72" t="s">
        <v>284</v>
      </c>
      <c r="LI5" s="72" t="s">
        <v>285</v>
      </c>
      <c r="LJ5" s="72" t="s">
        <v>285</v>
      </c>
      <c r="LK5" s="72" t="s">
        <v>290</v>
      </c>
      <c r="LL5" s="72" t="s">
        <v>286</v>
      </c>
      <c r="LM5" s="72" t="s">
        <v>287</v>
      </c>
      <c r="LN5" s="72" t="s">
        <v>287</v>
      </c>
      <c r="LO5" s="72" t="s">
        <v>288</v>
      </c>
      <c r="LP5" s="72" t="s">
        <v>289</v>
      </c>
      <c r="LQ5" s="72" t="s">
        <v>131</v>
      </c>
      <c r="LR5" s="72" t="s">
        <v>131</v>
      </c>
      <c r="LS5" s="72" t="s">
        <v>131</v>
      </c>
      <c r="LT5" s="72" t="s">
        <v>291</v>
      </c>
      <c r="LU5" s="72" t="s">
        <v>291</v>
      </c>
      <c r="LV5" s="72" t="s">
        <v>291</v>
      </c>
      <c r="LW5" s="72" t="s">
        <v>291</v>
      </c>
      <c r="LX5" s="71"/>
      <c r="LY5" s="71"/>
      <c r="LZ5" s="71"/>
      <c r="MA5" s="71"/>
      <c r="MB5" s="71"/>
      <c r="MC5" s="71"/>
      <c r="MD5" s="71"/>
      <c r="ME5" s="29"/>
      <c r="MF5" s="72" t="s">
        <v>280</v>
      </c>
      <c r="MG5" s="72" t="s">
        <v>281</v>
      </c>
      <c r="MH5" s="72" t="s">
        <v>282</v>
      </c>
      <c r="MI5" s="72" t="s">
        <v>283</v>
      </c>
      <c r="MJ5" s="72" t="s">
        <v>284</v>
      </c>
      <c r="MK5" s="72" t="s">
        <v>285</v>
      </c>
      <c r="ML5" s="72" t="s">
        <v>285</v>
      </c>
      <c r="MM5" s="72" t="s">
        <v>290</v>
      </c>
      <c r="MN5" s="72" t="s">
        <v>286</v>
      </c>
      <c r="MO5" s="72" t="s">
        <v>287</v>
      </c>
      <c r="MP5" s="72" t="s">
        <v>287</v>
      </c>
      <c r="MQ5" s="72" t="s">
        <v>288</v>
      </c>
      <c r="MR5" s="72" t="s">
        <v>289</v>
      </c>
      <c r="MS5" s="72" t="s">
        <v>131</v>
      </c>
      <c r="MT5" s="72" t="s">
        <v>131</v>
      </c>
      <c r="MU5" s="72" t="s">
        <v>131</v>
      </c>
      <c r="MV5" s="72" t="s">
        <v>291</v>
      </c>
      <c r="MW5" s="72" t="s">
        <v>291</v>
      </c>
      <c r="MX5" s="72" t="s">
        <v>291</v>
      </c>
      <c r="MY5" s="72" t="s">
        <v>291</v>
      </c>
      <c r="MZ5" s="71"/>
      <c r="NA5" s="71"/>
      <c r="NB5" s="71"/>
      <c r="NC5" s="71"/>
      <c r="ND5" s="71"/>
      <c r="NE5" s="71"/>
      <c r="NF5" s="71"/>
      <c r="NG5" s="29"/>
      <c r="NH5" s="72" t="s">
        <v>280</v>
      </c>
      <c r="NI5" s="72" t="s">
        <v>281</v>
      </c>
      <c r="NJ5" s="72" t="s">
        <v>282</v>
      </c>
      <c r="NK5" s="72" t="s">
        <v>283</v>
      </c>
      <c r="NL5" s="72" t="s">
        <v>284</v>
      </c>
      <c r="NM5" s="72" t="s">
        <v>285</v>
      </c>
      <c r="NN5" s="72" t="s">
        <v>285</v>
      </c>
      <c r="NO5" s="72" t="s">
        <v>290</v>
      </c>
      <c r="NP5" s="72" t="s">
        <v>286</v>
      </c>
      <c r="NQ5" s="72" t="s">
        <v>287</v>
      </c>
      <c r="NR5" s="72" t="s">
        <v>287</v>
      </c>
      <c r="NS5" s="72" t="s">
        <v>288</v>
      </c>
      <c r="NT5" s="72" t="s">
        <v>289</v>
      </c>
      <c r="NU5" s="72" t="s">
        <v>131</v>
      </c>
      <c r="NV5" s="72" t="s">
        <v>131</v>
      </c>
      <c r="NW5" s="72" t="s">
        <v>131</v>
      </c>
      <c r="NX5" s="72" t="s">
        <v>291</v>
      </c>
      <c r="NY5" s="72" t="s">
        <v>291</v>
      </c>
      <c r="NZ5" s="72" t="s">
        <v>291</v>
      </c>
      <c r="OA5" s="72" t="s">
        <v>291</v>
      </c>
      <c r="OB5" s="71"/>
      <c r="OC5" s="71"/>
      <c r="OD5" s="71"/>
      <c r="OE5" s="71"/>
      <c r="OF5" s="71"/>
      <c r="OG5" s="71"/>
      <c r="OH5" s="71"/>
      <c r="OI5" s="29"/>
      <c r="OJ5" s="72" t="s">
        <v>280</v>
      </c>
      <c r="OK5" s="72" t="s">
        <v>281</v>
      </c>
      <c r="OL5" s="72" t="s">
        <v>282</v>
      </c>
      <c r="OM5" s="72" t="s">
        <v>283</v>
      </c>
      <c r="ON5" s="72" t="s">
        <v>284</v>
      </c>
      <c r="OO5" s="72" t="s">
        <v>285</v>
      </c>
      <c r="OP5" s="72" t="s">
        <v>285</v>
      </c>
      <c r="OQ5" s="72" t="s">
        <v>290</v>
      </c>
      <c r="OR5" s="72" t="s">
        <v>286</v>
      </c>
      <c r="OS5" s="72" t="s">
        <v>287</v>
      </c>
      <c r="OT5" s="72" t="s">
        <v>287</v>
      </c>
      <c r="OU5" s="72" t="s">
        <v>288</v>
      </c>
      <c r="OV5" s="72" t="s">
        <v>289</v>
      </c>
      <c r="OW5" s="72" t="s">
        <v>131</v>
      </c>
      <c r="OX5" s="72" t="s">
        <v>131</v>
      </c>
      <c r="OY5" s="72" t="s">
        <v>131</v>
      </c>
      <c r="OZ5" s="72" t="s">
        <v>291</v>
      </c>
      <c r="PA5" s="72" t="s">
        <v>291</v>
      </c>
      <c r="PB5" s="72" t="s">
        <v>291</v>
      </c>
      <c r="PC5" s="72" t="s">
        <v>291</v>
      </c>
      <c r="PD5" s="71"/>
      <c r="PE5" s="71"/>
      <c r="PF5" s="71"/>
      <c r="PG5" s="71"/>
      <c r="PH5" s="71"/>
      <c r="PI5" s="71"/>
      <c r="PJ5" s="71"/>
      <c r="PK5" s="29"/>
      <c r="PL5" s="72" t="s">
        <v>280</v>
      </c>
      <c r="PM5" s="72" t="s">
        <v>281</v>
      </c>
      <c r="PN5" s="72" t="s">
        <v>282</v>
      </c>
      <c r="PO5" s="72" t="s">
        <v>283</v>
      </c>
      <c r="PP5" s="72" t="s">
        <v>284</v>
      </c>
      <c r="PQ5" s="72" t="s">
        <v>285</v>
      </c>
      <c r="PR5" s="72" t="s">
        <v>285</v>
      </c>
      <c r="PS5" s="72" t="s">
        <v>290</v>
      </c>
      <c r="PT5" s="72" t="s">
        <v>286</v>
      </c>
      <c r="PU5" s="72" t="s">
        <v>287</v>
      </c>
      <c r="PV5" s="72" t="s">
        <v>287</v>
      </c>
      <c r="PW5" s="72" t="s">
        <v>288</v>
      </c>
      <c r="PX5" s="72" t="s">
        <v>289</v>
      </c>
      <c r="PY5" s="72" t="s">
        <v>131</v>
      </c>
      <c r="PZ5" s="72" t="s">
        <v>131</v>
      </c>
      <c r="QA5" s="72" t="s">
        <v>131</v>
      </c>
      <c r="QB5" s="72" t="s">
        <v>291</v>
      </c>
      <c r="QC5" s="72" t="s">
        <v>291</v>
      </c>
      <c r="QD5" s="72" t="s">
        <v>291</v>
      </c>
      <c r="QE5" s="72" t="s">
        <v>291</v>
      </c>
      <c r="QF5" s="71"/>
      <c r="QG5" s="71"/>
      <c r="QH5" s="71"/>
      <c r="QI5" s="71"/>
      <c r="QJ5" s="71"/>
      <c r="QK5" s="71"/>
      <c r="QL5" s="71"/>
      <c r="QM5" s="29"/>
      <c r="QN5" s="72" t="s">
        <v>280</v>
      </c>
      <c r="QO5" s="72" t="s">
        <v>281</v>
      </c>
      <c r="QP5" s="72" t="s">
        <v>282</v>
      </c>
      <c r="QQ5" s="72" t="s">
        <v>283</v>
      </c>
      <c r="QR5" s="72" t="s">
        <v>284</v>
      </c>
      <c r="QS5" s="72" t="s">
        <v>285</v>
      </c>
      <c r="QT5" s="72" t="s">
        <v>285</v>
      </c>
      <c r="QU5" s="72" t="s">
        <v>290</v>
      </c>
      <c r="QV5" s="72" t="s">
        <v>286</v>
      </c>
      <c r="QW5" s="72" t="s">
        <v>287</v>
      </c>
      <c r="QX5" s="72" t="s">
        <v>287</v>
      </c>
      <c r="QY5" s="72" t="s">
        <v>288</v>
      </c>
      <c r="QZ5" s="72" t="s">
        <v>289</v>
      </c>
      <c r="RA5" s="72" t="s">
        <v>131</v>
      </c>
      <c r="RB5" s="72" t="s">
        <v>131</v>
      </c>
      <c r="RC5" s="72" t="s">
        <v>131</v>
      </c>
      <c r="RD5" s="72" t="s">
        <v>291</v>
      </c>
      <c r="RE5" s="72" t="s">
        <v>291</v>
      </c>
      <c r="RF5" s="72" t="s">
        <v>291</v>
      </c>
      <c r="RG5" s="72" t="s">
        <v>291</v>
      </c>
      <c r="RH5" s="71"/>
      <c r="RI5" s="71"/>
      <c r="RJ5" s="71"/>
      <c r="RK5" s="71"/>
      <c r="RL5" s="71"/>
      <c r="RM5" s="71"/>
      <c r="RN5" s="71"/>
      <c r="RO5" s="29"/>
      <c r="RP5" s="72" t="s">
        <v>280</v>
      </c>
      <c r="RQ5" s="72" t="s">
        <v>281</v>
      </c>
      <c r="RR5" s="72" t="s">
        <v>282</v>
      </c>
      <c r="RS5" s="72" t="s">
        <v>283</v>
      </c>
      <c r="RT5" s="72" t="s">
        <v>284</v>
      </c>
      <c r="RU5" s="72" t="s">
        <v>285</v>
      </c>
      <c r="RV5" s="72" t="s">
        <v>285</v>
      </c>
      <c r="RW5" s="72" t="s">
        <v>290</v>
      </c>
      <c r="RX5" s="72" t="s">
        <v>286</v>
      </c>
      <c r="RY5" s="72" t="s">
        <v>287</v>
      </c>
      <c r="RZ5" s="72" t="s">
        <v>287</v>
      </c>
      <c r="SA5" s="72" t="s">
        <v>288</v>
      </c>
      <c r="SB5" s="72" t="s">
        <v>289</v>
      </c>
      <c r="SC5" s="72" t="s">
        <v>131</v>
      </c>
      <c r="SD5" s="72" t="s">
        <v>131</v>
      </c>
      <c r="SE5" s="72" t="s">
        <v>131</v>
      </c>
      <c r="SF5" s="72" t="s">
        <v>291</v>
      </c>
      <c r="SG5" s="72" t="s">
        <v>291</v>
      </c>
      <c r="SH5" s="72" t="s">
        <v>291</v>
      </c>
      <c r="SI5" s="72" t="s">
        <v>291</v>
      </c>
      <c r="SJ5" s="71"/>
      <c r="SK5" s="71"/>
      <c r="SL5" s="71"/>
      <c r="SM5" s="71"/>
      <c r="SN5" s="71"/>
      <c r="SO5" s="71"/>
      <c r="SP5" s="71"/>
      <c r="SQ5" s="29"/>
      <c r="SR5" s="29"/>
      <c r="SS5" s="172"/>
      <c r="ST5" s="89" t="s">
        <v>321</v>
      </c>
      <c r="SU5" s="89" t="s">
        <v>322</v>
      </c>
      <c r="SV5" s="89" t="s">
        <v>323</v>
      </c>
      <c r="SW5" s="89" t="s">
        <v>186</v>
      </c>
      <c r="SX5" s="89" t="s">
        <v>188</v>
      </c>
      <c r="SY5" s="90" t="s">
        <v>93</v>
      </c>
      <c r="SZ5" s="90" t="s">
        <v>94</v>
      </c>
      <c r="TA5" s="90" t="s">
        <v>95</v>
      </c>
      <c r="TB5" s="90" t="s">
        <v>97</v>
      </c>
      <c r="TC5" s="90" t="s">
        <v>93</v>
      </c>
      <c r="TD5" s="90" t="s">
        <v>94</v>
      </c>
      <c r="TE5" s="90" t="s">
        <v>95</v>
      </c>
      <c r="TF5" s="90" t="s">
        <v>97</v>
      </c>
      <c r="TG5" s="90" t="s">
        <v>93</v>
      </c>
      <c r="TH5" s="90" t="s">
        <v>94</v>
      </c>
      <c r="TI5" s="90" t="s">
        <v>95</v>
      </c>
      <c r="TJ5" s="90" t="s">
        <v>97</v>
      </c>
      <c r="TK5" s="90" t="s">
        <v>93</v>
      </c>
      <c r="TL5" s="90" t="s">
        <v>94</v>
      </c>
      <c r="TM5" s="90" t="s">
        <v>95</v>
      </c>
      <c r="TN5" s="90" t="s">
        <v>97</v>
      </c>
      <c r="TO5" s="90" t="s">
        <v>93</v>
      </c>
      <c r="TP5" s="90" t="s">
        <v>94</v>
      </c>
      <c r="TQ5" s="90" t="s">
        <v>95</v>
      </c>
      <c r="TR5" s="90" t="s">
        <v>97</v>
      </c>
    </row>
    <row r="6" spans="1:538">
      <c r="A6" s="178" t="s">
        <v>190</v>
      </c>
      <c r="B6" s="101" t="str">
        <f>+A6</f>
        <v>Coadyuvantes</v>
      </c>
      <c r="C6" s="71" t="s">
        <v>295</v>
      </c>
      <c r="D6" s="87">
        <f>+IFERROR(INDEX(Productos[U$D],MATCH(C6,Productos[Productos],0)),0)</f>
        <v>2.2959999999999998</v>
      </c>
      <c r="E6" s="74"/>
      <c r="F6" s="74"/>
      <c r="G6" s="74"/>
      <c r="H6" s="78">
        <v>0.15</v>
      </c>
      <c r="I6" s="77">
        <v>0.24</v>
      </c>
      <c r="J6" s="77">
        <v>0.3</v>
      </c>
      <c r="K6" s="74"/>
      <c r="L6" s="77">
        <v>0.3</v>
      </c>
      <c r="M6" s="74"/>
      <c r="N6" s="77">
        <v>0.3</v>
      </c>
      <c r="O6" s="74"/>
      <c r="P6" s="77">
        <v>0.3</v>
      </c>
      <c r="Q6" s="74"/>
      <c r="R6" s="74"/>
      <c r="S6" s="74"/>
      <c r="T6" s="74"/>
      <c r="U6" s="74"/>
      <c r="V6" s="74"/>
      <c r="W6" s="74"/>
      <c r="X6" s="77">
        <v>0.3</v>
      </c>
      <c r="Y6" s="74"/>
      <c r="Z6" s="77">
        <v>0.3</v>
      </c>
      <c r="AA6" s="74"/>
      <c r="AB6" s="74"/>
      <c r="AC6" s="74"/>
      <c r="AD6" s="74"/>
      <c r="AE6" s="74"/>
      <c r="AF6" s="79">
        <f>SUM(E6:AE6)*E$2</f>
        <v>47.978519999999989</v>
      </c>
      <c r="AG6" s="74"/>
      <c r="AH6" s="74"/>
      <c r="AI6" s="74"/>
      <c r="AJ6" s="78">
        <v>0.15</v>
      </c>
      <c r="AK6" s="77">
        <v>0.24</v>
      </c>
      <c r="AL6" s="77">
        <v>0.3</v>
      </c>
      <c r="AM6" s="74"/>
      <c r="AN6" s="77">
        <v>0.3</v>
      </c>
      <c r="AO6" s="74"/>
      <c r="AP6" s="77">
        <v>0.3</v>
      </c>
      <c r="AQ6" s="74"/>
      <c r="AR6" s="77">
        <v>0.3</v>
      </c>
      <c r="AS6" s="74"/>
      <c r="AT6" s="74"/>
      <c r="AU6" s="74"/>
      <c r="AV6" s="74"/>
      <c r="AW6" s="74"/>
      <c r="AX6" s="74"/>
      <c r="AY6" s="74"/>
      <c r="AZ6" s="77">
        <v>0.3</v>
      </c>
      <c r="BA6" s="74"/>
      <c r="BB6" s="77">
        <v>0.3</v>
      </c>
      <c r="BC6" s="74"/>
      <c r="BD6" s="74"/>
      <c r="BE6" s="74"/>
      <c r="BF6" s="74"/>
      <c r="BG6" s="74"/>
      <c r="BH6" s="79">
        <f>SUM(AG6:BG6)*AG$2</f>
        <v>34.689600000000006</v>
      </c>
      <c r="BI6" s="74"/>
      <c r="BJ6" s="74"/>
      <c r="BK6" s="74"/>
      <c r="BL6" s="78">
        <v>0.15</v>
      </c>
      <c r="BM6" s="77">
        <v>0.24</v>
      </c>
      <c r="BN6" s="77">
        <v>0.3</v>
      </c>
      <c r="BO6" s="74"/>
      <c r="BP6" s="77">
        <v>0.3</v>
      </c>
      <c r="BQ6" s="74"/>
      <c r="BR6" s="77">
        <v>0.3</v>
      </c>
      <c r="BS6" s="74"/>
      <c r="BT6" s="77">
        <v>0.3</v>
      </c>
      <c r="BU6" s="74"/>
      <c r="BV6" s="74"/>
      <c r="BW6" s="74"/>
      <c r="BX6" s="74"/>
      <c r="BY6" s="74"/>
      <c r="BZ6" s="74"/>
      <c r="CA6" s="74"/>
      <c r="CB6" s="77">
        <v>0.3</v>
      </c>
      <c r="CC6" s="74"/>
      <c r="CD6" s="77">
        <v>0.3</v>
      </c>
      <c r="CE6" s="74"/>
      <c r="CF6" s="74"/>
      <c r="CG6" s="74"/>
      <c r="CH6" s="74"/>
      <c r="CI6" s="74"/>
      <c r="CJ6" s="79">
        <f>SUM(BI6:CI6)*BI$2</f>
        <v>42.761502</v>
      </c>
      <c r="CK6" s="74"/>
      <c r="CL6" s="74"/>
      <c r="CM6" s="74"/>
      <c r="CN6" s="78">
        <v>0.15</v>
      </c>
      <c r="CO6" s="77">
        <v>0.24</v>
      </c>
      <c r="CP6" s="77">
        <v>0.3</v>
      </c>
      <c r="CQ6" s="74"/>
      <c r="CR6" s="77">
        <v>0.3</v>
      </c>
      <c r="CS6" s="74"/>
      <c r="CT6" s="77">
        <v>0.3</v>
      </c>
      <c r="CU6" s="74"/>
      <c r="CV6" s="77">
        <v>0.3</v>
      </c>
      <c r="CW6" s="74"/>
      <c r="CX6" s="74"/>
      <c r="CY6" s="74"/>
      <c r="CZ6" s="74"/>
      <c r="DA6" s="74"/>
      <c r="DB6" s="74"/>
      <c r="DC6" s="74"/>
      <c r="DD6" s="77">
        <v>0.3</v>
      </c>
      <c r="DE6" s="74"/>
      <c r="DF6" s="77">
        <v>0.3</v>
      </c>
      <c r="DG6" s="74"/>
      <c r="DH6" s="74"/>
      <c r="DI6" s="74"/>
      <c r="DJ6" s="74"/>
      <c r="DK6" s="74"/>
      <c r="DL6" s="79">
        <f>SUM(CK6:DK6)*CK$2</f>
        <v>12.658199999999999</v>
      </c>
      <c r="DM6" s="74"/>
      <c r="DN6" s="74"/>
      <c r="DO6" s="74"/>
      <c r="DP6" s="78">
        <v>0.15</v>
      </c>
      <c r="DQ6" s="77">
        <v>0.24</v>
      </c>
      <c r="DR6" s="77">
        <v>0.3</v>
      </c>
      <c r="DS6" s="74"/>
      <c r="DT6" s="77">
        <v>0.3</v>
      </c>
      <c r="DU6" s="74"/>
      <c r="DV6" s="77">
        <v>0.3</v>
      </c>
      <c r="DW6" s="74"/>
      <c r="DX6" s="77">
        <v>0.3</v>
      </c>
      <c r="DY6" s="74"/>
      <c r="DZ6" s="74"/>
      <c r="EA6" s="74"/>
      <c r="EB6" s="74"/>
      <c r="EC6" s="74"/>
      <c r="ED6" s="74"/>
      <c r="EE6" s="74"/>
      <c r="EF6" s="77">
        <v>0.3</v>
      </c>
      <c r="EG6" s="74"/>
      <c r="EH6" s="77">
        <v>0.3</v>
      </c>
      <c r="EI6" s="74"/>
      <c r="EJ6" s="74"/>
      <c r="EK6" s="74"/>
      <c r="EL6" s="74"/>
      <c r="EM6" s="74"/>
      <c r="EN6" s="79">
        <f>SUM(DM6:EM6)*DM$2</f>
        <v>6.5481000000000007</v>
      </c>
      <c r="EO6" s="80">
        <f>+AF6+BH6+CJ6+DL6+EN6</f>
        <v>144.63592199999999</v>
      </c>
      <c r="EP6" s="74"/>
      <c r="EQ6" s="74"/>
      <c r="ER6" s="74"/>
      <c r="ES6" s="78">
        <v>0.15</v>
      </c>
      <c r="ET6" s="77">
        <v>0.24</v>
      </c>
      <c r="EU6" s="77">
        <v>0.3</v>
      </c>
      <c r="EV6" s="74"/>
      <c r="EW6" s="77">
        <v>0.3</v>
      </c>
      <c r="EX6" s="74"/>
      <c r="EY6" s="77">
        <v>0.3</v>
      </c>
      <c r="EZ6" s="74"/>
      <c r="FA6" s="77">
        <v>0.3</v>
      </c>
      <c r="FB6" s="74"/>
      <c r="FC6" s="74"/>
      <c r="FD6" s="74"/>
      <c r="FE6" s="74"/>
      <c r="FF6" s="74"/>
      <c r="FG6" s="74"/>
      <c r="FH6" s="74"/>
      <c r="FI6" s="77">
        <v>0.3</v>
      </c>
      <c r="FJ6" s="74"/>
      <c r="FK6" s="77">
        <v>0.3</v>
      </c>
      <c r="FL6" s="74"/>
      <c r="FM6" s="74"/>
      <c r="FN6" s="74"/>
      <c r="FO6" s="74"/>
      <c r="FP6" s="74"/>
      <c r="FQ6" s="79">
        <f>SUM(EP6:FP6)*EP$2</f>
        <v>24.966000000000001</v>
      </c>
      <c r="FR6" s="74"/>
      <c r="FS6" s="74"/>
      <c r="FT6" s="74"/>
      <c r="FU6" s="78">
        <v>0.15</v>
      </c>
      <c r="FV6" s="77">
        <v>0.24</v>
      </c>
      <c r="FW6" s="77">
        <v>0.3</v>
      </c>
      <c r="FX6" s="74"/>
      <c r="FY6" s="77">
        <v>0.3</v>
      </c>
      <c r="FZ6" s="74"/>
      <c r="GA6" s="77">
        <v>0.3</v>
      </c>
      <c r="GB6" s="74"/>
      <c r="GC6" s="77">
        <v>0.3</v>
      </c>
      <c r="GD6" s="74"/>
      <c r="GE6" s="74"/>
      <c r="GF6" s="74"/>
      <c r="GG6" s="74"/>
      <c r="GH6" s="74"/>
      <c r="GI6" s="74"/>
      <c r="GJ6" s="74"/>
      <c r="GK6" s="77">
        <v>0.3</v>
      </c>
      <c r="GL6" s="74"/>
      <c r="GM6" s="77">
        <v>0.3</v>
      </c>
      <c r="GN6" s="74"/>
      <c r="GO6" s="74"/>
      <c r="GP6" s="74"/>
      <c r="GQ6" s="74"/>
      <c r="GR6" s="74"/>
      <c r="GS6" s="79">
        <f>SUM(FR6:GR6)*FR$2</f>
        <v>21.462</v>
      </c>
      <c r="GT6" s="74"/>
      <c r="GU6" s="74"/>
      <c r="GV6" s="74"/>
      <c r="GW6" s="78">
        <v>0.15</v>
      </c>
      <c r="GX6" s="77">
        <v>0.24</v>
      </c>
      <c r="GY6" s="77">
        <v>0.3</v>
      </c>
      <c r="GZ6" s="74"/>
      <c r="HA6" s="77">
        <v>0.3</v>
      </c>
      <c r="HB6" s="74"/>
      <c r="HC6" s="77">
        <v>0.3</v>
      </c>
      <c r="HD6" s="74"/>
      <c r="HE6" s="77">
        <v>0.3</v>
      </c>
      <c r="HF6" s="74"/>
      <c r="HG6" s="74"/>
      <c r="HH6" s="74"/>
      <c r="HI6" s="74"/>
      <c r="HJ6" s="74"/>
      <c r="HK6" s="74"/>
      <c r="HL6" s="74"/>
      <c r="HM6" s="77">
        <v>0.3</v>
      </c>
      <c r="HN6" s="74"/>
      <c r="HO6" s="77">
        <v>0.3</v>
      </c>
      <c r="HP6" s="74"/>
      <c r="HQ6" s="74"/>
      <c r="HR6" s="74"/>
      <c r="HS6" s="74"/>
      <c r="HT6" s="74"/>
      <c r="HU6" s="79">
        <f>SUM(GT6:HT6)*GT$2</f>
        <v>41.829000000000001</v>
      </c>
      <c r="HV6" s="80">
        <f>+FQ6+GS6+HU6</f>
        <v>88.257000000000005</v>
      </c>
      <c r="HW6" s="74"/>
      <c r="HX6" s="74"/>
      <c r="HY6" s="74"/>
      <c r="HZ6" s="78">
        <v>0.15</v>
      </c>
      <c r="IA6" s="77">
        <v>0.24</v>
      </c>
      <c r="IB6" s="77">
        <v>0.3</v>
      </c>
      <c r="IC6" s="74"/>
      <c r="ID6" s="77">
        <v>0.3</v>
      </c>
      <c r="IE6" s="74"/>
      <c r="IF6" s="77">
        <v>0.3</v>
      </c>
      <c r="IG6" s="74"/>
      <c r="IH6" s="77">
        <v>0.3</v>
      </c>
      <c r="II6" s="74"/>
      <c r="IJ6" s="74"/>
      <c r="IK6" s="74"/>
      <c r="IL6" s="74"/>
      <c r="IM6" s="74"/>
      <c r="IN6" s="74"/>
      <c r="IO6" s="74"/>
      <c r="IP6" s="77">
        <v>0.3</v>
      </c>
      <c r="IQ6" s="74"/>
      <c r="IR6" s="77">
        <v>0.3</v>
      </c>
      <c r="IS6" s="74"/>
      <c r="IT6" s="74"/>
      <c r="IU6" s="74"/>
      <c r="IV6" s="74"/>
      <c r="IW6" s="74"/>
      <c r="IX6" s="79">
        <f>SUM(HW6:IW6)*HW$2</f>
        <v>12.745800000000001</v>
      </c>
      <c r="IY6" s="74"/>
      <c r="IZ6" s="74"/>
      <c r="JA6" s="74"/>
      <c r="JB6" s="78">
        <v>0.15</v>
      </c>
      <c r="JC6" s="77">
        <v>0.24</v>
      </c>
      <c r="JD6" s="77">
        <v>0.3</v>
      </c>
      <c r="JE6" s="74"/>
      <c r="JF6" s="77">
        <v>0.3</v>
      </c>
      <c r="JG6" s="74"/>
      <c r="JH6" s="77">
        <v>0.3</v>
      </c>
      <c r="JI6" s="74"/>
      <c r="JJ6" s="77">
        <v>0.3</v>
      </c>
      <c r="JK6" s="74"/>
      <c r="JL6" s="74"/>
      <c r="JM6" s="74"/>
      <c r="JN6" s="74"/>
      <c r="JO6" s="74"/>
      <c r="JP6" s="74"/>
      <c r="JQ6" s="74"/>
      <c r="JR6" s="77">
        <v>0.3</v>
      </c>
      <c r="JS6" s="74"/>
      <c r="JT6" s="77">
        <v>0.3</v>
      </c>
      <c r="JU6" s="74"/>
      <c r="JV6" s="74"/>
      <c r="JW6" s="74"/>
      <c r="JX6" s="74"/>
      <c r="JY6" s="74"/>
      <c r="JZ6" s="79">
        <f>SUM(IY6:JY6)*IY$2</f>
        <v>32.1492</v>
      </c>
      <c r="KA6" s="74"/>
      <c r="KB6" s="74"/>
      <c r="KC6" s="74"/>
      <c r="KD6" s="78">
        <v>0.15</v>
      </c>
      <c r="KE6" s="77">
        <v>0.24</v>
      </c>
      <c r="KF6" s="77">
        <v>0.3</v>
      </c>
      <c r="KG6" s="74"/>
      <c r="KH6" s="77">
        <v>0.3</v>
      </c>
      <c r="KI6" s="74"/>
      <c r="KJ6" s="77">
        <v>0.3</v>
      </c>
      <c r="KK6" s="74"/>
      <c r="KL6" s="77">
        <v>0.3</v>
      </c>
      <c r="KM6" s="74"/>
      <c r="KN6" s="74"/>
      <c r="KO6" s="74"/>
      <c r="KP6" s="74"/>
      <c r="KQ6" s="74"/>
      <c r="KR6" s="74"/>
      <c r="KS6" s="74"/>
      <c r="KT6" s="77">
        <v>0.3</v>
      </c>
      <c r="KU6" s="74"/>
      <c r="KV6" s="77">
        <v>0.3</v>
      </c>
      <c r="KW6" s="74"/>
      <c r="KX6" s="74"/>
      <c r="KY6" s="74"/>
      <c r="KZ6" s="74"/>
      <c r="LA6" s="74"/>
      <c r="LB6" s="79">
        <f>SUM(KA6:LA6)*KA$2</f>
        <v>13.753199999999998</v>
      </c>
      <c r="LC6" s="80">
        <f>+IX6+JZ6+LB6</f>
        <v>58.648200000000003</v>
      </c>
      <c r="LD6" s="74"/>
      <c r="LE6" s="74"/>
      <c r="LF6" s="74"/>
      <c r="LG6" s="78">
        <v>0.15</v>
      </c>
      <c r="LH6" s="77">
        <v>0.24</v>
      </c>
      <c r="LI6" s="77">
        <v>0.3</v>
      </c>
      <c r="LJ6" s="74"/>
      <c r="LK6" s="77">
        <v>0.3</v>
      </c>
      <c r="LL6" s="74"/>
      <c r="LM6" s="77">
        <v>0.3</v>
      </c>
      <c r="LN6" s="74"/>
      <c r="LO6" s="77">
        <v>0.3</v>
      </c>
      <c r="LP6" s="74"/>
      <c r="LQ6" s="74"/>
      <c r="LR6" s="74"/>
      <c r="LS6" s="74"/>
      <c r="LT6" s="74"/>
      <c r="LU6" s="74"/>
      <c r="LV6" s="74"/>
      <c r="LW6" s="77">
        <v>0.3</v>
      </c>
      <c r="LX6" s="74"/>
      <c r="LY6" s="77">
        <v>0.3</v>
      </c>
      <c r="LZ6" s="74"/>
      <c r="MA6" s="74"/>
      <c r="MB6" s="74"/>
      <c r="MC6" s="74"/>
      <c r="MD6" s="74"/>
      <c r="ME6" s="79">
        <f>SUM(LD6:MD6)*LD$2</f>
        <v>60.509700000000002</v>
      </c>
      <c r="MF6" s="74"/>
      <c r="MG6" s="74"/>
      <c r="MH6" s="74"/>
      <c r="MI6" s="78">
        <v>0.15</v>
      </c>
      <c r="MJ6" s="77">
        <v>0.24</v>
      </c>
      <c r="MK6" s="77">
        <v>0.3</v>
      </c>
      <c r="ML6" s="74"/>
      <c r="MM6" s="77">
        <v>0.3</v>
      </c>
      <c r="MN6" s="74"/>
      <c r="MO6" s="77">
        <v>0.3</v>
      </c>
      <c r="MP6" s="74"/>
      <c r="MQ6" s="77">
        <v>0.3</v>
      </c>
      <c r="MR6" s="74"/>
      <c r="MS6" s="74"/>
      <c r="MT6" s="74"/>
      <c r="MU6" s="74"/>
      <c r="MV6" s="74"/>
      <c r="MW6" s="74"/>
      <c r="MX6" s="74"/>
      <c r="MY6" s="77">
        <v>0.3</v>
      </c>
      <c r="MZ6" s="74"/>
      <c r="NA6" s="77">
        <v>0.3</v>
      </c>
      <c r="NB6" s="74"/>
      <c r="NC6" s="74"/>
      <c r="ND6" s="74"/>
      <c r="NE6" s="74"/>
      <c r="NF6" s="74"/>
      <c r="NG6" s="79">
        <f>SUM(MF6:NF6)*MF$2</f>
        <v>120.84419999999999</v>
      </c>
      <c r="NH6" s="74"/>
      <c r="NI6" s="74"/>
      <c r="NJ6" s="74"/>
      <c r="NK6" s="78">
        <v>0.15</v>
      </c>
      <c r="NL6" s="77">
        <v>0.24</v>
      </c>
      <c r="NM6" s="77">
        <v>0.3</v>
      </c>
      <c r="NN6" s="74"/>
      <c r="NO6" s="77">
        <v>0.3</v>
      </c>
      <c r="NP6" s="74"/>
      <c r="NQ6" s="77">
        <v>0.3</v>
      </c>
      <c r="NR6" s="74"/>
      <c r="NS6" s="77">
        <v>0.3</v>
      </c>
      <c r="NT6" s="74"/>
      <c r="NU6" s="74"/>
      <c r="NV6" s="74"/>
      <c r="NW6" s="74"/>
      <c r="NX6" s="74"/>
      <c r="NY6" s="74"/>
      <c r="NZ6" s="74"/>
      <c r="OA6" s="77">
        <v>0.3</v>
      </c>
      <c r="OB6" s="74"/>
      <c r="OC6" s="77">
        <v>0.3</v>
      </c>
      <c r="OD6" s="74"/>
      <c r="OE6" s="74"/>
      <c r="OF6" s="74"/>
      <c r="OG6" s="74"/>
      <c r="OH6" s="74"/>
      <c r="OI6" s="79">
        <f>SUM(NH6:OH6)*NH$2</f>
        <v>113.92379999999999</v>
      </c>
      <c r="OJ6" s="74"/>
      <c r="OK6" s="74"/>
      <c r="OL6" s="74"/>
      <c r="OM6" s="78">
        <v>0.15</v>
      </c>
      <c r="ON6" s="77">
        <v>0.24</v>
      </c>
      <c r="OO6" s="77">
        <v>0.3</v>
      </c>
      <c r="OP6" s="74"/>
      <c r="OQ6" s="77">
        <v>0.3</v>
      </c>
      <c r="OR6" s="74"/>
      <c r="OS6" s="77">
        <v>0.3</v>
      </c>
      <c r="OT6" s="74"/>
      <c r="OU6" s="77">
        <v>0.3</v>
      </c>
      <c r="OV6" s="74"/>
      <c r="OW6" s="74"/>
      <c r="OX6" s="74"/>
      <c r="OY6" s="74"/>
      <c r="OZ6" s="74"/>
      <c r="PA6" s="74"/>
      <c r="PB6" s="74"/>
      <c r="PC6" s="77">
        <v>0.3</v>
      </c>
      <c r="PD6" s="74"/>
      <c r="PE6" s="77">
        <v>0.3</v>
      </c>
      <c r="PF6" s="74"/>
      <c r="PG6" s="74"/>
      <c r="PH6" s="74"/>
      <c r="PI6" s="74"/>
      <c r="PJ6" s="74"/>
      <c r="PK6" s="79">
        <f>SUM(OJ6:PJ6)*OJ$2</f>
        <v>57.005700000000004</v>
      </c>
      <c r="PL6" s="74"/>
      <c r="PM6" s="74"/>
      <c r="PN6" s="74"/>
      <c r="PO6" s="78">
        <v>0.15</v>
      </c>
      <c r="PP6" s="77">
        <v>0.24</v>
      </c>
      <c r="PQ6" s="77">
        <v>0.3</v>
      </c>
      <c r="PR6" s="74"/>
      <c r="PS6" s="77">
        <v>0.3</v>
      </c>
      <c r="PT6" s="74"/>
      <c r="PU6" s="77">
        <v>0.3</v>
      </c>
      <c r="PV6" s="74"/>
      <c r="PW6" s="77">
        <v>0.3</v>
      </c>
      <c r="PX6" s="74"/>
      <c r="PY6" s="74"/>
      <c r="PZ6" s="74"/>
      <c r="QA6" s="74"/>
      <c r="QB6" s="74"/>
      <c r="QC6" s="74"/>
      <c r="QD6" s="74"/>
      <c r="QE6" s="77">
        <v>0.3</v>
      </c>
      <c r="QF6" s="74"/>
      <c r="QG6" s="77">
        <v>0.3</v>
      </c>
      <c r="QH6" s="74"/>
      <c r="QI6" s="74"/>
      <c r="QJ6" s="74"/>
      <c r="QK6" s="74"/>
      <c r="QL6" s="74"/>
      <c r="QM6" s="79">
        <f>SUM(PL6:QL6)*PL$2</f>
        <v>68.218499999999992</v>
      </c>
      <c r="QN6" s="74"/>
      <c r="QO6" s="74"/>
      <c r="QP6" s="74"/>
      <c r="QQ6" s="78">
        <v>0.15</v>
      </c>
      <c r="QR6" s="77">
        <v>0.24</v>
      </c>
      <c r="QS6" s="77">
        <v>0.3</v>
      </c>
      <c r="QT6" s="74"/>
      <c r="QU6" s="77">
        <v>0.3</v>
      </c>
      <c r="QV6" s="74"/>
      <c r="QW6" s="77">
        <v>0.3</v>
      </c>
      <c r="QX6" s="74"/>
      <c r="QY6" s="77">
        <v>0.3</v>
      </c>
      <c r="QZ6" s="74"/>
      <c r="RA6" s="74"/>
      <c r="RB6" s="74"/>
      <c r="RC6" s="74"/>
      <c r="RD6" s="74"/>
      <c r="RE6" s="74"/>
      <c r="RF6" s="74"/>
      <c r="RG6" s="77">
        <v>0.3</v>
      </c>
      <c r="RH6" s="74"/>
      <c r="RI6" s="77">
        <v>0.3</v>
      </c>
      <c r="RJ6" s="74"/>
      <c r="RK6" s="74"/>
      <c r="RL6" s="74"/>
      <c r="RM6" s="74"/>
      <c r="RN6" s="74"/>
      <c r="RO6" s="79">
        <f>SUM(QN6:RN6)*QN$2</f>
        <v>97.0608</v>
      </c>
      <c r="RP6" s="74"/>
      <c r="RQ6" s="74"/>
      <c r="RR6" s="74"/>
      <c r="RS6" s="78">
        <v>0.15</v>
      </c>
      <c r="RT6" s="77">
        <v>0.24</v>
      </c>
      <c r="RU6" s="77">
        <v>0.3</v>
      </c>
      <c r="RV6" s="74"/>
      <c r="RW6" s="77">
        <v>0.3</v>
      </c>
      <c r="RX6" s="74"/>
      <c r="RY6" s="77">
        <v>0.3</v>
      </c>
      <c r="RZ6" s="74"/>
      <c r="SA6" s="77">
        <v>0.3</v>
      </c>
      <c r="SB6" s="74"/>
      <c r="SC6" s="74"/>
      <c r="SD6" s="74"/>
      <c r="SE6" s="74"/>
      <c r="SF6" s="74"/>
      <c r="SG6" s="74"/>
      <c r="SH6" s="74"/>
      <c r="SI6" s="77">
        <v>0.3</v>
      </c>
      <c r="SJ6" s="74"/>
      <c r="SK6" s="77">
        <v>0.3</v>
      </c>
      <c r="SL6" s="74"/>
      <c r="SM6" s="74"/>
      <c r="SN6" s="74"/>
      <c r="SO6" s="74"/>
      <c r="SP6" s="74"/>
      <c r="SQ6" s="79">
        <f>SUM(RP6:SP6)*RP$2</f>
        <v>27.8568</v>
      </c>
      <c r="SR6" s="80">
        <f>+ME6+NG6+OI6+PK6+QM6+RO6+SQ6</f>
        <v>545.41949999999997</v>
      </c>
      <c r="SS6" s="16">
        <f>+EO6+HV6+LC6+SR6</f>
        <v>836.96062199999994</v>
      </c>
      <c r="ST6" s="88">
        <f>+$D6*EO6</f>
        <v>332.08407691199994</v>
      </c>
      <c r="SU6" s="88">
        <f>+$D6*HV6</f>
        <v>202.63807199999999</v>
      </c>
      <c r="SV6" s="88">
        <f>+$D6*LC6</f>
        <v>134.6562672</v>
      </c>
      <c r="SW6" s="88">
        <f>+$D6*SR6*0.6925</f>
        <v>867.20609660999992</v>
      </c>
      <c r="SX6" s="91">
        <f>+$D6*SR6*0.2908</f>
        <v>364.16394641759996</v>
      </c>
      <c r="SY6" s="16">
        <f t="shared" ref="SY6:SY8" si="0">+$ST6*$SY$3</f>
        <v>66.416815382399989</v>
      </c>
      <c r="SZ6" s="16">
        <f t="shared" ref="SZ6:SZ8" si="1">+$ST6*$SZ$3</f>
        <v>79.700178458879989</v>
      </c>
      <c r="TA6" s="16">
        <f t="shared" ref="TA6:TA8" si="2">+$ST6*$TA$3</f>
        <v>66.416815382399989</v>
      </c>
      <c r="TB6" s="92">
        <f t="shared" ref="TB6:TB8" si="3">+$ST6*$TB$3</f>
        <v>119.55026768831998</v>
      </c>
      <c r="TC6" s="16">
        <f t="shared" ref="TC6:TC8" si="4">+$SU6*$SY$3</f>
        <v>40.527614400000004</v>
      </c>
      <c r="TD6" s="16">
        <f t="shared" ref="TD6:TD8" si="5">+$SU6*$SZ$3</f>
        <v>48.63313728</v>
      </c>
      <c r="TE6" s="16">
        <f t="shared" ref="TE6:TE8" si="6">+$SU6*$TA$3</f>
        <v>40.527614400000004</v>
      </c>
      <c r="TF6" s="92">
        <f t="shared" ref="TF6:TF8" si="7">+$SU6*$TB$3</f>
        <v>72.94970592</v>
      </c>
      <c r="TG6" s="16">
        <f t="shared" ref="TG6:TG8" si="8">+$SV6*$SY$3</f>
        <v>26.931253440000003</v>
      </c>
      <c r="TH6" s="16">
        <f t="shared" ref="TH6:TH8" si="9">+$SV6*$SZ$3</f>
        <v>32.317504127999996</v>
      </c>
      <c r="TI6" s="16">
        <f t="shared" ref="TI6:TI8" si="10">+$SV6*$TA$3</f>
        <v>26.931253440000003</v>
      </c>
      <c r="TJ6" s="92">
        <f t="shared" ref="TJ6:TJ8" si="11">+$SV6*$TB$3</f>
        <v>48.476256192000001</v>
      </c>
      <c r="TK6" s="16">
        <f t="shared" ref="TK6:TK8" si="12">+$SW6*$SY$3</f>
        <v>173.44121932199999</v>
      </c>
      <c r="TL6" s="16">
        <f t="shared" ref="TL6:TL8" si="13">+$SW6*$SZ$3</f>
        <v>208.12946318639996</v>
      </c>
      <c r="TM6" s="16">
        <f t="shared" ref="TM6:TM8" si="14">+$SW6*$TA$3</f>
        <v>173.44121932199999</v>
      </c>
      <c r="TN6" s="92">
        <f t="shared" ref="TN6:TN8" si="15">+$SW6*$TB$3</f>
        <v>312.19419477959997</v>
      </c>
      <c r="TO6" s="16">
        <f>+$SX6*$SY$3</f>
        <v>72.83278928352</v>
      </c>
      <c r="TP6" s="16">
        <f>+$SX6*$SZ$3</f>
        <v>87.399347140223981</v>
      </c>
      <c r="TQ6" s="16">
        <f>+$SX6*$TA$3</f>
        <v>72.83278928352</v>
      </c>
      <c r="TR6" s="92">
        <f>+$SX6*$TB$3</f>
        <v>131.09902071033599</v>
      </c>
    </row>
    <row r="7" spans="1:538">
      <c r="A7" s="178"/>
      <c r="B7" s="101" t="str">
        <f>+A6</f>
        <v>Coadyuvantes</v>
      </c>
      <c r="C7" s="71" t="s">
        <v>296</v>
      </c>
      <c r="D7" s="87">
        <f>+IFERROR(INDEX(Productos[U$D],MATCH(C7,Productos[Productos],0)),0)</f>
        <v>3.52</v>
      </c>
      <c r="E7" s="74"/>
      <c r="F7" s="74"/>
      <c r="G7" s="74"/>
      <c r="H7" s="78">
        <v>0.15</v>
      </c>
      <c r="I7" s="77">
        <v>0.24</v>
      </c>
      <c r="J7" s="77">
        <v>0.3</v>
      </c>
      <c r="K7" s="74"/>
      <c r="L7" s="77">
        <v>0.3</v>
      </c>
      <c r="M7" s="74"/>
      <c r="N7" s="77">
        <v>0.3</v>
      </c>
      <c r="O7" s="74"/>
      <c r="P7" s="77">
        <v>0.3</v>
      </c>
      <c r="Q7" s="74"/>
      <c r="R7" s="74"/>
      <c r="S7" s="74"/>
      <c r="T7" s="74"/>
      <c r="U7" s="74"/>
      <c r="V7" s="74"/>
      <c r="W7" s="74"/>
      <c r="X7" s="77">
        <v>0.3</v>
      </c>
      <c r="Y7" s="74"/>
      <c r="Z7" s="77">
        <v>0.3</v>
      </c>
      <c r="AA7" s="74"/>
      <c r="AB7" s="74"/>
      <c r="AC7" s="74"/>
      <c r="AD7" s="74"/>
      <c r="AE7" s="74"/>
      <c r="AF7" s="79">
        <f t="shared" ref="AF7:AF27" si="16">SUM(E7:AE7)*E$2</f>
        <v>47.978519999999989</v>
      </c>
      <c r="AG7" s="74"/>
      <c r="AH7" s="74"/>
      <c r="AI7" s="74"/>
      <c r="AJ7" s="78">
        <v>0.15</v>
      </c>
      <c r="AK7" s="77">
        <v>0.24</v>
      </c>
      <c r="AL7" s="77">
        <v>0.3</v>
      </c>
      <c r="AM7" s="74"/>
      <c r="AN7" s="77">
        <v>0.3</v>
      </c>
      <c r="AO7" s="74"/>
      <c r="AP7" s="77">
        <v>0.3</v>
      </c>
      <c r="AQ7" s="74"/>
      <c r="AR7" s="77">
        <v>0.3</v>
      </c>
      <c r="AS7" s="74"/>
      <c r="AT7" s="74"/>
      <c r="AU7" s="74"/>
      <c r="AV7" s="74"/>
      <c r="AW7" s="74"/>
      <c r="AX7" s="74"/>
      <c r="AY7" s="74"/>
      <c r="AZ7" s="77">
        <v>0.3</v>
      </c>
      <c r="BA7" s="74"/>
      <c r="BB7" s="77">
        <v>0.3</v>
      </c>
      <c r="BC7" s="74"/>
      <c r="BD7" s="74"/>
      <c r="BE7" s="74"/>
      <c r="BF7" s="74"/>
      <c r="BG7" s="74"/>
      <c r="BH7" s="79">
        <f t="shared" ref="BH7:BH27" si="17">SUM(AG7:BG7)*AG$2</f>
        <v>34.689600000000006</v>
      </c>
      <c r="BI7" s="74"/>
      <c r="BJ7" s="74"/>
      <c r="BK7" s="74"/>
      <c r="BL7" s="78">
        <v>0.15</v>
      </c>
      <c r="BM7" s="77">
        <v>0.24</v>
      </c>
      <c r="BN7" s="77">
        <v>0.3</v>
      </c>
      <c r="BO7" s="74"/>
      <c r="BP7" s="77">
        <v>0.3</v>
      </c>
      <c r="BQ7" s="74"/>
      <c r="BR7" s="77">
        <v>0.3</v>
      </c>
      <c r="BS7" s="74"/>
      <c r="BT7" s="77">
        <v>0.3</v>
      </c>
      <c r="BU7" s="74"/>
      <c r="BV7" s="74"/>
      <c r="BW7" s="74"/>
      <c r="BX7" s="74"/>
      <c r="BY7" s="74"/>
      <c r="BZ7" s="74"/>
      <c r="CA7" s="74"/>
      <c r="CB7" s="77">
        <v>0.3</v>
      </c>
      <c r="CC7" s="74"/>
      <c r="CD7" s="77">
        <v>0.3</v>
      </c>
      <c r="CE7" s="74"/>
      <c r="CF7" s="74"/>
      <c r="CG7" s="74"/>
      <c r="CH7" s="74"/>
      <c r="CI7" s="74"/>
      <c r="CJ7" s="79">
        <f t="shared" ref="CJ7:CJ27" si="18">SUM(BI7:CI7)*BI$2</f>
        <v>42.761502</v>
      </c>
      <c r="CK7" s="74"/>
      <c r="CL7" s="74"/>
      <c r="CM7" s="74"/>
      <c r="CN7" s="78">
        <v>0.15</v>
      </c>
      <c r="CO7" s="77">
        <v>0.24</v>
      </c>
      <c r="CP7" s="77">
        <v>0.3</v>
      </c>
      <c r="CQ7" s="74"/>
      <c r="CR7" s="77">
        <v>0.3</v>
      </c>
      <c r="CS7" s="74"/>
      <c r="CT7" s="77">
        <v>0.3</v>
      </c>
      <c r="CU7" s="74"/>
      <c r="CV7" s="77">
        <v>0.3</v>
      </c>
      <c r="CW7" s="74"/>
      <c r="CX7" s="74"/>
      <c r="CY7" s="74"/>
      <c r="CZ7" s="74"/>
      <c r="DA7" s="74"/>
      <c r="DB7" s="74"/>
      <c r="DC7" s="74"/>
      <c r="DD7" s="77">
        <v>0.3</v>
      </c>
      <c r="DE7" s="74"/>
      <c r="DF7" s="77">
        <v>0.3</v>
      </c>
      <c r="DG7" s="74"/>
      <c r="DH7" s="74"/>
      <c r="DI7" s="74"/>
      <c r="DJ7" s="74"/>
      <c r="DK7" s="74"/>
      <c r="DL7" s="79">
        <f t="shared" ref="DL7:DL27" si="19">SUM(CK7:DK7)*CK$2</f>
        <v>12.658199999999999</v>
      </c>
      <c r="DM7" s="74"/>
      <c r="DN7" s="74"/>
      <c r="DO7" s="74"/>
      <c r="DP7" s="78">
        <v>0.15</v>
      </c>
      <c r="DQ7" s="77">
        <v>0.24</v>
      </c>
      <c r="DR7" s="77">
        <v>0.3</v>
      </c>
      <c r="DS7" s="74"/>
      <c r="DT7" s="77">
        <v>0.3</v>
      </c>
      <c r="DU7" s="74"/>
      <c r="DV7" s="77">
        <v>0.3</v>
      </c>
      <c r="DW7" s="74"/>
      <c r="DX7" s="77">
        <v>0.3</v>
      </c>
      <c r="DY7" s="74"/>
      <c r="DZ7" s="74"/>
      <c r="EA7" s="74"/>
      <c r="EB7" s="74"/>
      <c r="EC7" s="74"/>
      <c r="ED7" s="74"/>
      <c r="EE7" s="74"/>
      <c r="EF7" s="77">
        <v>0.3</v>
      </c>
      <c r="EG7" s="74"/>
      <c r="EH7" s="77">
        <v>0.3</v>
      </c>
      <c r="EI7" s="74"/>
      <c r="EJ7" s="74"/>
      <c r="EK7" s="74"/>
      <c r="EL7" s="74"/>
      <c r="EM7" s="74"/>
      <c r="EN7" s="79">
        <f t="shared" ref="EN7:EN27" si="20">SUM(DM7:EM7)*DM$2</f>
        <v>6.5481000000000007</v>
      </c>
      <c r="EO7" s="80">
        <f t="shared" ref="EO7:EO27" si="21">+AF7+BH7+CJ7+DL7+EN7</f>
        <v>144.63592199999999</v>
      </c>
      <c r="EP7" s="74"/>
      <c r="EQ7" s="74"/>
      <c r="ER7" s="74"/>
      <c r="ES7" s="78">
        <v>0.15</v>
      </c>
      <c r="ET7" s="77">
        <v>0.24</v>
      </c>
      <c r="EU7" s="77">
        <v>0.3</v>
      </c>
      <c r="EV7" s="74"/>
      <c r="EW7" s="77">
        <v>0.3</v>
      </c>
      <c r="EX7" s="74"/>
      <c r="EY7" s="77">
        <v>0.3</v>
      </c>
      <c r="EZ7" s="74"/>
      <c r="FA7" s="77">
        <v>0.3</v>
      </c>
      <c r="FB7" s="74"/>
      <c r="FC7" s="74"/>
      <c r="FD7" s="74"/>
      <c r="FE7" s="74"/>
      <c r="FF7" s="74"/>
      <c r="FG7" s="74"/>
      <c r="FH7" s="74"/>
      <c r="FI7" s="77">
        <v>0.3</v>
      </c>
      <c r="FJ7" s="74"/>
      <c r="FK7" s="77">
        <v>0.3</v>
      </c>
      <c r="FL7" s="74"/>
      <c r="FM7" s="74"/>
      <c r="FN7" s="74"/>
      <c r="FO7" s="74"/>
      <c r="FP7" s="74"/>
      <c r="FQ7" s="79">
        <f t="shared" ref="FQ7:FQ27" si="22">SUM(EP7:FP7)*EP$2</f>
        <v>24.966000000000001</v>
      </c>
      <c r="FR7" s="74"/>
      <c r="FS7" s="74"/>
      <c r="FT7" s="74"/>
      <c r="FU7" s="78">
        <v>0.15</v>
      </c>
      <c r="FV7" s="77">
        <v>0.24</v>
      </c>
      <c r="FW7" s="77">
        <v>0.3</v>
      </c>
      <c r="FX7" s="74"/>
      <c r="FY7" s="77">
        <v>0.3</v>
      </c>
      <c r="FZ7" s="74"/>
      <c r="GA7" s="77">
        <v>0.3</v>
      </c>
      <c r="GB7" s="74"/>
      <c r="GC7" s="77">
        <v>0.3</v>
      </c>
      <c r="GD7" s="74"/>
      <c r="GE7" s="74"/>
      <c r="GF7" s="74"/>
      <c r="GG7" s="74"/>
      <c r="GH7" s="74"/>
      <c r="GI7" s="74"/>
      <c r="GJ7" s="74"/>
      <c r="GK7" s="77">
        <v>0.3</v>
      </c>
      <c r="GL7" s="74"/>
      <c r="GM7" s="77">
        <v>0.3</v>
      </c>
      <c r="GN7" s="74"/>
      <c r="GO7" s="74"/>
      <c r="GP7" s="74"/>
      <c r="GQ7" s="74"/>
      <c r="GR7" s="74"/>
      <c r="GS7" s="79">
        <f t="shared" ref="GS7:GS27" si="23">SUM(FR7:GR7)*FR$2</f>
        <v>21.462</v>
      </c>
      <c r="GT7" s="74"/>
      <c r="GU7" s="74"/>
      <c r="GV7" s="74"/>
      <c r="GW7" s="78">
        <v>0.15</v>
      </c>
      <c r="GX7" s="77">
        <v>0.24</v>
      </c>
      <c r="GY7" s="77">
        <v>0.3</v>
      </c>
      <c r="GZ7" s="74"/>
      <c r="HA7" s="77">
        <v>0.3</v>
      </c>
      <c r="HB7" s="74"/>
      <c r="HC7" s="77">
        <v>0.3</v>
      </c>
      <c r="HD7" s="74"/>
      <c r="HE7" s="77">
        <v>0.3</v>
      </c>
      <c r="HF7" s="74"/>
      <c r="HG7" s="74"/>
      <c r="HH7" s="74"/>
      <c r="HI7" s="74"/>
      <c r="HJ7" s="74"/>
      <c r="HK7" s="74"/>
      <c r="HL7" s="74"/>
      <c r="HM7" s="77">
        <v>0.3</v>
      </c>
      <c r="HN7" s="74"/>
      <c r="HO7" s="77">
        <v>0.3</v>
      </c>
      <c r="HP7" s="74"/>
      <c r="HQ7" s="74"/>
      <c r="HR7" s="74"/>
      <c r="HS7" s="74"/>
      <c r="HT7" s="74"/>
      <c r="HU7" s="79">
        <f t="shared" ref="HU7:HU27" si="24">SUM(GT7:HT7)*GT$2</f>
        <v>41.829000000000001</v>
      </c>
      <c r="HV7" s="80">
        <f t="shared" ref="HV7:HV27" si="25">+FQ7+GS7+HU7</f>
        <v>88.257000000000005</v>
      </c>
      <c r="HW7" s="74"/>
      <c r="HX7" s="74"/>
      <c r="HY7" s="74"/>
      <c r="HZ7" s="78">
        <v>0.15</v>
      </c>
      <c r="IA7" s="77">
        <v>0.24</v>
      </c>
      <c r="IB7" s="77">
        <v>0.3</v>
      </c>
      <c r="IC7" s="74"/>
      <c r="ID7" s="77">
        <v>0.3</v>
      </c>
      <c r="IE7" s="74"/>
      <c r="IF7" s="77">
        <v>0.3</v>
      </c>
      <c r="IG7" s="74"/>
      <c r="IH7" s="77">
        <v>0.3</v>
      </c>
      <c r="II7" s="74"/>
      <c r="IJ7" s="74"/>
      <c r="IK7" s="74"/>
      <c r="IL7" s="74"/>
      <c r="IM7" s="74"/>
      <c r="IN7" s="74"/>
      <c r="IO7" s="74"/>
      <c r="IP7" s="77">
        <v>0.3</v>
      </c>
      <c r="IQ7" s="74"/>
      <c r="IR7" s="77">
        <v>0.3</v>
      </c>
      <c r="IS7" s="74"/>
      <c r="IT7" s="74"/>
      <c r="IU7" s="74"/>
      <c r="IV7" s="74"/>
      <c r="IW7" s="74"/>
      <c r="IX7" s="79">
        <f t="shared" ref="IX7:IX27" si="26">SUM(HW7:IW7)*HW$2</f>
        <v>12.745800000000001</v>
      </c>
      <c r="IY7" s="74"/>
      <c r="IZ7" s="74"/>
      <c r="JA7" s="74"/>
      <c r="JB7" s="78">
        <v>0.15</v>
      </c>
      <c r="JC7" s="77">
        <v>0.24</v>
      </c>
      <c r="JD7" s="77">
        <v>0.3</v>
      </c>
      <c r="JE7" s="74"/>
      <c r="JF7" s="77">
        <v>0.3</v>
      </c>
      <c r="JG7" s="74"/>
      <c r="JH7" s="77">
        <v>0.3</v>
      </c>
      <c r="JI7" s="74"/>
      <c r="JJ7" s="77">
        <v>0.3</v>
      </c>
      <c r="JK7" s="74"/>
      <c r="JL7" s="74"/>
      <c r="JM7" s="74"/>
      <c r="JN7" s="74"/>
      <c r="JO7" s="74"/>
      <c r="JP7" s="74"/>
      <c r="JQ7" s="74"/>
      <c r="JR7" s="77">
        <v>0.3</v>
      </c>
      <c r="JS7" s="74"/>
      <c r="JT7" s="77">
        <v>0.3</v>
      </c>
      <c r="JU7" s="74"/>
      <c r="JV7" s="74"/>
      <c r="JW7" s="74"/>
      <c r="JX7" s="74"/>
      <c r="JY7" s="74"/>
      <c r="JZ7" s="79">
        <f t="shared" ref="JZ7:JZ27" si="27">SUM(IY7:JY7)*IY$2</f>
        <v>32.1492</v>
      </c>
      <c r="KA7" s="74"/>
      <c r="KB7" s="74"/>
      <c r="KC7" s="74"/>
      <c r="KD7" s="78">
        <v>0.15</v>
      </c>
      <c r="KE7" s="77">
        <v>0.24</v>
      </c>
      <c r="KF7" s="77">
        <v>0.3</v>
      </c>
      <c r="KG7" s="74"/>
      <c r="KH7" s="77">
        <v>0.3</v>
      </c>
      <c r="KI7" s="74"/>
      <c r="KJ7" s="77">
        <v>0.3</v>
      </c>
      <c r="KK7" s="74"/>
      <c r="KL7" s="77">
        <v>0.3</v>
      </c>
      <c r="KM7" s="74"/>
      <c r="KN7" s="74"/>
      <c r="KO7" s="74"/>
      <c r="KP7" s="74"/>
      <c r="KQ7" s="74"/>
      <c r="KR7" s="74"/>
      <c r="KS7" s="74"/>
      <c r="KT7" s="77">
        <v>0.3</v>
      </c>
      <c r="KU7" s="74"/>
      <c r="KV7" s="77">
        <v>0.3</v>
      </c>
      <c r="KW7" s="74"/>
      <c r="KX7" s="74"/>
      <c r="KY7" s="74"/>
      <c r="KZ7" s="74"/>
      <c r="LA7" s="74"/>
      <c r="LB7" s="79">
        <f t="shared" ref="LB7:LB27" si="28">SUM(KA7:LA7)*KA$2</f>
        <v>13.753199999999998</v>
      </c>
      <c r="LC7" s="80">
        <f t="shared" ref="LC7:LC27" si="29">+IX7+JZ7+LB7</f>
        <v>58.648200000000003</v>
      </c>
      <c r="LD7" s="74"/>
      <c r="LE7" s="74"/>
      <c r="LF7" s="74"/>
      <c r="LG7" s="78">
        <v>0.15</v>
      </c>
      <c r="LH7" s="77">
        <v>0.24</v>
      </c>
      <c r="LI7" s="77">
        <v>0.3</v>
      </c>
      <c r="LJ7" s="74"/>
      <c r="LK7" s="77">
        <v>0.3</v>
      </c>
      <c r="LL7" s="74"/>
      <c r="LM7" s="77">
        <v>0.3</v>
      </c>
      <c r="LN7" s="74"/>
      <c r="LO7" s="77">
        <v>0.3</v>
      </c>
      <c r="LP7" s="74"/>
      <c r="LQ7" s="74"/>
      <c r="LR7" s="74"/>
      <c r="LS7" s="74"/>
      <c r="LT7" s="74"/>
      <c r="LU7" s="74"/>
      <c r="LV7" s="74"/>
      <c r="LW7" s="77">
        <v>0.3</v>
      </c>
      <c r="LX7" s="74"/>
      <c r="LY7" s="77">
        <v>0.3</v>
      </c>
      <c r="LZ7" s="74"/>
      <c r="MA7" s="74"/>
      <c r="MB7" s="74"/>
      <c r="MC7" s="74"/>
      <c r="MD7" s="74"/>
      <c r="ME7" s="79">
        <f t="shared" ref="ME7:ME27" si="30">SUM(LD7:MD7)*LD$2</f>
        <v>60.509700000000002</v>
      </c>
      <c r="MF7" s="74"/>
      <c r="MG7" s="74"/>
      <c r="MH7" s="74"/>
      <c r="MI7" s="78">
        <v>0.15</v>
      </c>
      <c r="MJ7" s="77">
        <v>0.24</v>
      </c>
      <c r="MK7" s="77">
        <v>0.3</v>
      </c>
      <c r="ML7" s="74"/>
      <c r="MM7" s="77">
        <v>0.3</v>
      </c>
      <c r="MN7" s="74"/>
      <c r="MO7" s="77">
        <v>0.3</v>
      </c>
      <c r="MP7" s="74"/>
      <c r="MQ7" s="77">
        <v>0.3</v>
      </c>
      <c r="MR7" s="74"/>
      <c r="MS7" s="74"/>
      <c r="MT7" s="74"/>
      <c r="MU7" s="74"/>
      <c r="MV7" s="74"/>
      <c r="MW7" s="74"/>
      <c r="MX7" s="74"/>
      <c r="MY7" s="77">
        <v>0.3</v>
      </c>
      <c r="MZ7" s="74"/>
      <c r="NA7" s="77">
        <v>0.3</v>
      </c>
      <c r="NB7" s="74"/>
      <c r="NC7" s="74"/>
      <c r="ND7" s="74"/>
      <c r="NE7" s="74"/>
      <c r="NF7" s="74"/>
      <c r="NG7" s="79">
        <f t="shared" ref="NG7:NG27" si="31">SUM(MF7:NF7)*MF$2</f>
        <v>120.84419999999999</v>
      </c>
      <c r="NH7" s="74"/>
      <c r="NI7" s="74"/>
      <c r="NJ7" s="74"/>
      <c r="NK7" s="78">
        <v>0.15</v>
      </c>
      <c r="NL7" s="77">
        <v>0.24</v>
      </c>
      <c r="NM7" s="77">
        <v>0.3</v>
      </c>
      <c r="NN7" s="74"/>
      <c r="NO7" s="77">
        <v>0.3</v>
      </c>
      <c r="NP7" s="74"/>
      <c r="NQ7" s="77">
        <v>0.3</v>
      </c>
      <c r="NR7" s="74"/>
      <c r="NS7" s="77">
        <v>0.3</v>
      </c>
      <c r="NT7" s="74"/>
      <c r="NU7" s="74"/>
      <c r="NV7" s="74"/>
      <c r="NW7" s="74"/>
      <c r="NX7" s="74"/>
      <c r="NY7" s="74"/>
      <c r="NZ7" s="74"/>
      <c r="OA7" s="77">
        <v>0.3</v>
      </c>
      <c r="OB7" s="74"/>
      <c r="OC7" s="77">
        <v>0.3</v>
      </c>
      <c r="OD7" s="74"/>
      <c r="OE7" s="74"/>
      <c r="OF7" s="74"/>
      <c r="OG7" s="74"/>
      <c r="OH7" s="74"/>
      <c r="OI7" s="79">
        <f t="shared" ref="OI7:OI27" si="32">SUM(NH7:OH7)*NH$2</f>
        <v>113.92379999999999</v>
      </c>
      <c r="OJ7" s="74"/>
      <c r="OK7" s="74"/>
      <c r="OL7" s="74"/>
      <c r="OM7" s="78">
        <v>0.15</v>
      </c>
      <c r="ON7" s="77">
        <v>0.24</v>
      </c>
      <c r="OO7" s="77">
        <v>0.3</v>
      </c>
      <c r="OP7" s="74"/>
      <c r="OQ7" s="77">
        <v>0.3</v>
      </c>
      <c r="OR7" s="74"/>
      <c r="OS7" s="77">
        <v>0.3</v>
      </c>
      <c r="OT7" s="74"/>
      <c r="OU7" s="77">
        <v>0.3</v>
      </c>
      <c r="OV7" s="74"/>
      <c r="OW7" s="74"/>
      <c r="OX7" s="74"/>
      <c r="OY7" s="74"/>
      <c r="OZ7" s="74"/>
      <c r="PA7" s="74"/>
      <c r="PB7" s="74"/>
      <c r="PC7" s="77">
        <v>0.3</v>
      </c>
      <c r="PD7" s="74"/>
      <c r="PE7" s="77">
        <v>0.3</v>
      </c>
      <c r="PF7" s="74"/>
      <c r="PG7" s="74"/>
      <c r="PH7" s="74"/>
      <c r="PI7" s="74"/>
      <c r="PJ7" s="74"/>
      <c r="PK7" s="79">
        <f t="shared" ref="PK7:PK27" si="33">SUM(OJ7:PJ7)*OJ$2</f>
        <v>57.005700000000004</v>
      </c>
      <c r="PL7" s="74"/>
      <c r="PM7" s="74"/>
      <c r="PN7" s="74"/>
      <c r="PO7" s="78">
        <v>0.15</v>
      </c>
      <c r="PP7" s="77">
        <v>0.24</v>
      </c>
      <c r="PQ7" s="77">
        <v>0.3</v>
      </c>
      <c r="PR7" s="74"/>
      <c r="PS7" s="77">
        <v>0.3</v>
      </c>
      <c r="PT7" s="74"/>
      <c r="PU7" s="77">
        <v>0.3</v>
      </c>
      <c r="PV7" s="74"/>
      <c r="PW7" s="77">
        <v>0.3</v>
      </c>
      <c r="PX7" s="74"/>
      <c r="PY7" s="74"/>
      <c r="PZ7" s="74"/>
      <c r="QA7" s="74"/>
      <c r="QB7" s="74"/>
      <c r="QC7" s="74"/>
      <c r="QD7" s="74"/>
      <c r="QE7" s="77">
        <v>0.3</v>
      </c>
      <c r="QF7" s="74"/>
      <c r="QG7" s="77">
        <v>0.3</v>
      </c>
      <c r="QH7" s="74"/>
      <c r="QI7" s="74"/>
      <c r="QJ7" s="74"/>
      <c r="QK7" s="74"/>
      <c r="QL7" s="74"/>
      <c r="QM7" s="79">
        <f t="shared" ref="QM7:QM27" si="34">SUM(PL7:QL7)*PL$2</f>
        <v>68.218499999999992</v>
      </c>
      <c r="QN7" s="74"/>
      <c r="QO7" s="74"/>
      <c r="QP7" s="74"/>
      <c r="QQ7" s="78">
        <v>0.15</v>
      </c>
      <c r="QR7" s="77">
        <v>0.24</v>
      </c>
      <c r="QS7" s="77">
        <v>0.3</v>
      </c>
      <c r="QT7" s="74"/>
      <c r="QU7" s="77">
        <v>0.3</v>
      </c>
      <c r="QV7" s="74"/>
      <c r="QW7" s="77">
        <v>0.3</v>
      </c>
      <c r="QX7" s="74"/>
      <c r="QY7" s="77">
        <v>0.3</v>
      </c>
      <c r="QZ7" s="74"/>
      <c r="RA7" s="74"/>
      <c r="RB7" s="74"/>
      <c r="RC7" s="74"/>
      <c r="RD7" s="74"/>
      <c r="RE7" s="74"/>
      <c r="RF7" s="74"/>
      <c r="RG7" s="77">
        <v>0.3</v>
      </c>
      <c r="RH7" s="74"/>
      <c r="RI7" s="77">
        <v>0.3</v>
      </c>
      <c r="RJ7" s="74"/>
      <c r="RK7" s="74"/>
      <c r="RL7" s="74"/>
      <c r="RM7" s="74"/>
      <c r="RN7" s="74"/>
      <c r="RO7" s="79">
        <f t="shared" ref="RO7:RO27" si="35">SUM(QN7:RN7)*QN$2</f>
        <v>97.0608</v>
      </c>
      <c r="RP7" s="74"/>
      <c r="RQ7" s="74"/>
      <c r="RR7" s="74"/>
      <c r="RS7" s="78">
        <v>0.15</v>
      </c>
      <c r="RT7" s="77">
        <v>0.24</v>
      </c>
      <c r="RU7" s="77">
        <v>0.3</v>
      </c>
      <c r="RV7" s="74"/>
      <c r="RW7" s="77">
        <v>0.3</v>
      </c>
      <c r="RX7" s="74"/>
      <c r="RY7" s="77">
        <v>0.3</v>
      </c>
      <c r="RZ7" s="74"/>
      <c r="SA7" s="77">
        <v>0.3</v>
      </c>
      <c r="SB7" s="74"/>
      <c r="SC7" s="74"/>
      <c r="SD7" s="74"/>
      <c r="SE7" s="74"/>
      <c r="SF7" s="74"/>
      <c r="SG7" s="74"/>
      <c r="SH7" s="74"/>
      <c r="SI7" s="77">
        <v>0.3</v>
      </c>
      <c r="SJ7" s="74"/>
      <c r="SK7" s="77">
        <v>0.3</v>
      </c>
      <c r="SL7" s="74"/>
      <c r="SM7" s="74"/>
      <c r="SN7" s="74"/>
      <c r="SO7" s="74"/>
      <c r="SP7" s="74"/>
      <c r="SQ7" s="79">
        <f t="shared" ref="SQ7:SQ27" si="36">SUM(RP7:SP7)*RP$2</f>
        <v>27.8568</v>
      </c>
      <c r="SR7" s="80">
        <f t="shared" ref="SR7:SR27" si="37">+ME7+NG7+OI7+PK7+QM7+RO7+SQ7</f>
        <v>545.41949999999997</v>
      </c>
      <c r="SS7" s="16">
        <f t="shared" ref="SS7:SS27" si="38">+EO7+HV7+LC7+SR7</f>
        <v>836.96062199999994</v>
      </c>
      <c r="ST7" s="88">
        <f t="shared" ref="ST7:ST27" si="39">+$D7*EO7</f>
        <v>509.11844543999996</v>
      </c>
      <c r="SU7" s="88">
        <f t="shared" ref="SU7:SU27" si="40">+$D7*HV7</f>
        <v>310.66464000000002</v>
      </c>
      <c r="SV7" s="88">
        <f t="shared" ref="SV7:SV27" si="41">+$D7*LC7</f>
        <v>206.441664</v>
      </c>
      <c r="SW7" s="88">
        <f t="shared" ref="SW7:SW27" si="42">+$D7*SR7*0.6925</f>
        <v>1329.5145732000001</v>
      </c>
      <c r="SX7" s="91">
        <f t="shared" ref="SX7:SX27" si="43">+$D7*SR7*0.2908</f>
        <v>558.300126912</v>
      </c>
      <c r="SY7" s="16">
        <f t="shared" si="0"/>
        <v>101.82368908799999</v>
      </c>
      <c r="SZ7" s="16">
        <f t="shared" si="1"/>
        <v>122.18842690559998</v>
      </c>
      <c r="TA7" s="16">
        <f t="shared" si="2"/>
        <v>101.82368908799999</v>
      </c>
      <c r="TB7" s="92">
        <f t="shared" si="3"/>
        <v>183.28264035839999</v>
      </c>
      <c r="TC7" s="16">
        <f t="shared" si="4"/>
        <v>62.132928000000007</v>
      </c>
      <c r="TD7" s="16">
        <f t="shared" si="5"/>
        <v>74.559513600000002</v>
      </c>
      <c r="TE7" s="16">
        <f t="shared" si="6"/>
        <v>62.132928000000007</v>
      </c>
      <c r="TF7" s="92">
        <f t="shared" si="7"/>
        <v>111.8392704</v>
      </c>
      <c r="TG7" s="16">
        <f t="shared" si="8"/>
        <v>41.288332800000006</v>
      </c>
      <c r="TH7" s="16">
        <f t="shared" si="9"/>
        <v>49.545999359999996</v>
      </c>
      <c r="TI7" s="16">
        <f t="shared" si="10"/>
        <v>41.288332800000006</v>
      </c>
      <c r="TJ7" s="92">
        <f t="shared" si="11"/>
        <v>74.318999039999994</v>
      </c>
      <c r="TK7" s="16">
        <f t="shared" si="12"/>
        <v>265.90291464000001</v>
      </c>
      <c r="TL7" s="16">
        <f t="shared" si="13"/>
        <v>319.08349756799998</v>
      </c>
      <c r="TM7" s="16">
        <f t="shared" si="14"/>
        <v>265.90291464000001</v>
      </c>
      <c r="TN7" s="92">
        <f t="shared" si="15"/>
        <v>478.62524635200003</v>
      </c>
      <c r="TO7" s="16">
        <f t="shared" ref="TO7:TO27" si="44">+$SX7*$SY$3</f>
        <v>111.66002538240001</v>
      </c>
      <c r="TP7" s="16">
        <f t="shared" ref="TP7:TP27" si="45">+$SX7*$SZ$3</f>
        <v>133.99203045887998</v>
      </c>
      <c r="TQ7" s="16">
        <f t="shared" ref="TQ7:TQ27" si="46">+$SX7*$TA$3</f>
        <v>111.66002538240001</v>
      </c>
      <c r="TR7" s="92">
        <f t="shared" ref="TR7:TR27" si="47">+$SX7*$TB$3</f>
        <v>200.98804568832</v>
      </c>
    </row>
    <row r="8" spans="1:538">
      <c r="A8" s="178" t="s">
        <v>202</v>
      </c>
      <c r="B8" s="101" t="str">
        <f>+A8</f>
        <v>Foliares</v>
      </c>
      <c r="C8" s="71" t="s">
        <v>191</v>
      </c>
      <c r="D8" s="87">
        <f>+IFERROR(INDEX(Productos[U$D],MATCH(C8,Productos[Productos],0)),0)</f>
        <v>1.99</v>
      </c>
      <c r="E8" s="74"/>
      <c r="F8" s="74"/>
      <c r="G8" s="74"/>
      <c r="H8" s="78">
        <v>0.75</v>
      </c>
      <c r="I8" s="77"/>
      <c r="J8" s="77"/>
      <c r="K8" s="74"/>
      <c r="L8" s="77"/>
      <c r="M8" s="74"/>
      <c r="N8" s="77"/>
      <c r="O8" s="74"/>
      <c r="P8" s="77"/>
      <c r="Q8" s="74"/>
      <c r="R8" s="74"/>
      <c r="S8" s="74"/>
      <c r="T8" s="74"/>
      <c r="U8" s="74"/>
      <c r="V8" s="74"/>
      <c r="W8" s="74"/>
      <c r="X8" s="77"/>
      <c r="Y8" s="74"/>
      <c r="Z8" s="77"/>
      <c r="AA8" s="74"/>
      <c r="AB8" s="74"/>
      <c r="AC8" s="74"/>
      <c r="AD8" s="74"/>
      <c r="AE8" s="74"/>
      <c r="AF8" s="79">
        <f t="shared" si="16"/>
        <v>16.430999999999997</v>
      </c>
      <c r="AG8" s="74"/>
      <c r="AH8" s="74"/>
      <c r="AI8" s="74"/>
      <c r="AJ8" s="78">
        <v>0.75</v>
      </c>
      <c r="AK8" s="77"/>
      <c r="AL8" s="77"/>
      <c r="AM8" s="74"/>
      <c r="AN8" s="77"/>
      <c r="AO8" s="74"/>
      <c r="AP8" s="77"/>
      <c r="AQ8" s="74"/>
      <c r="AR8" s="77"/>
      <c r="AS8" s="74"/>
      <c r="AT8" s="74"/>
      <c r="AU8" s="74"/>
      <c r="AV8" s="74"/>
      <c r="AW8" s="74"/>
      <c r="AX8" s="74"/>
      <c r="AY8" s="74"/>
      <c r="AZ8" s="77"/>
      <c r="BA8" s="74"/>
      <c r="BB8" s="77"/>
      <c r="BC8" s="74"/>
      <c r="BD8" s="74"/>
      <c r="BE8" s="74"/>
      <c r="BF8" s="74"/>
      <c r="BG8" s="74"/>
      <c r="BH8" s="79">
        <f t="shared" si="17"/>
        <v>11.88</v>
      </c>
      <c r="BI8" s="74"/>
      <c r="BJ8" s="74"/>
      <c r="BK8" s="74"/>
      <c r="BL8" s="78">
        <v>0.75</v>
      </c>
      <c r="BM8" s="77"/>
      <c r="BN8" s="77"/>
      <c r="BO8" s="74"/>
      <c r="BP8" s="77"/>
      <c r="BQ8" s="74"/>
      <c r="BR8" s="77"/>
      <c r="BS8" s="74"/>
      <c r="BT8" s="77"/>
      <c r="BU8" s="74"/>
      <c r="BV8" s="74"/>
      <c r="BW8" s="74"/>
      <c r="BX8" s="74"/>
      <c r="BY8" s="74"/>
      <c r="BZ8" s="74"/>
      <c r="CA8" s="74"/>
      <c r="CB8" s="77"/>
      <c r="CC8" s="74"/>
      <c r="CD8" s="77"/>
      <c r="CE8" s="74"/>
      <c r="CF8" s="74"/>
      <c r="CG8" s="74"/>
      <c r="CH8" s="74"/>
      <c r="CI8" s="74"/>
      <c r="CJ8" s="79">
        <f t="shared" si="18"/>
        <v>14.644349999999999</v>
      </c>
      <c r="CK8" s="74"/>
      <c r="CL8" s="74"/>
      <c r="CM8" s="74"/>
      <c r="CN8" s="78">
        <v>0.75</v>
      </c>
      <c r="CO8" s="77"/>
      <c r="CP8" s="77"/>
      <c r="CQ8" s="74"/>
      <c r="CR8" s="77"/>
      <c r="CS8" s="74"/>
      <c r="CT8" s="77"/>
      <c r="CU8" s="74"/>
      <c r="CV8" s="77"/>
      <c r="CW8" s="74"/>
      <c r="CX8" s="74"/>
      <c r="CY8" s="74"/>
      <c r="CZ8" s="74"/>
      <c r="DA8" s="74"/>
      <c r="DB8" s="74"/>
      <c r="DC8" s="74"/>
      <c r="DD8" s="77"/>
      <c r="DE8" s="74"/>
      <c r="DF8" s="77"/>
      <c r="DG8" s="74"/>
      <c r="DH8" s="74"/>
      <c r="DI8" s="74"/>
      <c r="DJ8" s="74"/>
      <c r="DK8" s="74"/>
      <c r="DL8" s="79">
        <f t="shared" si="19"/>
        <v>4.3349999999999991</v>
      </c>
      <c r="DM8" s="74"/>
      <c r="DN8" s="74"/>
      <c r="DO8" s="74"/>
      <c r="DP8" s="78">
        <v>0.75</v>
      </c>
      <c r="DQ8" s="77"/>
      <c r="DR8" s="77"/>
      <c r="DS8" s="74"/>
      <c r="DT8" s="77"/>
      <c r="DU8" s="74"/>
      <c r="DV8" s="77"/>
      <c r="DW8" s="74"/>
      <c r="DX8" s="77"/>
      <c r="DY8" s="74"/>
      <c r="DZ8" s="74"/>
      <c r="EA8" s="74"/>
      <c r="EB8" s="74"/>
      <c r="EC8" s="74"/>
      <c r="ED8" s="74"/>
      <c r="EE8" s="74"/>
      <c r="EF8" s="77"/>
      <c r="EG8" s="74"/>
      <c r="EH8" s="77"/>
      <c r="EI8" s="74"/>
      <c r="EJ8" s="74"/>
      <c r="EK8" s="74"/>
      <c r="EL8" s="74"/>
      <c r="EM8" s="74"/>
      <c r="EN8" s="79">
        <f t="shared" si="20"/>
        <v>2.2425000000000002</v>
      </c>
      <c r="EO8" s="80">
        <f t="shared" si="21"/>
        <v>49.532849999999996</v>
      </c>
      <c r="EP8" s="74"/>
      <c r="EQ8" s="74"/>
      <c r="ER8" s="74"/>
      <c r="ES8" s="78">
        <v>0.75</v>
      </c>
      <c r="ET8" s="77"/>
      <c r="EU8" s="77"/>
      <c r="EV8" s="74"/>
      <c r="EW8" s="77"/>
      <c r="EX8" s="74"/>
      <c r="EY8" s="77"/>
      <c r="EZ8" s="74"/>
      <c r="FA8" s="77"/>
      <c r="FB8" s="74"/>
      <c r="FC8" s="74"/>
      <c r="FD8" s="74"/>
      <c r="FE8" s="74"/>
      <c r="FF8" s="74"/>
      <c r="FG8" s="74"/>
      <c r="FH8" s="74"/>
      <c r="FI8" s="77"/>
      <c r="FJ8" s="74"/>
      <c r="FK8" s="77"/>
      <c r="FL8" s="74"/>
      <c r="FM8" s="74"/>
      <c r="FN8" s="74"/>
      <c r="FO8" s="74"/>
      <c r="FP8" s="74"/>
      <c r="FQ8" s="79">
        <f t="shared" si="22"/>
        <v>8.5500000000000007</v>
      </c>
      <c r="FR8" s="74"/>
      <c r="FS8" s="74"/>
      <c r="FT8" s="74"/>
      <c r="FU8" s="78">
        <v>0.75</v>
      </c>
      <c r="FV8" s="77"/>
      <c r="FW8" s="77"/>
      <c r="FX8" s="74"/>
      <c r="FY8" s="77"/>
      <c r="FZ8" s="74"/>
      <c r="GA8" s="77"/>
      <c r="GB8" s="74"/>
      <c r="GC8" s="77"/>
      <c r="GD8" s="74"/>
      <c r="GE8" s="74"/>
      <c r="GF8" s="74"/>
      <c r="GG8" s="74"/>
      <c r="GH8" s="74"/>
      <c r="GI8" s="74"/>
      <c r="GJ8" s="74"/>
      <c r="GK8" s="77"/>
      <c r="GL8" s="74"/>
      <c r="GM8" s="77"/>
      <c r="GN8" s="74"/>
      <c r="GO8" s="74"/>
      <c r="GP8" s="74"/>
      <c r="GQ8" s="74"/>
      <c r="GR8" s="74"/>
      <c r="GS8" s="79">
        <f t="shared" si="23"/>
        <v>7.3500000000000005</v>
      </c>
      <c r="GT8" s="74"/>
      <c r="GU8" s="74"/>
      <c r="GV8" s="74"/>
      <c r="GW8" s="78">
        <v>0.75</v>
      </c>
      <c r="GX8" s="77"/>
      <c r="GY8" s="77"/>
      <c r="GZ8" s="74"/>
      <c r="HA8" s="77"/>
      <c r="HB8" s="74"/>
      <c r="HC8" s="77"/>
      <c r="HD8" s="74"/>
      <c r="HE8" s="77"/>
      <c r="HF8" s="74"/>
      <c r="HG8" s="74"/>
      <c r="HH8" s="74"/>
      <c r="HI8" s="74"/>
      <c r="HJ8" s="74"/>
      <c r="HK8" s="74"/>
      <c r="HL8" s="74"/>
      <c r="HM8" s="77"/>
      <c r="HN8" s="74"/>
      <c r="HO8" s="77"/>
      <c r="HP8" s="74"/>
      <c r="HQ8" s="74"/>
      <c r="HR8" s="74"/>
      <c r="HS8" s="74"/>
      <c r="HT8" s="74"/>
      <c r="HU8" s="79">
        <f t="shared" si="24"/>
        <v>14.325000000000001</v>
      </c>
      <c r="HV8" s="80">
        <f t="shared" si="25"/>
        <v>30.225000000000001</v>
      </c>
      <c r="HW8" s="74"/>
      <c r="HX8" s="74"/>
      <c r="HY8" s="74"/>
      <c r="HZ8" s="78">
        <v>0.75</v>
      </c>
      <c r="IA8" s="77"/>
      <c r="IB8" s="77"/>
      <c r="IC8" s="74"/>
      <c r="ID8" s="77"/>
      <c r="IE8" s="74"/>
      <c r="IF8" s="77"/>
      <c r="IG8" s="74"/>
      <c r="IH8" s="77"/>
      <c r="II8" s="74"/>
      <c r="IJ8" s="74"/>
      <c r="IK8" s="74"/>
      <c r="IL8" s="74"/>
      <c r="IM8" s="74"/>
      <c r="IN8" s="74"/>
      <c r="IO8" s="74"/>
      <c r="IP8" s="77"/>
      <c r="IQ8" s="74"/>
      <c r="IR8" s="77"/>
      <c r="IS8" s="74"/>
      <c r="IT8" s="74"/>
      <c r="IU8" s="74"/>
      <c r="IV8" s="74"/>
      <c r="IW8" s="74"/>
      <c r="IX8" s="79">
        <f t="shared" si="26"/>
        <v>4.3650000000000002</v>
      </c>
      <c r="IY8" s="74"/>
      <c r="IZ8" s="74"/>
      <c r="JA8" s="74"/>
      <c r="JB8" s="78">
        <v>0.75</v>
      </c>
      <c r="JC8" s="77"/>
      <c r="JD8" s="77"/>
      <c r="JE8" s="74"/>
      <c r="JF8" s="77"/>
      <c r="JG8" s="74"/>
      <c r="JH8" s="77"/>
      <c r="JI8" s="74"/>
      <c r="JJ8" s="77"/>
      <c r="JK8" s="74"/>
      <c r="JL8" s="74"/>
      <c r="JM8" s="74"/>
      <c r="JN8" s="74"/>
      <c r="JO8" s="74"/>
      <c r="JP8" s="74"/>
      <c r="JQ8" s="74"/>
      <c r="JR8" s="77"/>
      <c r="JS8" s="74"/>
      <c r="JT8" s="77"/>
      <c r="JU8" s="74"/>
      <c r="JV8" s="74"/>
      <c r="JW8" s="74"/>
      <c r="JX8" s="74"/>
      <c r="JY8" s="74"/>
      <c r="JZ8" s="79">
        <f t="shared" si="27"/>
        <v>11.01</v>
      </c>
      <c r="KA8" s="74"/>
      <c r="KB8" s="74"/>
      <c r="KC8" s="74"/>
      <c r="KD8" s="78">
        <v>0.75</v>
      </c>
      <c r="KE8" s="77"/>
      <c r="KF8" s="77"/>
      <c r="KG8" s="74"/>
      <c r="KH8" s="77"/>
      <c r="KI8" s="74"/>
      <c r="KJ8" s="77"/>
      <c r="KK8" s="74"/>
      <c r="KL8" s="77"/>
      <c r="KM8" s="74"/>
      <c r="KN8" s="74"/>
      <c r="KO8" s="74"/>
      <c r="KP8" s="74"/>
      <c r="KQ8" s="74"/>
      <c r="KR8" s="74"/>
      <c r="KS8" s="74"/>
      <c r="KT8" s="77"/>
      <c r="KU8" s="74"/>
      <c r="KV8" s="77"/>
      <c r="KW8" s="74"/>
      <c r="KX8" s="74"/>
      <c r="KY8" s="74"/>
      <c r="KZ8" s="74"/>
      <c r="LA8" s="74"/>
      <c r="LB8" s="79">
        <f t="shared" si="28"/>
        <v>4.7099999999999991</v>
      </c>
      <c r="LC8" s="80">
        <f t="shared" si="29"/>
        <v>20.085000000000001</v>
      </c>
      <c r="LD8" s="74"/>
      <c r="LE8" s="74"/>
      <c r="LF8" s="74"/>
      <c r="LG8" s="78">
        <v>0.75</v>
      </c>
      <c r="LH8" s="77"/>
      <c r="LI8" s="77"/>
      <c r="LJ8" s="74"/>
      <c r="LK8" s="77"/>
      <c r="LL8" s="74"/>
      <c r="LM8" s="77"/>
      <c r="LN8" s="74"/>
      <c r="LO8" s="77"/>
      <c r="LP8" s="74"/>
      <c r="LQ8" s="74"/>
      <c r="LR8" s="74"/>
      <c r="LS8" s="74"/>
      <c r="LT8" s="74"/>
      <c r="LU8" s="74"/>
      <c r="LV8" s="74"/>
      <c r="LW8" s="77"/>
      <c r="LX8" s="74"/>
      <c r="LY8" s="77"/>
      <c r="LZ8" s="74"/>
      <c r="MA8" s="74"/>
      <c r="MB8" s="74"/>
      <c r="MC8" s="74"/>
      <c r="MD8" s="74"/>
      <c r="ME8" s="79">
        <f t="shared" si="30"/>
        <v>20.722500000000004</v>
      </c>
      <c r="MF8" s="74"/>
      <c r="MG8" s="74"/>
      <c r="MH8" s="74"/>
      <c r="MI8" s="78">
        <v>0.75</v>
      </c>
      <c r="MJ8" s="77"/>
      <c r="MK8" s="77"/>
      <c r="ML8" s="74"/>
      <c r="MM8" s="77"/>
      <c r="MN8" s="74"/>
      <c r="MO8" s="77"/>
      <c r="MP8" s="74"/>
      <c r="MQ8" s="77"/>
      <c r="MR8" s="74"/>
      <c r="MS8" s="74"/>
      <c r="MT8" s="74"/>
      <c r="MU8" s="74"/>
      <c r="MV8" s="74"/>
      <c r="MW8" s="74"/>
      <c r="MX8" s="74"/>
      <c r="MY8" s="77"/>
      <c r="MZ8" s="74"/>
      <c r="NA8" s="77"/>
      <c r="NB8" s="74"/>
      <c r="NC8" s="74"/>
      <c r="ND8" s="74"/>
      <c r="NE8" s="74"/>
      <c r="NF8" s="74"/>
      <c r="NG8" s="79">
        <f t="shared" si="31"/>
        <v>41.384999999999991</v>
      </c>
      <c r="NH8" s="74"/>
      <c r="NI8" s="74"/>
      <c r="NJ8" s="74"/>
      <c r="NK8" s="78">
        <v>0.75</v>
      </c>
      <c r="NL8" s="77"/>
      <c r="NM8" s="77"/>
      <c r="NN8" s="74"/>
      <c r="NO8" s="77"/>
      <c r="NP8" s="74"/>
      <c r="NQ8" s="77"/>
      <c r="NR8" s="74"/>
      <c r="NS8" s="77"/>
      <c r="NT8" s="74"/>
      <c r="NU8" s="74"/>
      <c r="NV8" s="74"/>
      <c r="NW8" s="74"/>
      <c r="NX8" s="74"/>
      <c r="NY8" s="74"/>
      <c r="NZ8" s="74"/>
      <c r="OA8" s="77"/>
      <c r="OB8" s="74"/>
      <c r="OC8" s="77"/>
      <c r="OD8" s="74"/>
      <c r="OE8" s="74"/>
      <c r="OF8" s="74"/>
      <c r="OG8" s="74"/>
      <c r="OH8" s="74"/>
      <c r="OI8" s="79">
        <f t="shared" si="32"/>
        <v>39.015000000000001</v>
      </c>
      <c r="OJ8" s="74"/>
      <c r="OK8" s="74"/>
      <c r="OL8" s="74"/>
      <c r="OM8" s="78">
        <v>0.75</v>
      </c>
      <c r="ON8" s="77"/>
      <c r="OO8" s="77"/>
      <c r="OP8" s="74"/>
      <c r="OQ8" s="77"/>
      <c r="OR8" s="74"/>
      <c r="OS8" s="77"/>
      <c r="OT8" s="74"/>
      <c r="OU8" s="77"/>
      <c r="OV8" s="74"/>
      <c r="OW8" s="74"/>
      <c r="OX8" s="74"/>
      <c r="OY8" s="74"/>
      <c r="OZ8" s="74"/>
      <c r="PA8" s="74"/>
      <c r="PB8" s="74"/>
      <c r="PC8" s="77"/>
      <c r="PD8" s="74"/>
      <c r="PE8" s="77"/>
      <c r="PF8" s="74"/>
      <c r="PG8" s="74"/>
      <c r="PH8" s="74"/>
      <c r="PI8" s="74"/>
      <c r="PJ8" s="74"/>
      <c r="PK8" s="79">
        <f t="shared" si="33"/>
        <v>19.522500000000001</v>
      </c>
      <c r="PL8" s="74"/>
      <c r="PM8" s="74"/>
      <c r="PN8" s="74"/>
      <c r="PO8" s="78">
        <v>0.75</v>
      </c>
      <c r="PP8" s="77"/>
      <c r="PQ8" s="77"/>
      <c r="PR8" s="74"/>
      <c r="PS8" s="77"/>
      <c r="PT8" s="74"/>
      <c r="PU8" s="77"/>
      <c r="PV8" s="74"/>
      <c r="PW8" s="77"/>
      <c r="PX8" s="74"/>
      <c r="PY8" s="74"/>
      <c r="PZ8" s="74"/>
      <c r="QA8" s="74"/>
      <c r="QB8" s="74"/>
      <c r="QC8" s="74"/>
      <c r="QD8" s="74"/>
      <c r="QE8" s="77"/>
      <c r="QF8" s="74"/>
      <c r="QG8" s="77"/>
      <c r="QH8" s="74"/>
      <c r="QI8" s="74"/>
      <c r="QJ8" s="74"/>
      <c r="QK8" s="74"/>
      <c r="QL8" s="74"/>
      <c r="QM8" s="79">
        <f t="shared" si="34"/>
        <v>23.362499999999997</v>
      </c>
      <c r="QN8" s="74"/>
      <c r="QO8" s="74"/>
      <c r="QP8" s="74"/>
      <c r="QQ8" s="78">
        <v>0.75</v>
      </c>
      <c r="QR8" s="77"/>
      <c r="QS8" s="77"/>
      <c r="QT8" s="74"/>
      <c r="QU8" s="77"/>
      <c r="QV8" s="74"/>
      <c r="QW8" s="77"/>
      <c r="QX8" s="74"/>
      <c r="QY8" s="77"/>
      <c r="QZ8" s="74"/>
      <c r="RA8" s="74"/>
      <c r="RB8" s="74"/>
      <c r="RC8" s="74"/>
      <c r="RD8" s="74"/>
      <c r="RE8" s="74"/>
      <c r="RF8" s="74"/>
      <c r="RG8" s="77"/>
      <c r="RH8" s="74"/>
      <c r="RI8" s="77"/>
      <c r="RJ8" s="74"/>
      <c r="RK8" s="74"/>
      <c r="RL8" s="74"/>
      <c r="RM8" s="74"/>
      <c r="RN8" s="74"/>
      <c r="RO8" s="79">
        <f t="shared" si="35"/>
        <v>33.24</v>
      </c>
      <c r="RP8" s="74"/>
      <c r="RQ8" s="74"/>
      <c r="RR8" s="74"/>
      <c r="RS8" s="78">
        <v>0.75</v>
      </c>
      <c r="RT8" s="77"/>
      <c r="RU8" s="77"/>
      <c r="RV8" s="74"/>
      <c r="RW8" s="77"/>
      <c r="RX8" s="74"/>
      <c r="RY8" s="77"/>
      <c r="RZ8" s="74"/>
      <c r="SA8" s="77"/>
      <c r="SB8" s="74"/>
      <c r="SC8" s="74"/>
      <c r="SD8" s="74"/>
      <c r="SE8" s="74"/>
      <c r="SF8" s="74"/>
      <c r="SG8" s="74"/>
      <c r="SH8" s="74"/>
      <c r="SI8" s="77"/>
      <c r="SJ8" s="74"/>
      <c r="SK8" s="77"/>
      <c r="SL8" s="74"/>
      <c r="SM8" s="74"/>
      <c r="SN8" s="74"/>
      <c r="SO8" s="74"/>
      <c r="SP8" s="74"/>
      <c r="SQ8" s="79">
        <f t="shared" si="36"/>
        <v>9.5400000000000009</v>
      </c>
      <c r="SR8" s="80">
        <f t="shared" si="37"/>
        <v>186.78749999999999</v>
      </c>
      <c r="SS8" s="16">
        <f t="shared" si="38"/>
        <v>286.63035000000002</v>
      </c>
      <c r="ST8" s="88">
        <f t="shared" si="39"/>
        <v>98.570371499999993</v>
      </c>
      <c r="SU8" s="88">
        <f t="shared" si="40"/>
        <v>60.147750000000002</v>
      </c>
      <c r="SV8" s="88">
        <f t="shared" si="41"/>
        <v>39.969149999999999</v>
      </c>
      <c r="SW8" s="88">
        <f t="shared" si="42"/>
        <v>257.40718406249999</v>
      </c>
      <c r="SX8" s="91">
        <f t="shared" si="43"/>
        <v>108.09243194999999</v>
      </c>
      <c r="SY8" s="16">
        <f t="shared" si="0"/>
        <v>19.7140743</v>
      </c>
      <c r="SZ8" s="16">
        <f t="shared" si="1"/>
        <v>23.656889159999999</v>
      </c>
      <c r="TA8" s="16">
        <f t="shared" si="2"/>
        <v>19.7140743</v>
      </c>
      <c r="TB8" s="92">
        <f t="shared" si="3"/>
        <v>35.485333739999994</v>
      </c>
      <c r="TC8" s="16">
        <f t="shared" si="4"/>
        <v>12.02955</v>
      </c>
      <c r="TD8" s="16">
        <f t="shared" si="5"/>
        <v>14.435459999999999</v>
      </c>
      <c r="TE8" s="16">
        <f t="shared" si="6"/>
        <v>12.02955</v>
      </c>
      <c r="TF8" s="92">
        <f t="shared" si="7"/>
        <v>21.653189999999999</v>
      </c>
      <c r="TG8" s="16">
        <f t="shared" si="8"/>
        <v>7.99383</v>
      </c>
      <c r="TH8" s="16">
        <f t="shared" si="9"/>
        <v>9.5925959999999986</v>
      </c>
      <c r="TI8" s="16">
        <f t="shared" si="10"/>
        <v>7.99383</v>
      </c>
      <c r="TJ8" s="92">
        <f t="shared" si="11"/>
        <v>14.388893999999999</v>
      </c>
      <c r="TK8" s="16">
        <f t="shared" si="12"/>
        <v>51.4814368125</v>
      </c>
      <c r="TL8" s="16">
        <f t="shared" si="13"/>
        <v>61.777724174999996</v>
      </c>
      <c r="TM8" s="16">
        <f t="shared" si="14"/>
        <v>51.4814368125</v>
      </c>
      <c r="TN8" s="92">
        <f t="shared" si="15"/>
        <v>92.66658626249999</v>
      </c>
      <c r="TO8" s="16">
        <f t="shared" si="44"/>
        <v>21.618486390000001</v>
      </c>
      <c r="TP8" s="16">
        <f t="shared" si="45"/>
        <v>25.942183667999998</v>
      </c>
      <c r="TQ8" s="16">
        <f t="shared" si="46"/>
        <v>21.618486390000001</v>
      </c>
      <c r="TR8" s="92">
        <f t="shared" si="47"/>
        <v>38.913275501999998</v>
      </c>
    </row>
    <row r="9" spans="1:538">
      <c r="A9" s="178"/>
      <c r="B9" s="101" t="str">
        <f>+A8</f>
        <v>Foliares</v>
      </c>
      <c r="C9" s="71" t="s">
        <v>302</v>
      </c>
      <c r="D9" s="87">
        <f>+IFERROR(INDEX(Productos[U$D],MATCH(C9,Productos[Productos],0)),0)</f>
        <v>1.1000000000000001</v>
      </c>
      <c r="E9" s="74"/>
      <c r="F9" s="74"/>
      <c r="G9" s="74"/>
      <c r="H9" s="78"/>
      <c r="I9" s="77">
        <v>2.4</v>
      </c>
      <c r="J9" s="77">
        <v>3</v>
      </c>
      <c r="K9" s="74"/>
      <c r="L9" s="77">
        <v>3</v>
      </c>
      <c r="M9" s="74"/>
      <c r="N9" s="77">
        <v>3</v>
      </c>
      <c r="O9" s="74"/>
      <c r="P9" s="77">
        <v>3</v>
      </c>
      <c r="Q9" s="74"/>
      <c r="R9" s="74"/>
      <c r="S9" s="74"/>
      <c r="T9" s="74"/>
      <c r="U9" s="74"/>
      <c r="V9" s="74"/>
      <c r="W9" s="74"/>
      <c r="X9" s="77"/>
      <c r="Y9" s="74"/>
      <c r="Z9" s="77"/>
      <c r="AA9" s="74"/>
      <c r="AB9" s="74"/>
      <c r="AC9" s="74"/>
      <c r="AD9" s="74"/>
      <c r="AE9" s="74"/>
      <c r="AF9" s="79">
        <f t="shared" si="16"/>
        <v>315.47519999999992</v>
      </c>
      <c r="AG9" s="74"/>
      <c r="AH9" s="74"/>
      <c r="AI9" s="74"/>
      <c r="AJ9" s="78"/>
      <c r="AK9" s="77">
        <v>2.4</v>
      </c>
      <c r="AL9" s="77">
        <v>3</v>
      </c>
      <c r="AM9" s="74"/>
      <c r="AN9" s="77">
        <v>3</v>
      </c>
      <c r="AO9" s="74"/>
      <c r="AP9" s="77">
        <v>3</v>
      </c>
      <c r="AQ9" s="74"/>
      <c r="AR9" s="77">
        <v>3</v>
      </c>
      <c r="AS9" s="74"/>
      <c r="AT9" s="74"/>
      <c r="AU9" s="74"/>
      <c r="AV9" s="74"/>
      <c r="AW9" s="74"/>
      <c r="AX9" s="74"/>
      <c r="AY9" s="74"/>
      <c r="AZ9" s="77"/>
      <c r="BA9" s="74"/>
      <c r="BB9" s="77"/>
      <c r="BC9" s="74"/>
      <c r="BD9" s="74"/>
      <c r="BE9" s="74"/>
      <c r="BF9" s="74"/>
      <c r="BG9" s="74"/>
      <c r="BH9" s="79">
        <f t="shared" si="17"/>
        <v>228.09600000000003</v>
      </c>
      <c r="BI9" s="74"/>
      <c r="BJ9" s="74"/>
      <c r="BK9" s="74"/>
      <c r="BL9" s="78"/>
      <c r="BM9" s="77">
        <v>2.4</v>
      </c>
      <c r="BN9" s="77">
        <v>3</v>
      </c>
      <c r="BO9" s="74"/>
      <c r="BP9" s="77">
        <v>3</v>
      </c>
      <c r="BQ9" s="74"/>
      <c r="BR9" s="77">
        <v>3</v>
      </c>
      <c r="BS9" s="74"/>
      <c r="BT9" s="77">
        <v>3</v>
      </c>
      <c r="BU9" s="74"/>
      <c r="BV9" s="74"/>
      <c r="BW9" s="74"/>
      <c r="BX9" s="74"/>
      <c r="BY9" s="74"/>
      <c r="BZ9" s="74"/>
      <c r="CA9" s="74"/>
      <c r="CB9" s="77"/>
      <c r="CC9" s="74"/>
      <c r="CD9" s="77"/>
      <c r="CE9" s="74"/>
      <c r="CF9" s="74"/>
      <c r="CG9" s="74"/>
      <c r="CH9" s="74"/>
      <c r="CI9" s="74"/>
      <c r="CJ9" s="79">
        <f t="shared" si="18"/>
        <v>281.17151999999999</v>
      </c>
      <c r="CK9" s="74"/>
      <c r="CL9" s="74"/>
      <c r="CM9" s="74"/>
      <c r="CN9" s="78"/>
      <c r="CO9" s="77">
        <v>2.4</v>
      </c>
      <c r="CP9" s="77">
        <v>3</v>
      </c>
      <c r="CQ9" s="74"/>
      <c r="CR9" s="77">
        <v>3</v>
      </c>
      <c r="CS9" s="74"/>
      <c r="CT9" s="77">
        <v>3</v>
      </c>
      <c r="CU9" s="74"/>
      <c r="CV9" s="77">
        <v>3</v>
      </c>
      <c r="CW9" s="74"/>
      <c r="CX9" s="74"/>
      <c r="CY9" s="74"/>
      <c r="CZ9" s="74"/>
      <c r="DA9" s="74"/>
      <c r="DB9" s="74"/>
      <c r="DC9" s="74"/>
      <c r="DD9" s="77"/>
      <c r="DE9" s="74"/>
      <c r="DF9" s="77"/>
      <c r="DG9" s="74"/>
      <c r="DH9" s="74"/>
      <c r="DI9" s="74"/>
      <c r="DJ9" s="74"/>
      <c r="DK9" s="74"/>
      <c r="DL9" s="79">
        <f t="shared" si="19"/>
        <v>83.231999999999999</v>
      </c>
      <c r="DM9" s="74"/>
      <c r="DN9" s="74"/>
      <c r="DO9" s="74"/>
      <c r="DP9" s="78"/>
      <c r="DQ9" s="77">
        <v>2.4</v>
      </c>
      <c r="DR9" s="77">
        <v>3</v>
      </c>
      <c r="DS9" s="74"/>
      <c r="DT9" s="77">
        <v>3</v>
      </c>
      <c r="DU9" s="74"/>
      <c r="DV9" s="77">
        <v>3</v>
      </c>
      <c r="DW9" s="74"/>
      <c r="DX9" s="77">
        <v>3</v>
      </c>
      <c r="DY9" s="74"/>
      <c r="DZ9" s="74"/>
      <c r="EA9" s="74"/>
      <c r="EB9" s="74"/>
      <c r="EC9" s="74"/>
      <c r="ED9" s="74"/>
      <c r="EE9" s="74"/>
      <c r="EF9" s="77"/>
      <c r="EG9" s="74"/>
      <c r="EH9" s="77"/>
      <c r="EI9" s="74"/>
      <c r="EJ9" s="74"/>
      <c r="EK9" s="74"/>
      <c r="EL9" s="74"/>
      <c r="EM9" s="74"/>
      <c r="EN9" s="79">
        <f t="shared" si="20"/>
        <v>43.056000000000004</v>
      </c>
      <c r="EO9" s="80">
        <f t="shared" si="21"/>
        <v>951.03071999999997</v>
      </c>
      <c r="EP9" s="74"/>
      <c r="EQ9" s="74"/>
      <c r="ER9" s="74"/>
      <c r="ES9" s="78"/>
      <c r="ET9" s="77">
        <v>2.4</v>
      </c>
      <c r="EU9" s="77">
        <v>3</v>
      </c>
      <c r="EV9" s="74"/>
      <c r="EW9" s="77">
        <v>3</v>
      </c>
      <c r="EX9" s="74"/>
      <c r="EY9" s="77">
        <v>3</v>
      </c>
      <c r="EZ9" s="74"/>
      <c r="FA9" s="77">
        <v>3</v>
      </c>
      <c r="FB9" s="74"/>
      <c r="FC9" s="74"/>
      <c r="FD9" s="74"/>
      <c r="FE9" s="74"/>
      <c r="FF9" s="74"/>
      <c r="FG9" s="74"/>
      <c r="FH9" s="74"/>
      <c r="FI9" s="77"/>
      <c r="FJ9" s="74"/>
      <c r="FK9" s="77"/>
      <c r="FL9" s="74"/>
      <c r="FM9" s="74"/>
      <c r="FN9" s="74"/>
      <c r="FO9" s="74"/>
      <c r="FP9" s="74"/>
      <c r="FQ9" s="79">
        <f t="shared" si="22"/>
        <v>164.16</v>
      </c>
      <c r="FR9" s="74"/>
      <c r="FS9" s="74"/>
      <c r="FT9" s="74"/>
      <c r="FU9" s="78"/>
      <c r="FV9" s="77">
        <v>2.4</v>
      </c>
      <c r="FW9" s="77">
        <v>3</v>
      </c>
      <c r="FX9" s="74"/>
      <c r="FY9" s="77">
        <v>3</v>
      </c>
      <c r="FZ9" s="74"/>
      <c r="GA9" s="77">
        <v>3</v>
      </c>
      <c r="GB9" s="74"/>
      <c r="GC9" s="77">
        <v>3</v>
      </c>
      <c r="GD9" s="74"/>
      <c r="GE9" s="74"/>
      <c r="GF9" s="74"/>
      <c r="GG9" s="74"/>
      <c r="GH9" s="74"/>
      <c r="GI9" s="74"/>
      <c r="GJ9" s="74"/>
      <c r="GK9" s="77"/>
      <c r="GL9" s="74"/>
      <c r="GM9" s="77"/>
      <c r="GN9" s="74"/>
      <c r="GO9" s="74"/>
      <c r="GP9" s="74"/>
      <c r="GQ9" s="74"/>
      <c r="GR9" s="74"/>
      <c r="GS9" s="79">
        <f t="shared" si="23"/>
        <v>141.12</v>
      </c>
      <c r="GT9" s="74"/>
      <c r="GU9" s="74"/>
      <c r="GV9" s="74"/>
      <c r="GW9" s="78"/>
      <c r="GX9" s="77">
        <v>2.4</v>
      </c>
      <c r="GY9" s="77">
        <v>3</v>
      </c>
      <c r="GZ9" s="74"/>
      <c r="HA9" s="77">
        <v>3</v>
      </c>
      <c r="HB9" s="74"/>
      <c r="HC9" s="77">
        <v>3</v>
      </c>
      <c r="HD9" s="74"/>
      <c r="HE9" s="77">
        <v>3</v>
      </c>
      <c r="HF9" s="74"/>
      <c r="HG9" s="74"/>
      <c r="HH9" s="74"/>
      <c r="HI9" s="74"/>
      <c r="HJ9" s="74"/>
      <c r="HK9" s="74"/>
      <c r="HL9" s="74"/>
      <c r="HM9" s="77"/>
      <c r="HN9" s="74"/>
      <c r="HO9" s="77"/>
      <c r="HP9" s="74"/>
      <c r="HQ9" s="74"/>
      <c r="HR9" s="74"/>
      <c r="HS9" s="74"/>
      <c r="HT9" s="74"/>
      <c r="HU9" s="79">
        <f t="shared" si="24"/>
        <v>275.04000000000002</v>
      </c>
      <c r="HV9" s="80">
        <f t="shared" si="25"/>
        <v>580.31999999999994</v>
      </c>
      <c r="HW9" s="74"/>
      <c r="HX9" s="74"/>
      <c r="HY9" s="74"/>
      <c r="HZ9" s="78"/>
      <c r="IA9" s="77">
        <v>2.4</v>
      </c>
      <c r="IB9" s="77">
        <v>3</v>
      </c>
      <c r="IC9" s="74"/>
      <c r="ID9" s="77">
        <v>3</v>
      </c>
      <c r="IE9" s="74"/>
      <c r="IF9" s="77">
        <v>3</v>
      </c>
      <c r="IG9" s="74"/>
      <c r="IH9" s="77">
        <v>3</v>
      </c>
      <c r="II9" s="74"/>
      <c r="IJ9" s="74"/>
      <c r="IK9" s="74"/>
      <c r="IL9" s="74"/>
      <c r="IM9" s="74"/>
      <c r="IN9" s="74"/>
      <c r="IO9" s="74"/>
      <c r="IP9" s="77"/>
      <c r="IQ9" s="74"/>
      <c r="IR9" s="77"/>
      <c r="IS9" s="74"/>
      <c r="IT9" s="74"/>
      <c r="IU9" s="74"/>
      <c r="IV9" s="74"/>
      <c r="IW9" s="74"/>
      <c r="IX9" s="79">
        <f t="shared" si="26"/>
        <v>83.808000000000007</v>
      </c>
      <c r="IY9" s="74"/>
      <c r="IZ9" s="74"/>
      <c r="JA9" s="74"/>
      <c r="JB9" s="78"/>
      <c r="JC9" s="77">
        <v>2.4</v>
      </c>
      <c r="JD9" s="77">
        <v>3</v>
      </c>
      <c r="JE9" s="74"/>
      <c r="JF9" s="77">
        <v>3</v>
      </c>
      <c r="JG9" s="74"/>
      <c r="JH9" s="77">
        <v>3</v>
      </c>
      <c r="JI9" s="74"/>
      <c r="JJ9" s="77">
        <v>3</v>
      </c>
      <c r="JK9" s="74"/>
      <c r="JL9" s="74"/>
      <c r="JM9" s="74"/>
      <c r="JN9" s="74"/>
      <c r="JO9" s="74"/>
      <c r="JP9" s="74"/>
      <c r="JQ9" s="74"/>
      <c r="JR9" s="77"/>
      <c r="JS9" s="74"/>
      <c r="JT9" s="77"/>
      <c r="JU9" s="74"/>
      <c r="JV9" s="74"/>
      <c r="JW9" s="74"/>
      <c r="JX9" s="74"/>
      <c r="JY9" s="74"/>
      <c r="JZ9" s="79">
        <f t="shared" si="27"/>
        <v>211.392</v>
      </c>
      <c r="KA9" s="74"/>
      <c r="KB9" s="74"/>
      <c r="KC9" s="74"/>
      <c r="KD9" s="78"/>
      <c r="KE9" s="77">
        <v>2.4</v>
      </c>
      <c r="KF9" s="77">
        <v>3</v>
      </c>
      <c r="KG9" s="74"/>
      <c r="KH9" s="77">
        <v>3</v>
      </c>
      <c r="KI9" s="74"/>
      <c r="KJ9" s="77">
        <v>3</v>
      </c>
      <c r="KK9" s="74"/>
      <c r="KL9" s="77">
        <v>3</v>
      </c>
      <c r="KM9" s="74"/>
      <c r="KN9" s="74"/>
      <c r="KO9" s="74"/>
      <c r="KP9" s="74"/>
      <c r="KQ9" s="74"/>
      <c r="KR9" s="74"/>
      <c r="KS9" s="74"/>
      <c r="KT9" s="77"/>
      <c r="KU9" s="74"/>
      <c r="KV9" s="77"/>
      <c r="KW9" s="74"/>
      <c r="KX9" s="74"/>
      <c r="KY9" s="74"/>
      <c r="KZ9" s="74"/>
      <c r="LA9" s="74"/>
      <c r="LB9" s="79">
        <f t="shared" si="28"/>
        <v>90.431999999999988</v>
      </c>
      <c r="LC9" s="80">
        <f t="shared" si="29"/>
        <v>385.63199999999995</v>
      </c>
      <c r="LD9" s="74"/>
      <c r="LE9" s="74"/>
      <c r="LF9" s="74"/>
      <c r="LG9" s="78"/>
      <c r="LH9" s="77">
        <v>2.4</v>
      </c>
      <c r="LI9" s="77">
        <v>3</v>
      </c>
      <c r="LJ9" s="74"/>
      <c r="LK9" s="77">
        <v>3</v>
      </c>
      <c r="LL9" s="74"/>
      <c r="LM9" s="77">
        <v>3</v>
      </c>
      <c r="LN9" s="74"/>
      <c r="LO9" s="77">
        <v>3</v>
      </c>
      <c r="LP9" s="74"/>
      <c r="LQ9" s="74"/>
      <c r="LR9" s="74"/>
      <c r="LS9" s="74"/>
      <c r="LT9" s="74"/>
      <c r="LU9" s="74"/>
      <c r="LV9" s="74"/>
      <c r="LW9" s="77"/>
      <c r="LX9" s="74"/>
      <c r="LY9" s="77"/>
      <c r="LZ9" s="74"/>
      <c r="MA9" s="74"/>
      <c r="MB9" s="74"/>
      <c r="MC9" s="74"/>
      <c r="MD9" s="74"/>
      <c r="ME9" s="79">
        <f t="shared" si="30"/>
        <v>397.87200000000007</v>
      </c>
      <c r="MF9" s="74"/>
      <c r="MG9" s="74"/>
      <c r="MH9" s="74"/>
      <c r="MI9" s="78"/>
      <c r="MJ9" s="77">
        <v>2.4</v>
      </c>
      <c r="MK9" s="77">
        <v>3</v>
      </c>
      <c r="ML9" s="74"/>
      <c r="MM9" s="77">
        <v>3</v>
      </c>
      <c r="MN9" s="74"/>
      <c r="MO9" s="77">
        <v>3</v>
      </c>
      <c r="MP9" s="74"/>
      <c r="MQ9" s="77">
        <v>3</v>
      </c>
      <c r="MR9" s="74"/>
      <c r="MS9" s="74"/>
      <c r="MT9" s="74"/>
      <c r="MU9" s="74"/>
      <c r="MV9" s="74"/>
      <c r="MW9" s="74"/>
      <c r="MX9" s="74"/>
      <c r="MY9" s="77"/>
      <c r="MZ9" s="74"/>
      <c r="NA9" s="77"/>
      <c r="NB9" s="74"/>
      <c r="NC9" s="74"/>
      <c r="ND9" s="74"/>
      <c r="NE9" s="74"/>
      <c r="NF9" s="74"/>
      <c r="NG9" s="79">
        <f t="shared" si="31"/>
        <v>794.59199999999987</v>
      </c>
      <c r="NH9" s="74"/>
      <c r="NI9" s="74"/>
      <c r="NJ9" s="74"/>
      <c r="NK9" s="78"/>
      <c r="NL9" s="77">
        <v>2.4</v>
      </c>
      <c r="NM9" s="77">
        <v>3</v>
      </c>
      <c r="NN9" s="74"/>
      <c r="NO9" s="77">
        <v>3</v>
      </c>
      <c r="NP9" s="74"/>
      <c r="NQ9" s="77">
        <v>3</v>
      </c>
      <c r="NR9" s="74"/>
      <c r="NS9" s="77">
        <v>3</v>
      </c>
      <c r="NT9" s="74"/>
      <c r="NU9" s="74"/>
      <c r="NV9" s="74"/>
      <c r="NW9" s="74"/>
      <c r="NX9" s="74"/>
      <c r="NY9" s="74"/>
      <c r="NZ9" s="74"/>
      <c r="OA9" s="77"/>
      <c r="OB9" s="74"/>
      <c r="OC9" s="77"/>
      <c r="OD9" s="74"/>
      <c r="OE9" s="74"/>
      <c r="OF9" s="74"/>
      <c r="OG9" s="74"/>
      <c r="OH9" s="74"/>
      <c r="OI9" s="79">
        <f t="shared" si="32"/>
        <v>749.08799999999997</v>
      </c>
      <c r="OJ9" s="74"/>
      <c r="OK9" s="74"/>
      <c r="OL9" s="74"/>
      <c r="OM9" s="78"/>
      <c r="ON9" s="77">
        <v>2.4</v>
      </c>
      <c r="OO9" s="77">
        <v>3</v>
      </c>
      <c r="OP9" s="74"/>
      <c r="OQ9" s="77">
        <v>3</v>
      </c>
      <c r="OR9" s="74"/>
      <c r="OS9" s="77">
        <v>3</v>
      </c>
      <c r="OT9" s="74"/>
      <c r="OU9" s="77">
        <v>3</v>
      </c>
      <c r="OV9" s="74"/>
      <c r="OW9" s="74"/>
      <c r="OX9" s="74"/>
      <c r="OY9" s="74"/>
      <c r="OZ9" s="74"/>
      <c r="PA9" s="74"/>
      <c r="PB9" s="74"/>
      <c r="PC9" s="77"/>
      <c r="PD9" s="74"/>
      <c r="PE9" s="77"/>
      <c r="PF9" s="74"/>
      <c r="PG9" s="74"/>
      <c r="PH9" s="74"/>
      <c r="PI9" s="74"/>
      <c r="PJ9" s="74"/>
      <c r="PK9" s="79">
        <f t="shared" si="33"/>
        <v>374.83200000000005</v>
      </c>
      <c r="PL9" s="74"/>
      <c r="PM9" s="74"/>
      <c r="PN9" s="74"/>
      <c r="PO9" s="78"/>
      <c r="PP9" s="77">
        <v>2.4</v>
      </c>
      <c r="PQ9" s="77">
        <v>3</v>
      </c>
      <c r="PR9" s="74"/>
      <c r="PS9" s="77">
        <v>3</v>
      </c>
      <c r="PT9" s="74"/>
      <c r="PU9" s="77">
        <v>3</v>
      </c>
      <c r="PV9" s="74"/>
      <c r="PW9" s="77">
        <v>3</v>
      </c>
      <c r="PX9" s="74"/>
      <c r="PY9" s="74"/>
      <c r="PZ9" s="74"/>
      <c r="QA9" s="74"/>
      <c r="QB9" s="74"/>
      <c r="QC9" s="74"/>
      <c r="QD9" s="74"/>
      <c r="QE9" s="77"/>
      <c r="QF9" s="74"/>
      <c r="QG9" s="77"/>
      <c r="QH9" s="74"/>
      <c r="QI9" s="74"/>
      <c r="QJ9" s="74"/>
      <c r="QK9" s="74"/>
      <c r="QL9" s="74"/>
      <c r="QM9" s="79">
        <f t="shared" si="34"/>
        <v>448.56</v>
      </c>
      <c r="QN9" s="74"/>
      <c r="QO9" s="74"/>
      <c r="QP9" s="74"/>
      <c r="QQ9" s="78"/>
      <c r="QR9" s="77">
        <v>2.4</v>
      </c>
      <c r="QS9" s="77">
        <v>3</v>
      </c>
      <c r="QT9" s="74"/>
      <c r="QU9" s="77">
        <v>3</v>
      </c>
      <c r="QV9" s="74"/>
      <c r="QW9" s="77">
        <v>3</v>
      </c>
      <c r="QX9" s="74"/>
      <c r="QY9" s="77">
        <v>3</v>
      </c>
      <c r="QZ9" s="74"/>
      <c r="RA9" s="74"/>
      <c r="RB9" s="74"/>
      <c r="RC9" s="74"/>
      <c r="RD9" s="74"/>
      <c r="RE9" s="74"/>
      <c r="RF9" s="74"/>
      <c r="RG9" s="77"/>
      <c r="RH9" s="74"/>
      <c r="RI9" s="77"/>
      <c r="RJ9" s="74"/>
      <c r="RK9" s="74"/>
      <c r="RL9" s="74"/>
      <c r="RM9" s="74"/>
      <c r="RN9" s="74"/>
      <c r="RO9" s="79">
        <f t="shared" si="35"/>
        <v>638.20799999999997</v>
      </c>
      <c r="RP9" s="74"/>
      <c r="RQ9" s="74"/>
      <c r="RR9" s="74"/>
      <c r="RS9" s="78"/>
      <c r="RT9" s="77">
        <v>2.4</v>
      </c>
      <c r="RU9" s="77">
        <v>3</v>
      </c>
      <c r="RV9" s="74"/>
      <c r="RW9" s="77">
        <v>3</v>
      </c>
      <c r="RX9" s="74"/>
      <c r="RY9" s="77">
        <v>3</v>
      </c>
      <c r="RZ9" s="74"/>
      <c r="SA9" s="77">
        <v>3</v>
      </c>
      <c r="SB9" s="74"/>
      <c r="SC9" s="74"/>
      <c r="SD9" s="74"/>
      <c r="SE9" s="74"/>
      <c r="SF9" s="74"/>
      <c r="SG9" s="74"/>
      <c r="SH9" s="74"/>
      <c r="SI9" s="77"/>
      <c r="SJ9" s="74"/>
      <c r="SK9" s="77"/>
      <c r="SL9" s="74"/>
      <c r="SM9" s="74"/>
      <c r="SN9" s="74"/>
      <c r="SO9" s="74"/>
      <c r="SP9" s="74"/>
      <c r="SQ9" s="79">
        <f t="shared" si="36"/>
        <v>183.16800000000001</v>
      </c>
      <c r="SR9" s="80">
        <f t="shared" si="37"/>
        <v>3586.32</v>
      </c>
      <c r="SS9" s="16">
        <f t="shared" si="38"/>
        <v>5503.3027199999997</v>
      </c>
      <c r="ST9" s="88">
        <f t="shared" si="39"/>
        <v>1046.1337920000001</v>
      </c>
      <c r="SU9" s="88">
        <f t="shared" si="40"/>
        <v>638.35199999999998</v>
      </c>
      <c r="SV9" s="88">
        <f t="shared" si="41"/>
        <v>424.1952</v>
      </c>
      <c r="SW9" s="88">
        <f t="shared" si="42"/>
        <v>2731.8792600000006</v>
      </c>
      <c r="SX9" s="91">
        <f t="shared" si="43"/>
        <v>1147.1920416000003</v>
      </c>
      <c r="SY9" s="16">
        <f>+$ST9*$SY$3</f>
        <v>209.22675840000002</v>
      </c>
      <c r="SZ9" s="16">
        <f>+$ST9*$SZ$3</f>
        <v>251.07211008000002</v>
      </c>
      <c r="TA9" s="16">
        <f>+$ST9*$TA$3</f>
        <v>209.22675840000002</v>
      </c>
      <c r="TB9" s="16">
        <f>+$ST9*$TB$3</f>
        <v>376.60816512000002</v>
      </c>
      <c r="TC9" s="16">
        <f>+$SU9*$SY$3</f>
        <v>127.6704</v>
      </c>
      <c r="TD9" s="16">
        <f>+$SU9*$SZ$3</f>
        <v>153.20447999999999</v>
      </c>
      <c r="TE9" s="16">
        <f>+$SU9*$TA$3</f>
        <v>127.6704</v>
      </c>
      <c r="TF9" s="92">
        <f>+$SU9*$TB$3</f>
        <v>229.80671999999998</v>
      </c>
      <c r="TG9" s="16">
        <f>+$SV9*$SY$3</f>
        <v>84.839040000000011</v>
      </c>
      <c r="TH9" s="16">
        <f>+$SV9*$SZ$3</f>
        <v>101.806848</v>
      </c>
      <c r="TI9" s="16">
        <f>+$SV9*$TA$3</f>
        <v>84.839040000000011</v>
      </c>
      <c r="TJ9" s="92">
        <f>+$SV9*$TB$3</f>
        <v>152.710272</v>
      </c>
      <c r="TK9" s="16">
        <f>+$SW9*$SY$3</f>
        <v>546.37585200000012</v>
      </c>
      <c r="TL9" s="16">
        <f>+$SW9*$SZ$3</f>
        <v>655.6510224000001</v>
      </c>
      <c r="TM9" s="16">
        <f>+$SW9*$TA$3</f>
        <v>546.37585200000012</v>
      </c>
      <c r="TN9" s="92">
        <f>+$SW9*$TB$3</f>
        <v>983.47653360000015</v>
      </c>
      <c r="TO9" s="16">
        <f t="shared" si="44"/>
        <v>229.43840832000006</v>
      </c>
      <c r="TP9" s="16">
        <f t="shared" si="45"/>
        <v>275.32608998400008</v>
      </c>
      <c r="TQ9" s="16">
        <f t="shared" si="46"/>
        <v>229.43840832000006</v>
      </c>
      <c r="TR9" s="92">
        <f t="shared" si="47"/>
        <v>412.98913497600006</v>
      </c>
    </row>
    <row r="10" spans="1:538">
      <c r="A10" s="178"/>
      <c r="B10" s="101" t="str">
        <f>+A8</f>
        <v>Foliares</v>
      </c>
      <c r="C10" s="71" t="s">
        <v>198</v>
      </c>
      <c r="D10" s="87">
        <f>+IFERROR(INDEX(Productos[U$D],MATCH(C10,Productos[Productos],0)),0)</f>
        <v>1.2649999999999999</v>
      </c>
      <c r="E10" s="74"/>
      <c r="F10" s="74"/>
      <c r="G10" s="74"/>
      <c r="H10" s="78">
        <v>1.5</v>
      </c>
      <c r="I10" s="77"/>
      <c r="J10" s="77"/>
      <c r="K10" s="74"/>
      <c r="L10" s="77"/>
      <c r="M10" s="74"/>
      <c r="N10" s="77">
        <v>3</v>
      </c>
      <c r="O10" s="74"/>
      <c r="P10" s="77">
        <v>3</v>
      </c>
      <c r="Q10" s="74"/>
      <c r="R10" s="74"/>
      <c r="S10" s="74"/>
      <c r="T10" s="74"/>
      <c r="U10" s="74"/>
      <c r="V10" s="74"/>
      <c r="W10" s="74"/>
      <c r="X10" s="77"/>
      <c r="Y10" s="74"/>
      <c r="Z10" s="77"/>
      <c r="AA10" s="74"/>
      <c r="AB10" s="74"/>
      <c r="AC10" s="74"/>
      <c r="AD10" s="74"/>
      <c r="AE10" s="74"/>
      <c r="AF10" s="79">
        <f t="shared" si="16"/>
        <v>164.30999999999995</v>
      </c>
      <c r="AG10" s="74"/>
      <c r="AH10" s="74"/>
      <c r="AI10" s="74"/>
      <c r="AJ10" s="78">
        <v>1.5</v>
      </c>
      <c r="AK10" s="77"/>
      <c r="AL10" s="77"/>
      <c r="AM10" s="74"/>
      <c r="AN10" s="77"/>
      <c r="AO10" s="74"/>
      <c r="AP10" s="77">
        <v>3</v>
      </c>
      <c r="AQ10" s="74"/>
      <c r="AR10" s="77">
        <v>3</v>
      </c>
      <c r="AS10" s="74"/>
      <c r="AT10" s="74"/>
      <c r="AU10" s="74"/>
      <c r="AV10" s="74"/>
      <c r="AW10" s="74"/>
      <c r="AX10" s="74"/>
      <c r="AY10" s="74"/>
      <c r="AZ10" s="77"/>
      <c r="BA10" s="74"/>
      <c r="BB10" s="77"/>
      <c r="BC10" s="74"/>
      <c r="BD10" s="74"/>
      <c r="BE10" s="74"/>
      <c r="BF10" s="74"/>
      <c r="BG10" s="74"/>
      <c r="BH10" s="79">
        <f t="shared" si="17"/>
        <v>118.80000000000001</v>
      </c>
      <c r="BI10" s="74"/>
      <c r="BJ10" s="74"/>
      <c r="BK10" s="74"/>
      <c r="BL10" s="78">
        <v>1.5</v>
      </c>
      <c r="BM10" s="77"/>
      <c r="BN10" s="77"/>
      <c r="BO10" s="74"/>
      <c r="BP10" s="77"/>
      <c r="BQ10" s="74"/>
      <c r="BR10" s="77">
        <v>3</v>
      </c>
      <c r="BS10" s="74"/>
      <c r="BT10" s="77">
        <v>3</v>
      </c>
      <c r="BU10" s="74"/>
      <c r="BV10" s="74"/>
      <c r="BW10" s="74"/>
      <c r="BX10" s="74"/>
      <c r="BY10" s="74"/>
      <c r="BZ10" s="74"/>
      <c r="CA10" s="74"/>
      <c r="CB10" s="77"/>
      <c r="CC10" s="74"/>
      <c r="CD10" s="77"/>
      <c r="CE10" s="74"/>
      <c r="CF10" s="74"/>
      <c r="CG10" s="74"/>
      <c r="CH10" s="74"/>
      <c r="CI10" s="74"/>
      <c r="CJ10" s="79">
        <f t="shared" si="18"/>
        <v>146.4435</v>
      </c>
      <c r="CK10" s="74"/>
      <c r="CL10" s="74"/>
      <c r="CM10" s="74"/>
      <c r="CN10" s="78">
        <v>1.5</v>
      </c>
      <c r="CO10" s="77"/>
      <c r="CP10" s="77"/>
      <c r="CQ10" s="74"/>
      <c r="CR10" s="77"/>
      <c r="CS10" s="74"/>
      <c r="CT10" s="77">
        <v>3</v>
      </c>
      <c r="CU10" s="74"/>
      <c r="CV10" s="77">
        <v>3</v>
      </c>
      <c r="CW10" s="74"/>
      <c r="CX10" s="74"/>
      <c r="CY10" s="74"/>
      <c r="CZ10" s="74"/>
      <c r="DA10" s="74"/>
      <c r="DB10" s="74"/>
      <c r="DC10" s="74"/>
      <c r="DD10" s="77"/>
      <c r="DE10" s="74"/>
      <c r="DF10" s="77"/>
      <c r="DG10" s="74"/>
      <c r="DH10" s="74"/>
      <c r="DI10" s="74"/>
      <c r="DJ10" s="74"/>
      <c r="DK10" s="74"/>
      <c r="DL10" s="79">
        <f t="shared" si="19"/>
        <v>43.349999999999994</v>
      </c>
      <c r="DM10" s="74"/>
      <c r="DN10" s="74"/>
      <c r="DO10" s="74"/>
      <c r="DP10" s="78">
        <v>1.5</v>
      </c>
      <c r="DQ10" s="77"/>
      <c r="DR10" s="77"/>
      <c r="DS10" s="74"/>
      <c r="DT10" s="77"/>
      <c r="DU10" s="74"/>
      <c r="DV10" s="77">
        <v>3</v>
      </c>
      <c r="DW10" s="74"/>
      <c r="DX10" s="77">
        <v>3</v>
      </c>
      <c r="DY10" s="74"/>
      <c r="DZ10" s="74"/>
      <c r="EA10" s="74"/>
      <c r="EB10" s="74"/>
      <c r="EC10" s="74"/>
      <c r="ED10" s="74"/>
      <c r="EE10" s="74"/>
      <c r="EF10" s="77"/>
      <c r="EG10" s="74"/>
      <c r="EH10" s="77"/>
      <c r="EI10" s="74"/>
      <c r="EJ10" s="74"/>
      <c r="EK10" s="74"/>
      <c r="EL10" s="74"/>
      <c r="EM10" s="74"/>
      <c r="EN10" s="79">
        <f t="shared" si="20"/>
        <v>22.425000000000001</v>
      </c>
      <c r="EO10" s="80">
        <f t="shared" si="21"/>
        <v>495.32850000000002</v>
      </c>
      <c r="EP10" s="74"/>
      <c r="EQ10" s="74"/>
      <c r="ER10" s="74"/>
      <c r="ES10" s="78">
        <v>1.5</v>
      </c>
      <c r="ET10" s="77"/>
      <c r="EU10" s="77"/>
      <c r="EV10" s="74"/>
      <c r="EW10" s="77"/>
      <c r="EX10" s="74"/>
      <c r="EY10" s="77">
        <v>3</v>
      </c>
      <c r="EZ10" s="74"/>
      <c r="FA10" s="77">
        <v>3</v>
      </c>
      <c r="FB10" s="74"/>
      <c r="FC10" s="74"/>
      <c r="FD10" s="74"/>
      <c r="FE10" s="74"/>
      <c r="FF10" s="74"/>
      <c r="FG10" s="74"/>
      <c r="FH10" s="74"/>
      <c r="FI10" s="77"/>
      <c r="FJ10" s="74"/>
      <c r="FK10" s="77"/>
      <c r="FL10" s="74"/>
      <c r="FM10" s="74"/>
      <c r="FN10" s="74"/>
      <c r="FO10" s="74"/>
      <c r="FP10" s="74"/>
      <c r="FQ10" s="79">
        <f t="shared" si="22"/>
        <v>85.5</v>
      </c>
      <c r="FR10" s="74"/>
      <c r="FS10" s="74"/>
      <c r="FT10" s="74"/>
      <c r="FU10" s="78">
        <v>1.5</v>
      </c>
      <c r="FV10" s="77"/>
      <c r="FW10" s="77"/>
      <c r="FX10" s="74"/>
      <c r="FY10" s="77"/>
      <c r="FZ10" s="74"/>
      <c r="GA10" s="77">
        <v>3</v>
      </c>
      <c r="GB10" s="74"/>
      <c r="GC10" s="77">
        <v>3</v>
      </c>
      <c r="GD10" s="74"/>
      <c r="GE10" s="74"/>
      <c r="GF10" s="74"/>
      <c r="GG10" s="74"/>
      <c r="GH10" s="74"/>
      <c r="GI10" s="74"/>
      <c r="GJ10" s="74"/>
      <c r="GK10" s="77"/>
      <c r="GL10" s="74"/>
      <c r="GM10" s="77"/>
      <c r="GN10" s="74"/>
      <c r="GO10" s="74"/>
      <c r="GP10" s="74"/>
      <c r="GQ10" s="74"/>
      <c r="GR10" s="74"/>
      <c r="GS10" s="79">
        <f t="shared" si="23"/>
        <v>73.5</v>
      </c>
      <c r="GT10" s="74"/>
      <c r="GU10" s="74"/>
      <c r="GV10" s="74"/>
      <c r="GW10" s="78">
        <v>1.5</v>
      </c>
      <c r="GX10" s="77"/>
      <c r="GY10" s="77"/>
      <c r="GZ10" s="74"/>
      <c r="HA10" s="77"/>
      <c r="HB10" s="74"/>
      <c r="HC10" s="77">
        <v>3</v>
      </c>
      <c r="HD10" s="74"/>
      <c r="HE10" s="77">
        <v>3</v>
      </c>
      <c r="HF10" s="74"/>
      <c r="HG10" s="74"/>
      <c r="HH10" s="74"/>
      <c r="HI10" s="74"/>
      <c r="HJ10" s="74"/>
      <c r="HK10" s="74"/>
      <c r="HL10" s="74"/>
      <c r="HM10" s="77"/>
      <c r="HN10" s="74"/>
      <c r="HO10" s="77"/>
      <c r="HP10" s="74"/>
      <c r="HQ10" s="74"/>
      <c r="HR10" s="74"/>
      <c r="HS10" s="74"/>
      <c r="HT10" s="74"/>
      <c r="HU10" s="79">
        <f t="shared" si="24"/>
        <v>143.25</v>
      </c>
      <c r="HV10" s="80">
        <f t="shared" si="25"/>
        <v>302.25</v>
      </c>
      <c r="HW10" s="74"/>
      <c r="HX10" s="74"/>
      <c r="HY10" s="74"/>
      <c r="HZ10" s="78">
        <v>1.5</v>
      </c>
      <c r="IA10" s="77"/>
      <c r="IB10" s="77"/>
      <c r="IC10" s="74"/>
      <c r="ID10" s="77"/>
      <c r="IE10" s="74"/>
      <c r="IF10" s="77">
        <v>3</v>
      </c>
      <c r="IG10" s="74"/>
      <c r="IH10" s="77">
        <v>3</v>
      </c>
      <c r="II10" s="74"/>
      <c r="IJ10" s="74"/>
      <c r="IK10" s="74"/>
      <c r="IL10" s="74"/>
      <c r="IM10" s="74"/>
      <c r="IN10" s="74"/>
      <c r="IO10" s="74"/>
      <c r="IP10" s="77"/>
      <c r="IQ10" s="74"/>
      <c r="IR10" s="77"/>
      <c r="IS10" s="74"/>
      <c r="IT10" s="74"/>
      <c r="IU10" s="74"/>
      <c r="IV10" s="74"/>
      <c r="IW10" s="74"/>
      <c r="IX10" s="79">
        <f t="shared" si="26"/>
        <v>43.650000000000006</v>
      </c>
      <c r="IY10" s="74"/>
      <c r="IZ10" s="74"/>
      <c r="JA10" s="74"/>
      <c r="JB10" s="78">
        <v>1.5</v>
      </c>
      <c r="JC10" s="77"/>
      <c r="JD10" s="77"/>
      <c r="JE10" s="74"/>
      <c r="JF10" s="77"/>
      <c r="JG10" s="74"/>
      <c r="JH10" s="77">
        <v>3</v>
      </c>
      <c r="JI10" s="74"/>
      <c r="JJ10" s="77">
        <v>3</v>
      </c>
      <c r="JK10" s="74"/>
      <c r="JL10" s="74"/>
      <c r="JM10" s="74"/>
      <c r="JN10" s="74"/>
      <c r="JO10" s="74"/>
      <c r="JP10" s="74"/>
      <c r="JQ10" s="74"/>
      <c r="JR10" s="77"/>
      <c r="JS10" s="74"/>
      <c r="JT10" s="77"/>
      <c r="JU10" s="74"/>
      <c r="JV10" s="74"/>
      <c r="JW10" s="74"/>
      <c r="JX10" s="74"/>
      <c r="JY10" s="74"/>
      <c r="JZ10" s="79">
        <f t="shared" si="27"/>
        <v>110.1</v>
      </c>
      <c r="KA10" s="74"/>
      <c r="KB10" s="74"/>
      <c r="KC10" s="74"/>
      <c r="KD10" s="78">
        <v>1.5</v>
      </c>
      <c r="KE10" s="77"/>
      <c r="KF10" s="77"/>
      <c r="KG10" s="74"/>
      <c r="KH10" s="77"/>
      <c r="KI10" s="74"/>
      <c r="KJ10" s="77">
        <v>3</v>
      </c>
      <c r="KK10" s="74"/>
      <c r="KL10" s="77">
        <v>3</v>
      </c>
      <c r="KM10" s="74"/>
      <c r="KN10" s="74"/>
      <c r="KO10" s="74"/>
      <c r="KP10" s="74"/>
      <c r="KQ10" s="74"/>
      <c r="KR10" s="74"/>
      <c r="KS10" s="74"/>
      <c r="KT10" s="77"/>
      <c r="KU10" s="74"/>
      <c r="KV10" s="77"/>
      <c r="KW10" s="74"/>
      <c r="KX10" s="74"/>
      <c r="KY10" s="74"/>
      <c r="KZ10" s="74"/>
      <c r="LA10" s="74"/>
      <c r="LB10" s="79">
        <f t="shared" si="28"/>
        <v>47.099999999999994</v>
      </c>
      <c r="LC10" s="80">
        <f t="shared" si="29"/>
        <v>200.85</v>
      </c>
      <c r="LD10" s="74"/>
      <c r="LE10" s="74"/>
      <c r="LF10" s="74"/>
      <c r="LG10" s="78">
        <v>1.5</v>
      </c>
      <c r="LH10" s="77"/>
      <c r="LI10" s="77"/>
      <c r="LJ10" s="74"/>
      <c r="LK10" s="77"/>
      <c r="LL10" s="74"/>
      <c r="LM10" s="77">
        <v>3</v>
      </c>
      <c r="LN10" s="74"/>
      <c r="LO10" s="77">
        <v>3</v>
      </c>
      <c r="LP10" s="74"/>
      <c r="LQ10" s="74"/>
      <c r="LR10" s="74"/>
      <c r="LS10" s="74"/>
      <c r="LT10" s="74"/>
      <c r="LU10" s="74"/>
      <c r="LV10" s="74"/>
      <c r="LW10" s="77"/>
      <c r="LX10" s="74"/>
      <c r="LY10" s="77"/>
      <c r="LZ10" s="74"/>
      <c r="MA10" s="74"/>
      <c r="MB10" s="74"/>
      <c r="MC10" s="74"/>
      <c r="MD10" s="74"/>
      <c r="ME10" s="79">
        <f t="shared" si="30"/>
        <v>207.22500000000002</v>
      </c>
      <c r="MF10" s="74"/>
      <c r="MG10" s="74"/>
      <c r="MH10" s="74"/>
      <c r="MI10" s="78">
        <v>1.5</v>
      </c>
      <c r="MJ10" s="77"/>
      <c r="MK10" s="77"/>
      <c r="ML10" s="74"/>
      <c r="MM10" s="77"/>
      <c r="MN10" s="74"/>
      <c r="MO10" s="77">
        <v>3</v>
      </c>
      <c r="MP10" s="74"/>
      <c r="MQ10" s="77">
        <v>3</v>
      </c>
      <c r="MR10" s="74"/>
      <c r="MS10" s="74"/>
      <c r="MT10" s="74"/>
      <c r="MU10" s="74"/>
      <c r="MV10" s="74"/>
      <c r="MW10" s="74"/>
      <c r="MX10" s="74"/>
      <c r="MY10" s="77"/>
      <c r="MZ10" s="74"/>
      <c r="NA10" s="77"/>
      <c r="NB10" s="74"/>
      <c r="NC10" s="74"/>
      <c r="ND10" s="74"/>
      <c r="NE10" s="74"/>
      <c r="NF10" s="74"/>
      <c r="NG10" s="79">
        <f t="shared" si="31"/>
        <v>413.84999999999997</v>
      </c>
      <c r="NH10" s="74"/>
      <c r="NI10" s="74"/>
      <c r="NJ10" s="74"/>
      <c r="NK10" s="78">
        <v>1.5</v>
      </c>
      <c r="NL10" s="77"/>
      <c r="NM10" s="77"/>
      <c r="NN10" s="74"/>
      <c r="NO10" s="77"/>
      <c r="NP10" s="74"/>
      <c r="NQ10" s="77">
        <v>3</v>
      </c>
      <c r="NR10" s="74"/>
      <c r="NS10" s="77">
        <v>3</v>
      </c>
      <c r="NT10" s="74"/>
      <c r="NU10" s="74"/>
      <c r="NV10" s="74"/>
      <c r="NW10" s="74"/>
      <c r="NX10" s="74"/>
      <c r="NY10" s="74"/>
      <c r="NZ10" s="74"/>
      <c r="OA10" s="77"/>
      <c r="OB10" s="74"/>
      <c r="OC10" s="77"/>
      <c r="OD10" s="74"/>
      <c r="OE10" s="74"/>
      <c r="OF10" s="74"/>
      <c r="OG10" s="74"/>
      <c r="OH10" s="74"/>
      <c r="OI10" s="79">
        <f t="shared" si="32"/>
        <v>390.15</v>
      </c>
      <c r="OJ10" s="74"/>
      <c r="OK10" s="74"/>
      <c r="OL10" s="74"/>
      <c r="OM10" s="78">
        <v>1.5</v>
      </c>
      <c r="ON10" s="77"/>
      <c r="OO10" s="77"/>
      <c r="OP10" s="74"/>
      <c r="OQ10" s="77"/>
      <c r="OR10" s="74"/>
      <c r="OS10" s="77">
        <v>3</v>
      </c>
      <c r="OT10" s="74"/>
      <c r="OU10" s="77">
        <v>3</v>
      </c>
      <c r="OV10" s="74"/>
      <c r="OW10" s="74"/>
      <c r="OX10" s="74"/>
      <c r="OY10" s="74"/>
      <c r="OZ10" s="74"/>
      <c r="PA10" s="74"/>
      <c r="PB10" s="74"/>
      <c r="PC10" s="77"/>
      <c r="PD10" s="74"/>
      <c r="PE10" s="77"/>
      <c r="PF10" s="74"/>
      <c r="PG10" s="74"/>
      <c r="PH10" s="74"/>
      <c r="PI10" s="74"/>
      <c r="PJ10" s="74"/>
      <c r="PK10" s="79">
        <f t="shared" si="33"/>
        <v>195.22500000000002</v>
      </c>
      <c r="PL10" s="74"/>
      <c r="PM10" s="74"/>
      <c r="PN10" s="74"/>
      <c r="PO10" s="78">
        <v>1.5</v>
      </c>
      <c r="PP10" s="77"/>
      <c r="PQ10" s="77"/>
      <c r="PR10" s="74"/>
      <c r="PS10" s="77"/>
      <c r="PT10" s="74"/>
      <c r="PU10" s="77">
        <v>3</v>
      </c>
      <c r="PV10" s="74"/>
      <c r="PW10" s="77">
        <v>3</v>
      </c>
      <c r="PX10" s="74"/>
      <c r="PY10" s="74"/>
      <c r="PZ10" s="74"/>
      <c r="QA10" s="74"/>
      <c r="QB10" s="74"/>
      <c r="QC10" s="74"/>
      <c r="QD10" s="74"/>
      <c r="QE10" s="77"/>
      <c r="QF10" s="74"/>
      <c r="QG10" s="77"/>
      <c r="QH10" s="74"/>
      <c r="QI10" s="74"/>
      <c r="QJ10" s="74"/>
      <c r="QK10" s="74"/>
      <c r="QL10" s="74"/>
      <c r="QM10" s="79">
        <f t="shared" si="34"/>
        <v>233.625</v>
      </c>
      <c r="QN10" s="74"/>
      <c r="QO10" s="74"/>
      <c r="QP10" s="74"/>
      <c r="QQ10" s="78">
        <v>1.5</v>
      </c>
      <c r="QR10" s="77"/>
      <c r="QS10" s="77"/>
      <c r="QT10" s="74"/>
      <c r="QU10" s="77"/>
      <c r="QV10" s="74"/>
      <c r="QW10" s="77">
        <v>3</v>
      </c>
      <c r="QX10" s="74"/>
      <c r="QY10" s="77">
        <v>3</v>
      </c>
      <c r="QZ10" s="74"/>
      <c r="RA10" s="74"/>
      <c r="RB10" s="74"/>
      <c r="RC10" s="74"/>
      <c r="RD10" s="74"/>
      <c r="RE10" s="74"/>
      <c r="RF10" s="74"/>
      <c r="RG10" s="77"/>
      <c r="RH10" s="74"/>
      <c r="RI10" s="77"/>
      <c r="RJ10" s="74"/>
      <c r="RK10" s="74"/>
      <c r="RL10" s="74"/>
      <c r="RM10" s="74"/>
      <c r="RN10" s="74"/>
      <c r="RO10" s="79">
        <f t="shared" si="35"/>
        <v>332.4</v>
      </c>
      <c r="RP10" s="74"/>
      <c r="RQ10" s="74"/>
      <c r="RR10" s="74"/>
      <c r="RS10" s="78">
        <v>1.5</v>
      </c>
      <c r="RT10" s="77"/>
      <c r="RU10" s="77"/>
      <c r="RV10" s="74"/>
      <c r="RW10" s="77"/>
      <c r="RX10" s="74"/>
      <c r="RY10" s="77">
        <v>3</v>
      </c>
      <c r="RZ10" s="74"/>
      <c r="SA10" s="77">
        <v>3</v>
      </c>
      <c r="SB10" s="74"/>
      <c r="SC10" s="74"/>
      <c r="SD10" s="74"/>
      <c r="SE10" s="74"/>
      <c r="SF10" s="74"/>
      <c r="SG10" s="74"/>
      <c r="SH10" s="74"/>
      <c r="SI10" s="77"/>
      <c r="SJ10" s="74"/>
      <c r="SK10" s="77"/>
      <c r="SL10" s="74"/>
      <c r="SM10" s="74"/>
      <c r="SN10" s="74"/>
      <c r="SO10" s="74"/>
      <c r="SP10" s="74"/>
      <c r="SQ10" s="79">
        <f t="shared" si="36"/>
        <v>95.4</v>
      </c>
      <c r="SR10" s="80">
        <f t="shared" si="37"/>
        <v>1867.875</v>
      </c>
      <c r="SS10" s="16">
        <f t="shared" si="38"/>
        <v>2866.3035</v>
      </c>
      <c r="ST10" s="88">
        <f t="shared" si="39"/>
        <v>626.59055249999994</v>
      </c>
      <c r="SU10" s="88">
        <f t="shared" si="40"/>
        <v>382.34625</v>
      </c>
      <c r="SV10" s="88">
        <f t="shared" si="41"/>
        <v>254.07524999999998</v>
      </c>
      <c r="SW10" s="88">
        <f t="shared" si="42"/>
        <v>1636.2818484374998</v>
      </c>
      <c r="SX10" s="91">
        <f t="shared" si="43"/>
        <v>687.12023324999984</v>
      </c>
      <c r="SY10" s="16">
        <f t="shared" ref="SY10:SY27" si="48">+$ST10*$SY$3</f>
        <v>125.31811049999999</v>
      </c>
      <c r="SZ10" s="16">
        <f t="shared" ref="SZ10:SZ27" si="49">+$ST10*$SZ$3</f>
        <v>150.38173259999999</v>
      </c>
      <c r="TA10" s="16">
        <f t="shared" ref="TA10:TA27" si="50">+$ST10*$TA$3</f>
        <v>125.31811049999999</v>
      </c>
      <c r="TB10" s="92">
        <f t="shared" ref="TB10:TB27" si="51">+$ST10*$TB$3</f>
        <v>225.57259889999997</v>
      </c>
      <c r="TC10" s="16">
        <f t="shared" ref="TC10:TC27" si="52">+$SU10*$SY$3</f>
        <v>76.469250000000002</v>
      </c>
      <c r="TD10" s="16">
        <f t="shared" ref="TD10:TD27" si="53">+$SU10*$SZ$3</f>
        <v>91.763099999999994</v>
      </c>
      <c r="TE10" s="16">
        <f t="shared" ref="TE10:TE27" si="54">+$SU10*$TA$3</f>
        <v>76.469250000000002</v>
      </c>
      <c r="TF10" s="92">
        <f t="shared" ref="TF10:TF27" si="55">+$SU10*$TB$3</f>
        <v>137.64464999999998</v>
      </c>
      <c r="TG10" s="16">
        <f t="shared" ref="TG10:TG27" si="56">+$SV10*$SY$3</f>
        <v>50.815049999999999</v>
      </c>
      <c r="TH10" s="16">
        <f t="shared" ref="TH10:TH27" si="57">+$SV10*$SZ$3</f>
        <v>60.978059999999992</v>
      </c>
      <c r="TI10" s="16">
        <f t="shared" ref="TI10:TI27" si="58">+$SV10*$TA$3</f>
        <v>50.815049999999999</v>
      </c>
      <c r="TJ10" s="92">
        <f t="shared" ref="TJ10:TJ27" si="59">+$SV10*$TB$3</f>
        <v>91.467089999999985</v>
      </c>
      <c r="TK10" s="16">
        <f t="shared" ref="TK10:TK27" si="60">+$SW10*$SY$3</f>
        <v>327.25636968749996</v>
      </c>
      <c r="TL10" s="16">
        <f t="shared" ref="TL10:TL27" si="61">+$SW10*$SZ$3</f>
        <v>392.70764362499995</v>
      </c>
      <c r="TM10" s="16">
        <f t="shared" ref="TM10:TM27" si="62">+$SW10*$TA$3</f>
        <v>327.25636968749996</v>
      </c>
      <c r="TN10" s="92">
        <f t="shared" ref="TN10:TN27" si="63">+$SW10*$TB$3</f>
        <v>589.06146543749992</v>
      </c>
      <c r="TO10" s="16">
        <f t="shared" si="44"/>
        <v>137.42404664999998</v>
      </c>
      <c r="TP10" s="16">
        <f t="shared" si="45"/>
        <v>164.90885597999997</v>
      </c>
      <c r="TQ10" s="16">
        <f t="shared" si="46"/>
        <v>137.42404664999998</v>
      </c>
      <c r="TR10" s="92">
        <f t="shared" si="47"/>
        <v>247.36328396999994</v>
      </c>
    </row>
    <row r="11" spans="1:538">
      <c r="A11" s="178"/>
      <c r="B11" s="101" t="str">
        <f>+A8</f>
        <v>Foliares</v>
      </c>
      <c r="C11" s="71" t="s">
        <v>199</v>
      </c>
      <c r="D11" s="87">
        <f>+IFERROR(INDEX(Productos[U$D],MATCH(C11,Productos[Productos],0)),0)</f>
        <v>0.66800000000000004</v>
      </c>
      <c r="E11" s="74"/>
      <c r="F11" s="74"/>
      <c r="G11" s="74"/>
      <c r="H11" s="78"/>
      <c r="I11" s="77">
        <v>2.4</v>
      </c>
      <c r="J11" s="77"/>
      <c r="K11" s="74"/>
      <c r="L11" s="77"/>
      <c r="M11" s="74"/>
      <c r="N11" s="77"/>
      <c r="O11" s="74"/>
      <c r="P11" s="77"/>
      <c r="Q11" s="74"/>
      <c r="R11" s="74"/>
      <c r="S11" s="74"/>
      <c r="T11" s="74"/>
      <c r="U11" s="74"/>
      <c r="V11" s="74"/>
      <c r="W11" s="74"/>
      <c r="X11" s="77">
        <v>3</v>
      </c>
      <c r="Y11" s="74"/>
      <c r="Z11" s="77">
        <v>3</v>
      </c>
      <c r="AA11" s="74"/>
      <c r="AB11" s="74"/>
      <c r="AC11" s="74"/>
      <c r="AD11" s="74"/>
      <c r="AE11" s="74"/>
      <c r="AF11" s="79">
        <f t="shared" si="16"/>
        <v>184.02719999999997</v>
      </c>
      <c r="AG11" s="74"/>
      <c r="AH11" s="74"/>
      <c r="AI11" s="74"/>
      <c r="AJ11" s="78"/>
      <c r="AK11" s="77">
        <v>2.4</v>
      </c>
      <c r="AL11" s="77"/>
      <c r="AM11" s="74"/>
      <c r="AN11" s="77"/>
      <c r="AO11" s="74"/>
      <c r="AP11" s="77"/>
      <c r="AQ11" s="74"/>
      <c r="AR11" s="77"/>
      <c r="AS11" s="74"/>
      <c r="AT11" s="74"/>
      <c r="AU11" s="74"/>
      <c r="AV11" s="74"/>
      <c r="AW11" s="74"/>
      <c r="AX11" s="74"/>
      <c r="AY11" s="74"/>
      <c r="AZ11" s="77">
        <v>3</v>
      </c>
      <c r="BA11" s="74"/>
      <c r="BB11" s="77">
        <v>3</v>
      </c>
      <c r="BC11" s="74"/>
      <c r="BD11" s="74"/>
      <c r="BE11" s="74"/>
      <c r="BF11" s="74"/>
      <c r="BG11" s="74"/>
      <c r="BH11" s="79">
        <f t="shared" si="17"/>
        <v>133.05600000000001</v>
      </c>
      <c r="BI11" s="74"/>
      <c r="BJ11" s="74"/>
      <c r="BK11" s="74"/>
      <c r="BL11" s="78"/>
      <c r="BM11" s="77">
        <v>2.4</v>
      </c>
      <c r="BN11" s="77"/>
      <c r="BO11" s="74"/>
      <c r="BP11" s="77"/>
      <c r="BQ11" s="74"/>
      <c r="BR11" s="77"/>
      <c r="BS11" s="74"/>
      <c r="BT11" s="77"/>
      <c r="BU11" s="74"/>
      <c r="BV11" s="74"/>
      <c r="BW11" s="74"/>
      <c r="BX11" s="74"/>
      <c r="BY11" s="74"/>
      <c r="BZ11" s="74"/>
      <c r="CA11" s="74"/>
      <c r="CB11" s="77">
        <v>3</v>
      </c>
      <c r="CC11" s="74"/>
      <c r="CD11" s="77">
        <v>3</v>
      </c>
      <c r="CE11" s="74"/>
      <c r="CF11" s="74"/>
      <c r="CG11" s="74"/>
      <c r="CH11" s="74"/>
      <c r="CI11" s="74"/>
      <c r="CJ11" s="79">
        <f t="shared" si="18"/>
        <v>164.01672000000002</v>
      </c>
      <c r="CK11" s="74"/>
      <c r="CL11" s="74"/>
      <c r="CM11" s="74"/>
      <c r="CN11" s="78"/>
      <c r="CO11" s="77">
        <v>2.4</v>
      </c>
      <c r="CP11" s="77"/>
      <c r="CQ11" s="74"/>
      <c r="CR11" s="77"/>
      <c r="CS11" s="74"/>
      <c r="CT11" s="77"/>
      <c r="CU11" s="74"/>
      <c r="CV11" s="77"/>
      <c r="CW11" s="74"/>
      <c r="CX11" s="74"/>
      <c r="CY11" s="74"/>
      <c r="CZ11" s="74"/>
      <c r="DA11" s="74"/>
      <c r="DB11" s="74"/>
      <c r="DC11" s="74"/>
      <c r="DD11" s="77">
        <v>3</v>
      </c>
      <c r="DE11" s="74"/>
      <c r="DF11" s="77">
        <v>3</v>
      </c>
      <c r="DG11" s="74"/>
      <c r="DH11" s="74"/>
      <c r="DI11" s="74"/>
      <c r="DJ11" s="74"/>
      <c r="DK11" s="74"/>
      <c r="DL11" s="79">
        <f t="shared" si="19"/>
        <v>48.552</v>
      </c>
      <c r="DM11" s="74"/>
      <c r="DN11" s="74"/>
      <c r="DO11" s="74"/>
      <c r="DP11" s="78"/>
      <c r="DQ11" s="77">
        <v>2.4</v>
      </c>
      <c r="DR11" s="77"/>
      <c r="DS11" s="74"/>
      <c r="DT11" s="77"/>
      <c r="DU11" s="74"/>
      <c r="DV11" s="77"/>
      <c r="DW11" s="74"/>
      <c r="DX11" s="77"/>
      <c r="DY11" s="74"/>
      <c r="DZ11" s="74"/>
      <c r="EA11" s="74"/>
      <c r="EB11" s="74"/>
      <c r="EC11" s="74"/>
      <c r="ED11" s="74"/>
      <c r="EE11" s="74"/>
      <c r="EF11" s="77">
        <v>3</v>
      </c>
      <c r="EG11" s="74"/>
      <c r="EH11" s="77">
        <v>3</v>
      </c>
      <c r="EI11" s="74"/>
      <c r="EJ11" s="74"/>
      <c r="EK11" s="74"/>
      <c r="EL11" s="74"/>
      <c r="EM11" s="74"/>
      <c r="EN11" s="79">
        <f t="shared" si="20"/>
        <v>25.116000000000003</v>
      </c>
      <c r="EO11" s="80">
        <f t="shared" si="21"/>
        <v>554.76792</v>
      </c>
      <c r="EP11" s="74"/>
      <c r="EQ11" s="74"/>
      <c r="ER11" s="74"/>
      <c r="ES11" s="78"/>
      <c r="ET11" s="77">
        <v>2.4</v>
      </c>
      <c r="EU11" s="77"/>
      <c r="EV11" s="74"/>
      <c r="EW11" s="77"/>
      <c r="EX11" s="74"/>
      <c r="EY11" s="77"/>
      <c r="EZ11" s="74"/>
      <c r="FA11" s="77"/>
      <c r="FB11" s="74"/>
      <c r="FC11" s="74"/>
      <c r="FD11" s="74"/>
      <c r="FE11" s="74"/>
      <c r="FF11" s="74"/>
      <c r="FG11" s="74"/>
      <c r="FH11" s="74"/>
      <c r="FI11" s="77">
        <v>3</v>
      </c>
      <c r="FJ11" s="74"/>
      <c r="FK11" s="77">
        <v>3</v>
      </c>
      <c r="FL11" s="74"/>
      <c r="FM11" s="74"/>
      <c r="FN11" s="74"/>
      <c r="FO11" s="74"/>
      <c r="FP11" s="74"/>
      <c r="FQ11" s="79">
        <f t="shared" si="22"/>
        <v>95.76</v>
      </c>
      <c r="FR11" s="74"/>
      <c r="FS11" s="74"/>
      <c r="FT11" s="74"/>
      <c r="FU11" s="78"/>
      <c r="FV11" s="77">
        <v>2.4</v>
      </c>
      <c r="FW11" s="77"/>
      <c r="FX11" s="74"/>
      <c r="FY11" s="77"/>
      <c r="FZ11" s="74"/>
      <c r="GA11" s="77"/>
      <c r="GB11" s="74"/>
      <c r="GC11" s="77"/>
      <c r="GD11" s="74"/>
      <c r="GE11" s="74"/>
      <c r="GF11" s="74"/>
      <c r="GG11" s="74"/>
      <c r="GH11" s="74"/>
      <c r="GI11" s="74"/>
      <c r="GJ11" s="74"/>
      <c r="GK11" s="77">
        <v>3</v>
      </c>
      <c r="GL11" s="74"/>
      <c r="GM11" s="77">
        <v>3</v>
      </c>
      <c r="GN11" s="74"/>
      <c r="GO11" s="74"/>
      <c r="GP11" s="74"/>
      <c r="GQ11" s="74"/>
      <c r="GR11" s="74"/>
      <c r="GS11" s="79">
        <f t="shared" si="23"/>
        <v>82.320000000000007</v>
      </c>
      <c r="GT11" s="74"/>
      <c r="GU11" s="74"/>
      <c r="GV11" s="74"/>
      <c r="GW11" s="78"/>
      <c r="GX11" s="77">
        <v>2.4</v>
      </c>
      <c r="GY11" s="77"/>
      <c r="GZ11" s="74"/>
      <c r="HA11" s="77"/>
      <c r="HB11" s="74"/>
      <c r="HC11" s="77"/>
      <c r="HD11" s="74"/>
      <c r="HE11" s="77"/>
      <c r="HF11" s="74"/>
      <c r="HG11" s="74"/>
      <c r="HH11" s="74"/>
      <c r="HI11" s="74"/>
      <c r="HJ11" s="74"/>
      <c r="HK11" s="74"/>
      <c r="HL11" s="74"/>
      <c r="HM11" s="77">
        <v>3</v>
      </c>
      <c r="HN11" s="74"/>
      <c r="HO11" s="77">
        <v>3</v>
      </c>
      <c r="HP11" s="74"/>
      <c r="HQ11" s="74"/>
      <c r="HR11" s="74"/>
      <c r="HS11" s="74"/>
      <c r="HT11" s="74"/>
      <c r="HU11" s="79">
        <f t="shared" si="24"/>
        <v>160.44000000000003</v>
      </c>
      <c r="HV11" s="80">
        <f t="shared" si="25"/>
        <v>338.52000000000004</v>
      </c>
      <c r="HW11" s="74"/>
      <c r="HX11" s="74"/>
      <c r="HY11" s="74"/>
      <c r="HZ11" s="78"/>
      <c r="IA11" s="77">
        <v>2.4</v>
      </c>
      <c r="IB11" s="77"/>
      <c r="IC11" s="74"/>
      <c r="ID11" s="77"/>
      <c r="IE11" s="74"/>
      <c r="IF11" s="77"/>
      <c r="IG11" s="74"/>
      <c r="IH11" s="77"/>
      <c r="II11" s="74"/>
      <c r="IJ11" s="74"/>
      <c r="IK11" s="74"/>
      <c r="IL11" s="74"/>
      <c r="IM11" s="74"/>
      <c r="IN11" s="74"/>
      <c r="IO11" s="74"/>
      <c r="IP11" s="77">
        <v>3</v>
      </c>
      <c r="IQ11" s="74"/>
      <c r="IR11" s="77">
        <v>3</v>
      </c>
      <c r="IS11" s="74"/>
      <c r="IT11" s="74"/>
      <c r="IU11" s="74"/>
      <c r="IV11" s="74"/>
      <c r="IW11" s="74"/>
      <c r="IX11" s="79">
        <f t="shared" si="26"/>
        <v>48.888000000000005</v>
      </c>
      <c r="IY11" s="74"/>
      <c r="IZ11" s="74"/>
      <c r="JA11" s="74"/>
      <c r="JB11" s="78"/>
      <c r="JC11" s="77">
        <v>2.4</v>
      </c>
      <c r="JD11" s="77"/>
      <c r="JE11" s="74"/>
      <c r="JF11" s="77"/>
      <c r="JG11" s="74"/>
      <c r="JH11" s="77"/>
      <c r="JI11" s="74"/>
      <c r="JJ11" s="77"/>
      <c r="JK11" s="74"/>
      <c r="JL11" s="74"/>
      <c r="JM11" s="74"/>
      <c r="JN11" s="74"/>
      <c r="JO11" s="74"/>
      <c r="JP11" s="74"/>
      <c r="JQ11" s="74"/>
      <c r="JR11" s="77">
        <v>3</v>
      </c>
      <c r="JS11" s="74"/>
      <c r="JT11" s="77">
        <v>3</v>
      </c>
      <c r="JU11" s="74"/>
      <c r="JV11" s="74"/>
      <c r="JW11" s="74"/>
      <c r="JX11" s="74"/>
      <c r="JY11" s="74"/>
      <c r="JZ11" s="79">
        <f t="shared" si="27"/>
        <v>123.312</v>
      </c>
      <c r="KA11" s="74"/>
      <c r="KB11" s="74"/>
      <c r="KC11" s="74"/>
      <c r="KD11" s="78"/>
      <c r="KE11" s="77">
        <v>2.4</v>
      </c>
      <c r="KF11" s="77"/>
      <c r="KG11" s="74"/>
      <c r="KH11" s="77"/>
      <c r="KI11" s="74"/>
      <c r="KJ11" s="77"/>
      <c r="KK11" s="74"/>
      <c r="KL11" s="77"/>
      <c r="KM11" s="74"/>
      <c r="KN11" s="74"/>
      <c r="KO11" s="74"/>
      <c r="KP11" s="74"/>
      <c r="KQ11" s="74"/>
      <c r="KR11" s="74"/>
      <c r="KS11" s="74"/>
      <c r="KT11" s="77">
        <v>3</v>
      </c>
      <c r="KU11" s="74"/>
      <c r="KV11" s="77">
        <v>3</v>
      </c>
      <c r="KW11" s="74"/>
      <c r="KX11" s="74"/>
      <c r="KY11" s="74"/>
      <c r="KZ11" s="74"/>
      <c r="LA11" s="74"/>
      <c r="LB11" s="79">
        <f t="shared" si="28"/>
        <v>52.751999999999995</v>
      </c>
      <c r="LC11" s="80">
        <f t="shared" si="29"/>
        <v>224.952</v>
      </c>
      <c r="LD11" s="74"/>
      <c r="LE11" s="74"/>
      <c r="LF11" s="74"/>
      <c r="LG11" s="78"/>
      <c r="LH11" s="77">
        <v>2.4</v>
      </c>
      <c r="LI11" s="77"/>
      <c r="LJ11" s="74"/>
      <c r="LK11" s="77"/>
      <c r="LL11" s="74"/>
      <c r="LM11" s="77"/>
      <c r="LN11" s="74"/>
      <c r="LO11" s="77"/>
      <c r="LP11" s="74"/>
      <c r="LQ11" s="74"/>
      <c r="LR11" s="74"/>
      <c r="LS11" s="74"/>
      <c r="LT11" s="74"/>
      <c r="LU11" s="74"/>
      <c r="LV11" s="74"/>
      <c r="LW11" s="77">
        <v>3</v>
      </c>
      <c r="LX11" s="74"/>
      <c r="LY11" s="77">
        <v>3</v>
      </c>
      <c r="LZ11" s="74"/>
      <c r="MA11" s="74"/>
      <c r="MB11" s="74"/>
      <c r="MC11" s="74"/>
      <c r="MD11" s="74"/>
      <c r="ME11" s="79">
        <f t="shared" si="30"/>
        <v>232.09200000000004</v>
      </c>
      <c r="MF11" s="74"/>
      <c r="MG11" s="74"/>
      <c r="MH11" s="74"/>
      <c r="MI11" s="78"/>
      <c r="MJ11" s="77">
        <v>2.4</v>
      </c>
      <c r="MK11" s="77"/>
      <c r="ML11" s="74"/>
      <c r="MM11" s="77"/>
      <c r="MN11" s="74"/>
      <c r="MO11" s="77"/>
      <c r="MP11" s="74"/>
      <c r="MQ11" s="77"/>
      <c r="MR11" s="74"/>
      <c r="MS11" s="74"/>
      <c r="MT11" s="74"/>
      <c r="MU11" s="74"/>
      <c r="MV11" s="74"/>
      <c r="MW11" s="74"/>
      <c r="MX11" s="74"/>
      <c r="MY11" s="77">
        <v>3</v>
      </c>
      <c r="MZ11" s="74"/>
      <c r="NA11" s="77">
        <v>3</v>
      </c>
      <c r="NB11" s="74"/>
      <c r="NC11" s="74"/>
      <c r="ND11" s="74"/>
      <c r="NE11" s="74"/>
      <c r="NF11" s="74"/>
      <c r="NG11" s="79">
        <f t="shared" si="31"/>
        <v>463.51199999999994</v>
      </c>
      <c r="NH11" s="74"/>
      <c r="NI11" s="74"/>
      <c r="NJ11" s="74"/>
      <c r="NK11" s="78"/>
      <c r="NL11" s="77">
        <v>2.4</v>
      </c>
      <c r="NM11" s="77"/>
      <c r="NN11" s="74"/>
      <c r="NO11" s="77"/>
      <c r="NP11" s="74"/>
      <c r="NQ11" s="77"/>
      <c r="NR11" s="74"/>
      <c r="NS11" s="77"/>
      <c r="NT11" s="74"/>
      <c r="NU11" s="74"/>
      <c r="NV11" s="74"/>
      <c r="NW11" s="74"/>
      <c r="NX11" s="74"/>
      <c r="NY11" s="74"/>
      <c r="NZ11" s="74"/>
      <c r="OA11" s="77">
        <v>3</v>
      </c>
      <c r="OB11" s="74"/>
      <c r="OC11" s="77">
        <v>3</v>
      </c>
      <c r="OD11" s="74"/>
      <c r="OE11" s="74"/>
      <c r="OF11" s="74"/>
      <c r="OG11" s="74"/>
      <c r="OH11" s="74"/>
      <c r="OI11" s="79">
        <f t="shared" si="32"/>
        <v>436.96799999999996</v>
      </c>
      <c r="OJ11" s="74"/>
      <c r="OK11" s="74"/>
      <c r="OL11" s="74"/>
      <c r="OM11" s="78"/>
      <c r="ON11" s="77">
        <v>2.4</v>
      </c>
      <c r="OO11" s="77"/>
      <c r="OP11" s="74"/>
      <c r="OQ11" s="77"/>
      <c r="OR11" s="74"/>
      <c r="OS11" s="77"/>
      <c r="OT11" s="74"/>
      <c r="OU11" s="77"/>
      <c r="OV11" s="74"/>
      <c r="OW11" s="74"/>
      <c r="OX11" s="74"/>
      <c r="OY11" s="74"/>
      <c r="OZ11" s="74"/>
      <c r="PA11" s="74"/>
      <c r="PB11" s="74"/>
      <c r="PC11" s="77">
        <v>3</v>
      </c>
      <c r="PD11" s="74"/>
      <c r="PE11" s="77">
        <v>3</v>
      </c>
      <c r="PF11" s="74"/>
      <c r="PG11" s="74"/>
      <c r="PH11" s="74"/>
      <c r="PI11" s="74"/>
      <c r="PJ11" s="74"/>
      <c r="PK11" s="79">
        <f t="shared" si="33"/>
        <v>218.65200000000002</v>
      </c>
      <c r="PL11" s="74"/>
      <c r="PM11" s="74"/>
      <c r="PN11" s="74"/>
      <c r="PO11" s="78"/>
      <c r="PP11" s="77">
        <v>2.4</v>
      </c>
      <c r="PQ11" s="77"/>
      <c r="PR11" s="74"/>
      <c r="PS11" s="77"/>
      <c r="PT11" s="74"/>
      <c r="PU11" s="77"/>
      <c r="PV11" s="74"/>
      <c r="PW11" s="77"/>
      <c r="PX11" s="74"/>
      <c r="PY11" s="74"/>
      <c r="PZ11" s="74"/>
      <c r="QA11" s="74"/>
      <c r="QB11" s="74"/>
      <c r="QC11" s="74"/>
      <c r="QD11" s="74"/>
      <c r="QE11" s="77">
        <v>3</v>
      </c>
      <c r="QF11" s="74"/>
      <c r="QG11" s="77">
        <v>3</v>
      </c>
      <c r="QH11" s="74"/>
      <c r="QI11" s="74"/>
      <c r="QJ11" s="74"/>
      <c r="QK11" s="74"/>
      <c r="QL11" s="74"/>
      <c r="QM11" s="79">
        <f t="shared" si="34"/>
        <v>261.66000000000003</v>
      </c>
      <c r="QN11" s="74"/>
      <c r="QO11" s="74"/>
      <c r="QP11" s="74"/>
      <c r="QQ11" s="78"/>
      <c r="QR11" s="77">
        <v>2.4</v>
      </c>
      <c r="QS11" s="77"/>
      <c r="QT11" s="74"/>
      <c r="QU11" s="77"/>
      <c r="QV11" s="74"/>
      <c r="QW11" s="77"/>
      <c r="QX11" s="74"/>
      <c r="QY11" s="77"/>
      <c r="QZ11" s="74"/>
      <c r="RA11" s="74"/>
      <c r="RB11" s="74"/>
      <c r="RC11" s="74"/>
      <c r="RD11" s="74"/>
      <c r="RE11" s="74"/>
      <c r="RF11" s="74"/>
      <c r="RG11" s="77">
        <v>3</v>
      </c>
      <c r="RH11" s="74"/>
      <c r="RI11" s="77">
        <v>3</v>
      </c>
      <c r="RJ11" s="74"/>
      <c r="RK11" s="74"/>
      <c r="RL11" s="74"/>
      <c r="RM11" s="74"/>
      <c r="RN11" s="74"/>
      <c r="RO11" s="79">
        <f t="shared" si="35"/>
        <v>372.28800000000001</v>
      </c>
      <c r="RP11" s="74"/>
      <c r="RQ11" s="74"/>
      <c r="RR11" s="74"/>
      <c r="RS11" s="78"/>
      <c r="RT11" s="77">
        <v>2.4</v>
      </c>
      <c r="RU11" s="77"/>
      <c r="RV11" s="74"/>
      <c r="RW11" s="77"/>
      <c r="RX11" s="74"/>
      <c r="RY11" s="77"/>
      <c r="RZ11" s="74"/>
      <c r="SA11" s="77"/>
      <c r="SB11" s="74"/>
      <c r="SC11" s="74"/>
      <c r="SD11" s="74"/>
      <c r="SE11" s="74"/>
      <c r="SF11" s="74"/>
      <c r="SG11" s="74"/>
      <c r="SH11" s="74"/>
      <c r="SI11" s="77">
        <v>3</v>
      </c>
      <c r="SJ11" s="74"/>
      <c r="SK11" s="77">
        <v>3</v>
      </c>
      <c r="SL11" s="74"/>
      <c r="SM11" s="74"/>
      <c r="SN11" s="74"/>
      <c r="SO11" s="74"/>
      <c r="SP11" s="74"/>
      <c r="SQ11" s="79">
        <f t="shared" si="36"/>
        <v>106.84800000000001</v>
      </c>
      <c r="SR11" s="80">
        <f t="shared" si="37"/>
        <v>2092.0200000000004</v>
      </c>
      <c r="SS11" s="16">
        <f t="shared" si="38"/>
        <v>3210.2599200000004</v>
      </c>
      <c r="ST11" s="88">
        <f t="shared" si="39"/>
        <v>370.58497056000004</v>
      </c>
      <c r="SU11" s="88">
        <f t="shared" si="40"/>
        <v>226.13136000000003</v>
      </c>
      <c r="SV11" s="88">
        <f t="shared" si="41"/>
        <v>150.26793600000002</v>
      </c>
      <c r="SW11" s="88">
        <f t="shared" si="42"/>
        <v>967.74753180000016</v>
      </c>
      <c r="SX11" s="91">
        <f t="shared" si="43"/>
        <v>406.38408988800006</v>
      </c>
      <c r="SY11" s="16">
        <f t="shared" si="48"/>
        <v>74.116994112000015</v>
      </c>
      <c r="SZ11" s="16">
        <f t="shared" si="49"/>
        <v>88.940392934400009</v>
      </c>
      <c r="TA11" s="16">
        <f t="shared" si="50"/>
        <v>74.116994112000015</v>
      </c>
      <c r="TB11" s="92">
        <f t="shared" si="51"/>
        <v>133.41058940160002</v>
      </c>
      <c r="TC11" s="16">
        <f t="shared" si="52"/>
        <v>45.226272000000009</v>
      </c>
      <c r="TD11" s="16">
        <f t="shared" si="53"/>
        <v>54.271526400000006</v>
      </c>
      <c r="TE11" s="16">
        <f t="shared" si="54"/>
        <v>45.226272000000009</v>
      </c>
      <c r="TF11" s="92">
        <f t="shared" si="55"/>
        <v>81.407289600000013</v>
      </c>
      <c r="TG11" s="16">
        <f t="shared" si="56"/>
        <v>30.053587200000006</v>
      </c>
      <c r="TH11" s="16">
        <f t="shared" si="57"/>
        <v>36.064304640000003</v>
      </c>
      <c r="TI11" s="16">
        <f t="shared" si="58"/>
        <v>30.053587200000006</v>
      </c>
      <c r="TJ11" s="92">
        <f t="shared" si="59"/>
        <v>54.096456960000005</v>
      </c>
      <c r="TK11" s="16">
        <f t="shared" si="60"/>
        <v>193.54950636000004</v>
      </c>
      <c r="TL11" s="16">
        <f t="shared" si="61"/>
        <v>232.25940763200003</v>
      </c>
      <c r="TM11" s="16">
        <f t="shared" si="62"/>
        <v>193.54950636000004</v>
      </c>
      <c r="TN11" s="92">
        <f t="shared" si="63"/>
        <v>348.38911144800005</v>
      </c>
      <c r="TO11" s="16">
        <f t="shared" si="44"/>
        <v>81.276817977600018</v>
      </c>
      <c r="TP11" s="16">
        <f t="shared" si="45"/>
        <v>97.532181573120013</v>
      </c>
      <c r="TQ11" s="16">
        <f t="shared" si="46"/>
        <v>81.276817977600018</v>
      </c>
      <c r="TR11" s="92">
        <f t="shared" si="47"/>
        <v>146.29827235968003</v>
      </c>
    </row>
    <row r="12" spans="1:538">
      <c r="A12" s="178"/>
      <c r="B12" s="101" t="str">
        <f>+A8</f>
        <v>Foliares</v>
      </c>
      <c r="C12" s="71" t="s">
        <v>200</v>
      </c>
      <c r="D12" s="87">
        <f>+IFERROR(INDEX(Productos[USD],MATCH(C12,Productos[Productos],0)),0)</f>
        <v>2.25</v>
      </c>
      <c r="E12" s="74"/>
      <c r="F12" s="74"/>
      <c r="G12" s="74"/>
      <c r="H12" s="78">
        <v>1.5</v>
      </c>
      <c r="I12" s="77">
        <v>2.4</v>
      </c>
      <c r="J12" s="77"/>
      <c r="K12" s="74"/>
      <c r="L12" s="77"/>
      <c r="M12" s="74"/>
      <c r="N12" s="77"/>
      <c r="O12" s="74"/>
      <c r="P12" s="77"/>
      <c r="Q12" s="74"/>
      <c r="R12" s="74"/>
      <c r="S12" s="74"/>
      <c r="T12" s="74"/>
      <c r="U12" s="74"/>
      <c r="V12" s="74"/>
      <c r="W12" s="74"/>
      <c r="X12" s="77"/>
      <c r="Y12" s="74"/>
      <c r="Z12" s="77"/>
      <c r="AA12" s="74"/>
      <c r="AB12" s="74"/>
      <c r="AC12" s="74"/>
      <c r="AD12" s="74"/>
      <c r="AE12" s="74"/>
      <c r="AF12" s="79">
        <f t="shared" si="16"/>
        <v>85.441199999999981</v>
      </c>
      <c r="AG12" s="74"/>
      <c r="AH12" s="74"/>
      <c r="AI12" s="74"/>
      <c r="AJ12" s="78">
        <v>1.5</v>
      </c>
      <c r="AK12" s="77">
        <v>2.4</v>
      </c>
      <c r="AL12" s="77"/>
      <c r="AM12" s="74"/>
      <c r="AN12" s="77"/>
      <c r="AO12" s="74"/>
      <c r="AP12" s="77"/>
      <c r="AQ12" s="74"/>
      <c r="AR12" s="77"/>
      <c r="AS12" s="74"/>
      <c r="AT12" s="74"/>
      <c r="AU12" s="74"/>
      <c r="AV12" s="74"/>
      <c r="AW12" s="74"/>
      <c r="AX12" s="74"/>
      <c r="AY12" s="74"/>
      <c r="AZ12" s="77"/>
      <c r="BA12" s="74"/>
      <c r="BB12" s="77"/>
      <c r="BC12" s="74"/>
      <c r="BD12" s="74"/>
      <c r="BE12" s="74"/>
      <c r="BF12" s="74"/>
      <c r="BG12" s="74"/>
      <c r="BH12" s="79">
        <f t="shared" si="17"/>
        <v>61.776000000000003</v>
      </c>
      <c r="BI12" s="74"/>
      <c r="BJ12" s="74"/>
      <c r="BK12" s="74"/>
      <c r="BL12" s="78">
        <v>1.5</v>
      </c>
      <c r="BM12" s="77">
        <v>2.4</v>
      </c>
      <c r="BN12" s="77"/>
      <c r="BO12" s="74"/>
      <c r="BP12" s="77"/>
      <c r="BQ12" s="74"/>
      <c r="BR12" s="77"/>
      <c r="BS12" s="74"/>
      <c r="BT12" s="77"/>
      <c r="BU12" s="74"/>
      <c r="BV12" s="74"/>
      <c r="BW12" s="74"/>
      <c r="BX12" s="74"/>
      <c r="BY12" s="74"/>
      <c r="BZ12" s="74"/>
      <c r="CA12" s="74"/>
      <c r="CB12" s="77"/>
      <c r="CC12" s="74"/>
      <c r="CD12" s="77"/>
      <c r="CE12" s="74"/>
      <c r="CF12" s="74"/>
      <c r="CG12" s="74"/>
      <c r="CH12" s="74"/>
      <c r="CI12" s="74"/>
      <c r="CJ12" s="79">
        <f t="shared" si="18"/>
        <v>76.150620000000004</v>
      </c>
      <c r="CK12" s="74"/>
      <c r="CL12" s="74"/>
      <c r="CM12" s="74"/>
      <c r="CN12" s="78">
        <v>1.5</v>
      </c>
      <c r="CO12" s="77">
        <v>2.4</v>
      </c>
      <c r="CP12" s="77"/>
      <c r="CQ12" s="74"/>
      <c r="CR12" s="77"/>
      <c r="CS12" s="74"/>
      <c r="CT12" s="77"/>
      <c r="CU12" s="74"/>
      <c r="CV12" s="77"/>
      <c r="CW12" s="74"/>
      <c r="CX12" s="74"/>
      <c r="CY12" s="74"/>
      <c r="CZ12" s="74"/>
      <c r="DA12" s="74"/>
      <c r="DB12" s="74"/>
      <c r="DC12" s="74"/>
      <c r="DD12" s="77"/>
      <c r="DE12" s="74"/>
      <c r="DF12" s="77"/>
      <c r="DG12" s="74"/>
      <c r="DH12" s="74"/>
      <c r="DI12" s="74"/>
      <c r="DJ12" s="74"/>
      <c r="DK12" s="74"/>
      <c r="DL12" s="79">
        <f t="shared" si="19"/>
        <v>22.541999999999998</v>
      </c>
      <c r="DM12" s="74"/>
      <c r="DN12" s="74"/>
      <c r="DO12" s="74"/>
      <c r="DP12" s="78">
        <v>1.5</v>
      </c>
      <c r="DQ12" s="77">
        <v>2.4</v>
      </c>
      <c r="DR12" s="77"/>
      <c r="DS12" s="74"/>
      <c r="DT12" s="77"/>
      <c r="DU12" s="74"/>
      <c r="DV12" s="77"/>
      <c r="DW12" s="74"/>
      <c r="DX12" s="77"/>
      <c r="DY12" s="74"/>
      <c r="DZ12" s="74"/>
      <c r="EA12" s="74"/>
      <c r="EB12" s="74"/>
      <c r="EC12" s="74"/>
      <c r="ED12" s="74"/>
      <c r="EE12" s="74"/>
      <c r="EF12" s="77"/>
      <c r="EG12" s="74"/>
      <c r="EH12" s="77"/>
      <c r="EI12" s="74"/>
      <c r="EJ12" s="74"/>
      <c r="EK12" s="74"/>
      <c r="EL12" s="74"/>
      <c r="EM12" s="74"/>
      <c r="EN12" s="79">
        <f t="shared" si="20"/>
        <v>11.661000000000001</v>
      </c>
      <c r="EO12" s="80">
        <f t="shared" si="21"/>
        <v>257.57082000000003</v>
      </c>
      <c r="EP12" s="74"/>
      <c r="EQ12" s="74"/>
      <c r="ER12" s="74"/>
      <c r="ES12" s="78">
        <v>1.5</v>
      </c>
      <c r="ET12" s="77">
        <v>2.4</v>
      </c>
      <c r="EU12" s="77"/>
      <c r="EV12" s="74"/>
      <c r="EW12" s="77"/>
      <c r="EX12" s="74"/>
      <c r="EY12" s="77"/>
      <c r="EZ12" s="74"/>
      <c r="FA12" s="77"/>
      <c r="FB12" s="74"/>
      <c r="FC12" s="74"/>
      <c r="FD12" s="74"/>
      <c r="FE12" s="74"/>
      <c r="FF12" s="74"/>
      <c r="FG12" s="74"/>
      <c r="FH12" s="74"/>
      <c r="FI12" s="77"/>
      <c r="FJ12" s="74"/>
      <c r="FK12" s="77"/>
      <c r="FL12" s="74"/>
      <c r="FM12" s="74"/>
      <c r="FN12" s="74"/>
      <c r="FO12" s="74"/>
      <c r="FP12" s="74"/>
      <c r="FQ12" s="79">
        <f t="shared" si="22"/>
        <v>44.46</v>
      </c>
      <c r="FR12" s="74"/>
      <c r="FS12" s="74"/>
      <c r="FT12" s="74"/>
      <c r="FU12" s="78">
        <v>1.5</v>
      </c>
      <c r="FV12" s="77">
        <v>2.4</v>
      </c>
      <c r="FW12" s="77"/>
      <c r="FX12" s="74"/>
      <c r="FY12" s="77"/>
      <c r="FZ12" s="74"/>
      <c r="GA12" s="77"/>
      <c r="GB12" s="74"/>
      <c r="GC12" s="77"/>
      <c r="GD12" s="74"/>
      <c r="GE12" s="74"/>
      <c r="GF12" s="74"/>
      <c r="GG12" s="74"/>
      <c r="GH12" s="74"/>
      <c r="GI12" s="74"/>
      <c r="GJ12" s="74"/>
      <c r="GK12" s="77"/>
      <c r="GL12" s="74"/>
      <c r="GM12" s="77"/>
      <c r="GN12" s="74"/>
      <c r="GO12" s="74"/>
      <c r="GP12" s="74"/>
      <c r="GQ12" s="74"/>
      <c r="GR12" s="74"/>
      <c r="GS12" s="79">
        <f t="shared" si="23"/>
        <v>38.22</v>
      </c>
      <c r="GT12" s="74"/>
      <c r="GU12" s="74"/>
      <c r="GV12" s="74"/>
      <c r="GW12" s="78">
        <v>1.5</v>
      </c>
      <c r="GX12" s="77">
        <v>2.4</v>
      </c>
      <c r="GY12" s="77"/>
      <c r="GZ12" s="74"/>
      <c r="HA12" s="77"/>
      <c r="HB12" s="74"/>
      <c r="HC12" s="77"/>
      <c r="HD12" s="74"/>
      <c r="HE12" s="77"/>
      <c r="HF12" s="74"/>
      <c r="HG12" s="74"/>
      <c r="HH12" s="74"/>
      <c r="HI12" s="74"/>
      <c r="HJ12" s="74"/>
      <c r="HK12" s="74"/>
      <c r="HL12" s="74"/>
      <c r="HM12" s="77"/>
      <c r="HN12" s="74"/>
      <c r="HO12" s="77"/>
      <c r="HP12" s="74"/>
      <c r="HQ12" s="74"/>
      <c r="HR12" s="74"/>
      <c r="HS12" s="74"/>
      <c r="HT12" s="74"/>
      <c r="HU12" s="79">
        <f t="shared" si="24"/>
        <v>74.490000000000009</v>
      </c>
      <c r="HV12" s="80">
        <f t="shared" si="25"/>
        <v>157.17000000000002</v>
      </c>
      <c r="HW12" s="74"/>
      <c r="HX12" s="74"/>
      <c r="HY12" s="74"/>
      <c r="HZ12" s="78">
        <v>1.5</v>
      </c>
      <c r="IA12" s="77">
        <v>2.4</v>
      </c>
      <c r="IB12" s="77"/>
      <c r="IC12" s="74"/>
      <c r="ID12" s="77"/>
      <c r="IE12" s="74"/>
      <c r="IF12" s="77"/>
      <c r="IG12" s="74"/>
      <c r="IH12" s="77"/>
      <c r="II12" s="74"/>
      <c r="IJ12" s="74"/>
      <c r="IK12" s="74"/>
      <c r="IL12" s="74"/>
      <c r="IM12" s="74"/>
      <c r="IN12" s="74"/>
      <c r="IO12" s="74"/>
      <c r="IP12" s="77"/>
      <c r="IQ12" s="74"/>
      <c r="IR12" s="77"/>
      <c r="IS12" s="74"/>
      <c r="IT12" s="74"/>
      <c r="IU12" s="74"/>
      <c r="IV12" s="74"/>
      <c r="IW12" s="74"/>
      <c r="IX12" s="79">
        <f t="shared" si="26"/>
        <v>22.698</v>
      </c>
      <c r="IY12" s="74"/>
      <c r="IZ12" s="74"/>
      <c r="JA12" s="74"/>
      <c r="JB12" s="78">
        <v>1.5</v>
      </c>
      <c r="JC12" s="77">
        <v>2.4</v>
      </c>
      <c r="JD12" s="77"/>
      <c r="JE12" s="74"/>
      <c r="JF12" s="77"/>
      <c r="JG12" s="74"/>
      <c r="JH12" s="77"/>
      <c r="JI12" s="74"/>
      <c r="JJ12" s="77"/>
      <c r="JK12" s="74"/>
      <c r="JL12" s="74"/>
      <c r="JM12" s="74"/>
      <c r="JN12" s="74"/>
      <c r="JO12" s="74"/>
      <c r="JP12" s="74"/>
      <c r="JQ12" s="74"/>
      <c r="JR12" s="77"/>
      <c r="JS12" s="74"/>
      <c r="JT12" s="77"/>
      <c r="JU12" s="74"/>
      <c r="JV12" s="74"/>
      <c r="JW12" s="74"/>
      <c r="JX12" s="74"/>
      <c r="JY12" s="74"/>
      <c r="JZ12" s="79">
        <f t="shared" si="27"/>
        <v>57.251999999999995</v>
      </c>
      <c r="KA12" s="74"/>
      <c r="KB12" s="74"/>
      <c r="KC12" s="74"/>
      <c r="KD12" s="78">
        <v>1.5</v>
      </c>
      <c r="KE12" s="77">
        <v>2.4</v>
      </c>
      <c r="KF12" s="77"/>
      <c r="KG12" s="74"/>
      <c r="KH12" s="77"/>
      <c r="KI12" s="74"/>
      <c r="KJ12" s="77"/>
      <c r="KK12" s="74"/>
      <c r="KL12" s="77"/>
      <c r="KM12" s="74"/>
      <c r="KN12" s="74"/>
      <c r="KO12" s="74"/>
      <c r="KP12" s="74"/>
      <c r="KQ12" s="74"/>
      <c r="KR12" s="74"/>
      <c r="KS12" s="74"/>
      <c r="KT12" s="77"/>
      <c r="KU12" s="74"/>
      <c r="KV12" s="77"/>
      <c r="KW12" s="74"/>
      <c r="KX12" s="74"/>
      <c r="KY12" s="74"/>
      <c r="KZ12" s="74"/>
      <c r="LA12" s="74"/>
      <c r="LB12" s="79">
        <f t="shared" si="28"/>
        <v>24.491999999999997</v>
      </c>
      <c r="LC12" s="80">
        <f t="shared" si="29"/>
        <v>104.44199999999998</v>
      </c>
      <c r="LD12" s="74"/>
      <c r="LE12" s="74"/>
      <c r="LF12" s="74"/>
      <c r="LG12" s="78">
        <v>1.5</v>
      </c>
      <c r="LH12" s="77">
        <v>2.4</v>
      </c>
      <c r="LI12" s="77"/>
      <c r="LJ12" s="74"/>
      <c r="LK12" s="77"/>
      <c r="LL12" s="74"/>
      <c r="LM12" s="77"/>
      <c r="LN12" s="74"/>
      <c r="LO12" s="77"/>
      <c r="LP12" s="74"/>
      <c r="LQ12" s="74"/>
      <c r="LR12" s="74"/>
      <c r="LS12" s="74"/>
      <c r="LT12" s="74"/>
      <c r="LU12" s="74"/>
      <c r="LV12" s="74"/>
      <c r="LW12" s="77"/>
      <c r="LX12" s="74"/>
      <c r="LY12" s="77"/>
      <c r="LZ12" s="74"/>
      <c r="MA12" s="74"/>
      <c r="MB12" s="74"/>
      <c r="MC12" s="74"/>
      <c r="MD12" s="74"/>
      <c r="ME12" s="79">
        <f t="shared" si="30"/>
        <v>107.75700000000001</v>
      </c>
      <c r="MF12" s="74"/>
      <c r="MG12" s="74"/>
      <c r="MH12" s="74"/>
      <c r="MI12" s="78">
        <v>1.5</v>
      </c>
      <c r="MJ12" s="77">
        <v>2.4</v>
      </c>
      <c r="MK12" s="77"/>
      <c r="ML12" s="74"/>
      <c r="MM12" s="77"/>
      <c r="MN12" s="74"/>
      <c r="MO12" s="77"/>
      <c r="MP12" s="74"/>
      <c r="MQ12" s="77"/>
      <c r="MR12" s="74"/>
      <c r="MS12" s="74"/>
      <c r="MT12" s="74"/>
      <c r="MU12" s="74"/>
      <c r="MV12" s="74"/>
      <c r="MW12" s="74"/>
      <c r="MX12" s="74"/>
      <c r="MY12" s="77"/>
      <c r="MZ12" s="74"/>
      <c r="NA12" s="77"/>
      <c r="NB12" s="74"/>
      <c r="NC12" s="74"/>
      <c r="ND12" s="74"/>
      <c r="NE12" s="74"/>
      <c r="NF12" s="74"/>
      <c r="NG12" s="79">
        <f t="shared" si="31"/>
        <v>215.20199999999997</v>
      </c>
      <c r="NH12" s="74"/>
      <c r="NI12" s="74"/>
      <c r="NJ12" s="74"/>
      <c r="NK12" s="78">
        <v>1.5</v>
      </c>
      <c r="NL12" s="77">
        <v>2.4</v>
      </c>
      <c r="NM12" s="77"/>
      <c r="NN12" s="74"/>
      <c r="NO12" s="77"/>
      <c r="NP12" s="74"/>
      <c r="NQ12" s="77"/>
      <c r="NR12" s="74"/>
      <c r="NS12" s="77"/>
      <c r="NT12" s="74"/>
      <c r="NU12" s="74"/>
      <c r="NV12" s="74"/>
      <c r="NW12" s="74"/>
      <c r="NX12" s="74"/>
      <c r="NY12" s="74"/>
      <c r="NZ12" s="74"/>
      <c r="OA12" s="77"/>
      <c r="OB12" s="74"/>
      <c r="OC12" s="77"/>
      <c r="OD12" s="74"/>
      <c r="OE12" s="74"/>
      <c r="OF12" s="74"/>
      <c r="OG12" s="74"/>
      <c r="OH12" s="74"/>
      <c r="OI12" s="79">
        <f t="shared" si="32"/>
        <v>202.87799999999999</v>
      </c>
      <c r="OJ12" s="74"/>
      <c r="OK12" s="74"/>
      <c r="OL12" s="74"/>
      <c r="OM12" s="78">
        <v>1.5</v>
      </c>
      <c r="ON12" s="77">
        <v>2.4</v>
      </c>
      <c r="OO12" s="77"/>
      <c r="OP12" s="74"/>
      <c r="OQ12" s="77"/>
      <c r="OR12" s="74"/>
      <c r="OS12" s="77"/>
      <c r="OT12" s="74"/>
      <c r="OU12" s="77"/>
      <c r="OV12" s="74"/>
      <c r="OW12" s="74"/>
      <c r="OX12" s="74"/>
      <c r="OY12" s="74"/>
      <c r="OZ12" s="74"/>
      <c r="PA12" s="74"/>
      <c r="PB12" s="74"/>
      <c r="PC12" s="77"/>
      <c r="PD12" s="74"/>
      <c r="PE12" s="77"/>
      <c r="PF12" s="74"/>
      <c r="PG12" s="74"/>
      <c r="PH12" s="74"/>
      <c r="PI12" s="74"/>
      <c r="PJ12" s="74"/>
      <c r="PK12" s="79">
        <f t="shared" si="33"/>
        <v>101.517</v>
      </c>
      <c r="PL12" s="74"/>
      <c r="PM12" s="74"/>
      <c r="PN12" s="74"/>
      <c r="PO12" s="78">
        <v>1.5</v>
      </c>
      <c r="PP12" s="77">
        <v>2.4</v>
      </c>
      <c r="PQ12" s="77"/>
      <c r="PR12" s="74"/>
      <c r="PS12" s="77"/>
      <c r="PT12" s="74"/>
      <c r="PU12" s="77"/>
      <c r="PV12" s="74"/>
      <c r="PW12" s="77"/>
      <c r="PX12" s="74"/>
      <c r="PY12" s="74"/>
      <c r="PZ12" s="74"/>
      <c r="QA12" s="74"/>
      <c r="QB12" s="74"/>
      <c r="QC12" s="74"/>
      <c r="QD12" s="74"/>
      <c r="QE12" s="77"/>
      <c r="QF12" s="74"/>
      <c r="QG12" s="77"/>
      <c r="QH12" s="74"/>
      <c r="QI12" s="74"/>
      <c r="QJ12" s="74"/>
      <c r="QK12" s="74"/>
      <c r="QL12" s="74"/>
      <c r="QM12" s="79">
        <f t="shared" si="34"/>
        <v>121.48499999999999</v>
      </c>
      <c r="QN12" s="74"/>
      <c r="QO12" s="74"/>
      <c r="QP12" s="74"/>
      <c r="QQ12" s="78">
        <v>1.5</v>
      </c>
      <c r="QR12" s="77">
        <v>2.4</v>
      </c>
      <c r="QS12" s="77"/>
      <c r="QT12" s="74"/>
      <c r="QU12" s="77"/>
      <c r="QV12" s="74"/>
      <c r="QW12" s="77"/>
      <c r="QX12" s="74"/>
      <c r="QY12" s="77"/>
      <c r="QZ12" s="74"/>
      <c r="RA12" s="74"/>
      <c r="RB12" s="74"/>
      <c r="RC12" s="74"/>
      <c r="RD12" s="74"/>
      <c r="RE12" s="74"/>
      <c r="RF12" s="74"/>
      <c r="RG12" s="77"/>
      <c r="RH12" s="74"/>
      <c r="RI12" s="77"/>
      <c r="RJ12" s="74"/>
      <c r="RK12" s="74"/>
      <c r="RL12" s="74"/>
      <c r="RM12" s="74"/>
      <c r="RN12" s="74"/>
      <c r="RO12" s="79">
        <f t="shared" si="35"/>
        <v>172.84799999999998</v>
      </c>
      <c r="RP12" s="74"/>
      <c r="RQ12" s="74"/>
      <c r="RR12" s="74"/>
      <c r="RS12" s="78">
        <v>1.5</v>
      </c>
      <c r="RT12" s="77">
        <v>2.4</v>
      </c>
      <c r="RU12" s="77"/>
      <c r="RV12" s="74"/>
      <c r="RW12" s="77"/>
      <c r="RX12" s="74"/>
      <c r="RY12" s="77"/>
      <c r="RZ12" s="74"/>
      <c r="SA12" s="77"/>
      <c r="SB12" s="74"/>
      <c r="SC12" s="74"/>
      <c r="SD12" s="74"/>
      <c r="SE12" s="74"/>
      <c r="SF12" s="74"/>
      <c r="SG12" s="74"/>
      <c r="SH12" s="74"/>
      <c r="SI12" s="77"/>
      <c r="SJ12" s="74"/>
      <c r="SK12" s="77"/>
      <c r="SL12" s="74"/>
      <c r="SM12" s="74"/>
      <c r="SN12" s="74"/>
      <c r="SO12" s="74"/>
      <c r="SP12" s="74"/>
      <c r="SQ12" s="79">
        <f t="shared" si="36"/>
        <v>49.608000000000004</v>
      </c>
      <c r="SR12" s="80">
        <f t="shared" si="37"/>
        <v>971.29500000000007</v>
      </c>
      <c r="SS12" s="16">
        <f t="shared" si="38"/>
        <v>1490.4778200000001</v>
      </c>
      <c r="ST12" s="88">
        <f t="shared" si="39"/>
        <v>579.53434500000003</v>
      </c>
      <c r="SU12" s="88">
        <f t="shared" si="40"/>
        <v>353.63250000000005</v>
      </c>
      <c r="SV12" s="88">
        <f t="shared" si="41"/>
        <v>234.99449999999996</v>
      </c>
      <c r="SW12" s="88">
        <f t="shared" si="42"/>
        <v>1513.399021875</v>
      </c>
      <c r="SX12" s="91">
        <f t="shared" si="43"/>
        <v>635.51831850000008</v>
      </c>
      <c r="SY12" s="16">
        <f t="shared" si="48"/>
        <v>115.90686900000001</v>
      </c>
      <c r="SZ12" s="16">
        <f t="shared" si="49"/>
        <v>139.08824279999999</v>
      </c>
      <c r="TA12" s="16">
        <f t="shared" si="50"/>
        <v>115.90686900000001</v>
      </c>
      <c r="TB12" s="92">
        <f t="shared" si="51"/>
        <v>208.63236420000001</v>
      </c>
      <c r="TC12" s="16">
        <f t="shared" si="52"/>
        <v>70.726500000000016</v>
      </c>
      <c r="TD12" s="16">
        <f t="shared" si="53"/>
        <v>84.871800000000007</v>
      </c>
      <c r="TE12" s="16">
        <f t="shared" si="54"/>
        <v>70.726500000000016</v>
      </c>
      <c r="TF12" s="92">
        <f t="shared" si="55"/>
        <v>127.30770000000001</v>
      </c>
      <c r="TG12" s="16">
        <f t="shared" si="56"/>
        <v>46.998899999999992</v>
      </c>
      <c r="TH12" s="16">
        <f t="shared" si="57"/>
        <v>56.398679999999992</v>
      </c>
      <c r="TI12" s="16">
        <f t="shared" si="58"/>
        <v>46.998899999999992</v>
      </c>
      <c r="TJ12" s="92">
        <f t="shared" si="59"/>
        <v>84.598019999999977</v>
      </c>
      <c r="TK12" s="16">
        <f t="shared" si="60"/>
        <v>302.679804375</v>
      </c>
      <c r="TL12" s="16">
        <f t="shared" si="61"/>
        <v>363.21576525</v>
      </c>
      <c r="TM12" s="16">
        <f t="shared" si="62"/>
        <v>302.679804375</v>
      </c>
      <c r="TN12" s="92">
        <f t="shared" si="63"/>
        <v>544.82364787500001</v>
      </c>
      <c r="TO12" s="16">
        <f t="shared" si="44"/>
        <v>127.10366370000003</v>
      </c>
      <c r="TP12" s="16">
        <f t="shared" si="45"/>
        <v>152.52439644</v>
      </c>
      <c r="TQ12" s="16">
        <f t="shared" si="46"/>
        <v>127.10366370000003</v>
      </c>
      <c r="TR12" s="92">
        <f t="shared" si="47"/>
        <v>228.78659466000002</v>
      </c>
    </row>
    <row r="13" spans="1:538">
      <c r="A13" s="178"/>
      <c r="B13" s="101" t="str">
        <f>+A8</f>
        <v>Foliares</v>
      </c>
      <c r="C13" s="71" t="s">
        <v>201</v>
      </c>
      <c r="D13" s="148">
        <f>+IFERROR(INDEX(Productos[USD],MATCH(C13,Productos[Productos],0)),0)</f>
        <v>0.60499999999999998</v>
      </c>
      <c r="E13" s="74"/>
      <c r="F13" s="74"/>
      <c r="G13" s="74"/>
      <c r="H13" s="78">
        <v>5</v>
      </c>
      <c r="I13" s="77">
        <v>8</v>
      </c>
      <c r="J13" s="77">
        <v>10</v>
      </c>
      <c r="K13" s="74"/>
      <c r="L13" s="77">
        <v>10</v>
      </c>
      <c r="M13" s="74"/>
      <c r="N13" s="77">
        <v>10</v>
      </c>
      <c r="O13" s="74"/>
      <c r="P13" s="77">
        <v>10</v>
      </c>
      <c r="Q13" s="74"/>
      <c r="R13" s="74"/>
      <c r="S13" s="74"/>
      <c r="T13" s="74"/>
      <c r="U13" s="74"/>
      <c r="V13" s="74"/>
      <c r="W13" s="74"/>
      <c r="X13" s="77">
        <v>10</v>
      </c>
      <c r="Y13" s="74"/>
      <c r="Z13" s="77">
        <v>10</v>
      </c>
      <c r="AA13" s="74"/>
      <c r="AB13" s="74"/>
      <c r="AC13" s="74"/>
      <c r="AD13" s="74"/>
      <c r="AE13" s="74"/>
      <c r="AF13" s="79">
        <f t="shared" si="16"/>
        <v>1599.2839999999997</v>
      </c>
      <c r="AG13" s="74"/>
      <c r="AH13" s="74"/>
      <c r="AI13" s="74"/>
      <c r="AJ13" s="78"/>
      <c r="AK13" s="77"/>
      <c r="AL13" s="77"/>
      <c r="AM13" s="74"/>
      <c r="AN13" s="77"/>
      <c r="AO13" s="74"/>
      <c r="AP13" s="77">
        <v>10</v>
      </c>
      <c r="AQ13" s="74"/>
      <c r="AR13" s="77">
        <v>10</v>
      </c>
      <c r="AS13" s="74"/>
      <c r="AT13" s="74"/>
      <c r="AU13" s="74"/>
      <c r="AV13" s="74"/>
      <c r="AW13" s="74"/>
      <c r="AX13" s="74"/>
      <c r="AY13" s="74"/>
      <c r="AZ13" s="77">
        <v>10</v>
      </c>
      <c r="BA13" s="74"/>
      <c r="BB13" s="77">
        <v>10</v>
      </c>
      <c r="BC13" s="74"/>
      <c r="BD13" s="74"/>
      <c r="BE13" s="74"/>
      <c r="BF13" s="74"/>
      <c r="BG13" s="74"/>
      <c r="BH13" s="79">
        <f t="shared" si="17"/>
        <v>633.6</v>
      </c>
      <c r="BI13" s="74"/>
      <c r="BJ13" s="74"/>
      <c r="BK13" s="74"/>
      <c r="BL13" s="78">
        <v>5</v>
      </c>
      <c r="BM13" s="77">
        <v>8</v>
      </c>
      <c r="BN13" s="77">
        <v>10</v>
      </c>
      <c r="BO13" s="74"/>
      <c r="BP13" s="77">
        <v>10</v>
      </c>
      <c r="BQ13" s="74"/>
      <c r="BR13" s="77">
        <v>10</v>
      </c>
      <c r="BS13" s="74"/>
      <c r="BT13" s="77">
        <v>10</v>
      </c>
      <c r="BU13" s="74"/>
      <c r="BV13" s="74"/>
      <c r="BW13" s="74"/>
      <c r="BX13" s="74"/>
      <c r="BY13" s="74"/>
      <c r="BZ13" s="74"/>
      <c r="CA13" s="74"/>
      <c r="CB13" s="77">
        <v>10</v>
      </c>
      <c r="CC13" s="74"/>
      <c r="CD13" s="77">
        <v>10</v>
      </c>
      <c r="CE13" s="74"/>
      <c r="CF13" s="74"/>
      <c r="CG13" s="74"/>
      <c r="CH13" s="74"/>
      <c r="CI13" s="74"/>
      <c r="CJ13" s="79">
        <f t="shared" si="18"/>
        <v>1425.3833999999999</v>
      </c>
      <c r="CK13" s="74"/>
      <c r="CL13" s="74"/>
      <c r="CM13" s="74"/>
      <c r="CN13" s="78">
        <v>5</v>
      </c>
      <c r="CO13" s="77">
        <v>8</v>
      </c>
      <c r="CP13" s="77">
        <v>10</v>
      </c>
      <c r="CQ13" s="74"/>
      <c r="CR13" s="77">
        <v>10</v>
      </c>
      <c r="CS13" s="74"/>
      <c r="CT13" s="77">
        <v>10</v>
      </c>
      <c r="CU13" s="74"/>
      <c r="CV13" s="77">
        <v>10</v>
      </c>
      <c r="CW13" s="74"/>
      <c r="CX13" s="74"/>
      <c r="CY13" s="74"/>
      <c r="CZ13" s="74"/>
      <c r="DA13" s="74"/>
      <c r="DB13" s="74"/>
      <c r="DC13" s="74"/>
      <c r="DD13" s="77">
        <v>10</v>
      </c>
      <c r="DE13" s="74"/>
      <c r="DF13" s="77">
        <v>10</v>
      </c>
      <c r="DG13" s="74"/>
      <c r="DH13" s="74"/>
      <c r="DI13" s="74"/>
      <c r="DJ13" s="74"/>
      <c r="DK13" s="74"/>
      <c r="DL13" s="79">
        <f t="shared" si="19"/>
        <v>421.93999999999994</v>
      </c>
      <c r="DM13" s="74"/>
      <c r="DN13" s="74"/>
      <c r="DO13" s="74"/>
      <c r="DP13" s="78">
        <v>5</v>
      </c>
      <c r="DQ13" s="77">
        <v>8</v>
      </c>
      <c r="DR13" s="77">
        <v>10</v>
      </c>
      <c r="DS13" s="74"/>
      <c r="DT13" s="77">
        <v>10</v>
      </c>
      <c r="DU13" s="74"/>
      <c r="DV13" s="77">
        <v>10</v>
      </c>
      <c r="DW13" s="74"/>
      <c r="DX13" s="77">
        <v>10</v>
      </c>
      <c r="DY13" s="74"/>
      <c r="DZ13" s="74"/>
      <c r="EA13" s="74"/>
      <c r="EB13" s="74"/>
      <c r="EC13" s="74"/>
      <c r="ED13" s="74"/>
      <c r="EE13" s="74"/>
      <c r="EF13" s="77">
        <v>10</v>
      </c>
      <c r="EG13" s="74"/>
      <c r="EH13" s="77">
        <v>10</v>
      </c>
      <c r="EI13" s="74"/>
      <c r="EJ13" s="74"/>
      <c r="EK13" s="74"/>
      <c r="EL13" s="74"/>
      <c r="EM13" s="74"/>
      <c r="EN13" s="79">
        <f t="shared" si="20"/>
        <v>218.27</v>
      </c>
      <c r="EO13" s="80">
        <f t="shared" si="21"/>
        <v>4298.4773999999998</v>
      </c>
      <c r="EP13" s="74"/>
      <c r="EQ13" s="74"/>
      <c r="ER13" s="74"/>
      <c r="ES13" s="78">
        <v>5</v>
      </c>
      <c r="ET13" s="77">
        <v>8</v>
      </c>
      <c r="EU13" s="77">
        <v>10</v>
      </c>
      <c r="EV13" s="74"/>
      <c r="EW13" s="77">
        <v>10</v>
      </c>
      <c r="EX13" s="74"/>
      <c r="EY13" s="77">
        <v>10</v>
      </c>
      <c r="EZ13" s="74"/>
      <c r="FA13" s="77">
        <v>10</v>
      </c>
      <c r="FB13" s="74"/>
      <c r="FC13" s="74"/>
      <c r="FD13" s="74"/>
      <c r="FE13" s="74"/>
      <c r="FF13" s="74"/>
      <c r="FG13" s="74"/>
      <c r="FH13" s="74"/>
      <c r="FI13" s="77">
        <v>10</v>
      </c>
      <c r="FJ13" s="74"/>
      <c r="FK13" s="77">
        <v>10</v>
      </c>
      <c r="FL13" s="74"/>
      <c r="FM13" s="74"/>
      <c r="FN13" s="74"/>
      <c r="FO13" s="74"/>
      <c r="FP13" s="74"/>
      <c r="FQ13" s="79">
        <f t="shared" si="22"/>
        <v>832.2</v>
      </c>
      <c r="FR13" s="74"/>
      <c r="FS13" s="74"/>
      <c r="FT13" s="74"/>
      <c r="FU13" s="78"/>
      <c r="FV13" s="77"/>
      <c r="FW13" s="77"/>
      <c r="FX13" s="74"/>
      <c r="FY13" s="77"/>
      <c r="FZ13" s="74"/>
      <c r="GA13" s="77">
        <v>10</v>
      </c>
      <c r="GB13" s="74"/>
      <c r="GC13" s="77">
        <v>10</v>
      </c>
      <c r="GD13" s="74"/>
      <c r="GE13" s="74"/>
      <c r="GF13" s="74"/>
      <c r="GG13" s="74"/>
      <c r="GH13" s="74"/>
      <c r="GI13" s="74"/>
      <c r="GJ13" s="74"/>
      <c r="GK13" s="77">
        <v>10</v>
      </c>
      <c r="GL13" s="74"/>
      <c r="GM13" s="77">
        <v>10</v>
      </c>
      <c r="GN13" s="74"/>
      <c r="GO13" s="74"/>
      <c r="GP13" s="74"/>
      <c r="GQ13" s="74"/>
      <c r="GR13" s="74"/>
      <c r="GS13" s="79">
        <f t="shared" si="23"/>
        <v>392</v>
      </c>
      <c r="GT13" s="74"/>
      <c r="GU13" s="74"/>
      <c r="GV13" s="74"/>
      <c r="GW13" s="78">
        <v>5</v>
      </c>
      <c r="GX13" s="77">
        <v>8</v>
      </c>
      <c r="GY13" s="77">
        <v>10</v>
      </c>
      <c r="GZ13" s="74"/>
      <c r="HA13" s="77">
        <v>10</v>
      </c>
      <c r="HB13" s="74"/>
      <c r="HC13" s="77">
        <v>10</v>
      </c>
      <c r="HD13" s="74"/>
      <c r="HE13" s="77">
        <v>10</v>
      </c>
      <c r="HF13" s="74"/>
      <c r="HG13" s="74"/>
      <c r="HH13" s="74"/>
      <c r="HI13" s="74"/>
      <c r="HJ13" s="74"/>
      <c r="HK13" s="74"/>
      <c r="HL13" s="74"/>
      <c r="HM13" s="77">
        <v>10</v>
      </c>
      <c r="HN13" s="74"/>
      <c r="HO13" s="77">
        <v>10</v>
      </c>
      <c r="HP13" s="74"/>
      <c r="HQ13" s="74"/>
      <c r="HR13" s="74"/>
      <c r="HS13" s="74"/>
      <c r="HT13" s="74"/>
      <c r="HU13" s="79">
        <f t="shared" si="24"/>
        <v>1394.3000000000002</v>
      </c>
      <c r="HV13" s="80">
        <f t="shared" si="25"/>
        <v>2618.5</v>
      </c>
      <c r="HW13" s="74"/>
      <c r="HX13" s="74"/>
      <c r="HY13" s="74"/>
      <c r="HZ13" s="78">
        <v>5</v>
      </c>
      <c r="IA13" s="77">
        <v>8</v>
      </c>
      <c r="IB13" s="77">
        <v>10</v>
      </c>
      <c r="IC13" s="74"/>
      <c r="ID13" s="77">
        <v>10</v>
      </c>
      <c r="IE13" s="74"/>
      <c r="IF13" s="77">
        <v>10</v>
      </c>
      <c r="IG13" s="74"/>
      <c r="IH13" s="77">
        <v>10</v>
      </c>
      <c r="II13" s="74"/>
      <c r="IJ13" s="74"/>
      <c r="IK13" s="74"/>
      <c r="IL13" s="74"/>
      <c r="IM13" s="74"/>
      <c r="IN13" s="74"/>
      <c r="IO13" s="74"/>
      <c r="IP13" s="77">
        <v>10</v>
      </c>
      <c r="IQ13" s="74"/>
      <c r="IR13" s="77">
        <v>10</v>
      </c>
      <c r="IS13" s="74"/>
      <c r="IT13" s="74"/>
      <c r="IU13" s="74"/>
      <c r="IV13" s="74"/>
      <c r="IW13" s="74"/>
      <c r="IX13" s="79">
        <f t="shared" si="26"/>
        <v>424.86</v>
      </c>
      <c r="IY13" s="74"/>
      <c r="IZ13" s="74"/>
      <c r="JA13" s="74"/>
      <c r="JB13" s="78">
        <v>5</v>
      </c>
      <c r="JC13" s="77">
        <v>8</v>
      </c>
      <c r="JD13" s="77">
        <v>10</v>
      </c>
      <c r="JE13" s="74"/>
      <c r="JF13" s="77">
        <v>10</v>
      </c>
      <c r="JG13" s="74"/>
      <c r="JH13" s="77">
        <v>10</v>
      </c>
      <c r="JI13" s="74"/>
      <c r="JJ13" s="77">
        <v>10</v>
      </c>
      <c r="JK13" s="74"/>
      <c r="JL13" s="74"/>
      <c r="JM13" s="74"/>
      <c r="JN13" s="74"/>
      <c r="JO13" s="74"/>
      <c r="JP13" s="74"/>
      <c r="JQ13" s="74"/>
      <c r="JR13" s="77">
        <v>10</v>
      </c>
      <c r="JS13" s="74"/>
      <c r="JT13" s="77">
        <v>10</v>
      </c>
      <c r="JU13" s="74"/>
      <c r="JV13" s="74"/>
      <c r="JW13" s="74"/>
      <c r="JX13" s="74"/>
      <c r="JY13" s="74"/>
      <c r="JZ13" s="79">
        <f t="shared" si="27"/>
        <v>1071.6399999999999</v>
      </c>
      <c r="KA13" s="74"/>
      <c r="KB13" s="74"/>
      <c r="KC13" s="74"/>
      <c r="KD13" s="78"/>
      <c r="KE13" s="77"/>
      <c r="KF13" s="77"/>
      <c r="KG13" s="74"/>
      <c r="KH13" s="77"/>
      <c r="KI13" s="74"/>
      <c r="KJ13" s="77">
        <v>10</v>
      </c>
      <c r="KK13" s="74"/>
      <c r="KL13" s="77">
        <v>10</v>
      </c>
      <c r="KM13" s="74"/>
      <c r="KN13" s="74"/>
      <c r="KO13" s="74"/>
      <c r="KP13" s="74"/>
      <c r="KQ13" s="74"/>
      <c r="KR13" s="74"/>
      <c r="KS13" s="74"/>
      <c r="KT13" s="77">
        <v>10</v>
      </c>
      <c r="KU13" s="74"/>
      <c r="KV13" s="77">
        <v>10</v>
      </c>
      <c r="KW13" s="74"/>
      <c r="KX13" s="74"/>
      <c r="KY13" s="74"/>
      <c r="KZ13" s="74"/>
      <c r="LA13" s="74"/>
      <c r="LB13" s="79">
        <f t="shared" si="28"/>
        <v>251.2</v>
      </c>
      <c r="LC13" s="80">
        <f t="shared" si="29"/>
        <v>1747.7</v>
      </c>
      <c r="LD13" s="74"/>
      <c r="LE13" s="74"/>
      <c r="LF13" s="74"/>
      <c r="LG13" s="78"/>
      <c r="LH13" s="77"/>
      <c r="LI13" s="77"/>
      <c r="LJ13" s="74"/>
      <c r="LK13" s="77"/>
      <c r="LL13" s="74"/>
      <c r="LM13" s="77">
        <v>10</v>
      </c>
      <c r="LN13" s="74"/>
      <c r="LO13" s="77">
        <v>10</v>
      </c>
      <c r="LP13" s="74"/>
      <c r="LQ13" s="74"/>
      <c r="LR13" s="74"/>
      <c r="LS13" s="74"/>
      <c r="LT13" s="74"/>
      <c r="LU13" s="74"/>
      <c r="LV13" s="74"/>
      <c r="LW13" s="77">
        <v>10</v>
      </c>
      <c r="LX13" s="74"/>
      <c r="LY13" s="77">
        <v>10</v>
      </c>
      <c r="LZ13" s="74"/>
      <c r="MA13" s="74"/>
      <c r="MB13" s="74"/>
      <c r="MC13" s="74"/>
      <c r="MD13" s="74"/>
      <c r="ME13" s="79">
        <f t="shared" si="30"/>
        <v>1105.2</v>
      </c>
      <c r="MF13" s="74"/>
      <c r="MG13" s="74"/>
      <c r="MH13" s="74"/>
      <c r="MI13" s="78"/>
      <c r="MJ13" s="77"/>
      <c r="MK13" s="77"/>
      <c r="ML13" s="74"/>
      <c r="MM13" s="77"/>
      <c r="MN13" s="74"/>
      <c r="MO13" s="77">
        <v>10</v>
      </c>
      <c r="MP13" s="74"/>
      <c r="MQ13" s="77">
        <v>10</v>
      </c>
      <c r="MR13" s="74"/>
      <c r="MS13" s="74"/>
      <c r="MT13" s="74"/>
      <c r="MU13" s="74"/>
      <c r="MV13" s="74"/>
      <c r="MW13" s="74"/>
      <c r="MX13" s="74"/>
      <c r="MY13" s="77">
        <v>10</v>
      </c>
      <c r="MZ13" s="74"/>
      <c r="NA13" s="77">
        <v>10</v>
      </c>
      <c r="NB13" s="74"/>
      <c r="NC13" s="74"/>
      <c r="ND13" s="74"/>
      <c r="NE13" s="74"/>
      <c r="NF13" s="74"/>
      <c r="NG13" s="79">
        <f t="shared" si="31"/>
        <v>2207.1999999999998</v>
      </c>
      <c r="NH13" s="74"/>
      <c r="NI13" s="74"/>
      <c r="NJ13" s="74"/>
      <c r="NK13" s="78">
        <v>5</v>
      </c>
      <c r="NL13" s="77">
        <v>8</v>
      </c>
      <c r="NM13" s="77">
        <v>10</v>
      </c>
      <c r="NN13" s="74"/>
      <c r="NO13" s="77">
        <v>10</v>
      </c>
      <c r="NP13" s="74"/>
      <c r="NQ13" s="77">
        <v>10</v>
      </c>
      <c r="NR13" s="74"/>
      <c r="NS13" s="77">
        <v>10</v>
      </c>
      <c r="NT13" s="74"/>
      <c r="NU13" s="74"/>
      <c r="NV13" s="74"/>
      <c r="NW13" s="74"/>
      <c r="NX13" s="74"/>
      <c r="NY13" s="74"/>
      <c r="NZ13" s="74"/>
      <c r="OA13" s="77">
        <v>10</v>
      </c>
      <c r="OB13" s="74"/>
      <c r="OC13" s="77">
        <v>10</v>
      </c>
      <c r="OD13" s="74"/>
      <c r="OE13" s="74"/>
      <c r="OF13" s="74"/>
      <c r="OG13" s="74"/>
      <c r="OH13" s="74"/>
      <c r="OI13" s="79">
        <f t="shared" si="32"/>
        <v>3797.4599999999996</v>
      </c>
      <c r="OJ13" s="74"/>
      <c r="OK13" s="74"/>
      <c r="OL13" s="74"/>
      <c r="OM13" s="78">
        <v>5</v>
      </c>
      <c r="ON13" s="77">
        <v>8</v>
      </c>
      <c r="OO13" s="77">
        <v>10</v>
      </c>
      <c r="OP13" s="74"/>
      <c r="OQ13" s="77">
        <v>10</v>
      </c>
      <c r="OR13" s="74"/>
      <c r="OS13" s="77">
        <v>10</v>
      </c>
      <c r="OT13" s="74"/>
      <c r="OU13" s="77">
        <v>10</v>
      </c>
      <c r="OV13" s="74"/>
      <c r="OW13" s="74"/>
      <c r="OX13" s="74"/>
      <c r="OY13" s="74"/>
      <c r="OZ13" s="74"/>
      <c r="PA13" s="74"/>
      <c r="PB13" s="74"/>
      <c r="PC13" s="77">
        <v>10</v>
      </c>
      <c r="PD13" s="74"/>
      <c r="PE13" s="77">
        <v>10</v>
      </c>
      <c r="PF13" s="74"/>
      <c r="PG13" s="74"/>
      <c r="PH13" s="74"/>
      <c r="PI13" s="74"/>
      <c r="PJ13" s="74"/>
      <c r="PK13" s="79">
        <f t="shared" si="33"/>
        <v>1900.19</v>
      </c>
      <c r="PL13" s="74"/>
      <c r="PM13" s="74"/>
      <c r="PN13" s="74"/>
      <c r="PO13" s="78">
        <v>5</v>
      </c>
      <c r="PP13" s="77">
        <v>8</v>
      </c>
      <c r="PQ13" s="77">
        <v>10</v>
      </c>
      <c r="PR13" s="74"/>
      <c r="PS13" s="77">
        <v>10</v>
      </c>
      <c r="PT13" s="74"/>
      <c r="PU13" s="77">
        <v>10</v>
      </c>
      <c r="PV13" s="74"/>
      <c r="PW13" s="77">
        <v>10</v>
      </c>
      <c r="PX13" s="74"/>
      <c r="PY13" s="74"/>
      <c r="PZ13" s="74"/>
      <c r="QA13" s="74"/>
      <c r="QB13" s="74"/>
      <c r="QC13" s="74"/>
      <c r="QD13" s="74"/>
      <c r="QE13" s="77">
        <v>10</v>
      </c>
      <c r="QF13" s="74"/>
      <c r="QG13" s="77">
        <v>10</v>
      </c>
      <c r="QH13" s="74"/>
      <c r="QI13" s="74"/>
      <c r="QJ13" s="74"/>
      <c r="QK13" s="74"/>
      <c r="QL13" s="74"/>
      <c r="QM13" s="79">
        <f t="shared" si="34"/>
        <v>2273.9499999999998</v>
      </c>
      <c r="QN13" s="74"/>
      <c r="QO13" s="74"/>
      <c r="QP13" s="74"/>
      <c r="QQ13" s="78"/>
      <c r="QR13" s="77"/>
      <c r="QS13" s="77"/>
      <c r="QT13" s="74"/>
      <c r="QU13" s="77"/>
      <c r="QV13" s="74"/>
      <c r="QW13" s="77">
        <v>10</v>
      </c>
      <c r="QX13" s="74"/>
      <c r="QY13" s="77">
        <v>10</v>
      </c>
      <c r="QZ13" s="74"/>
      <c r="RA13" s="74"/>
      <c r="RB13" s="74"/>
      <c r="RC13" s="74"/>
      <c r="RD13" s="74"/>
      <c r="RE13" s="74"/>
      <c r="RF13" s="74"/>
      <c r="RG13" s="77">
        <v>10</v>
      </c>
      <c r="RH13" s="74"/>
      <c r="RI13" s="77">
        <v>10</v>
      </c>
      <c r="RJ13" s="74"/>
      <c r="RK13" s="74"/>
      <c r="RL13" s="74"/>
      <c r="RM13" s="74"/>
      <c r="RN13" s="74"/>
      <c r="RO13" s="79">
        <f t="shared" si="35"/>
        <v>1772.8</v>
      </c>
      <c r="RP13" s="74"/>
      <c r="RQ13" s="74"/>
      <c r="RR13" s="74"/>
      <c r="RS13" s="78"/>
      <c r="RT13" s="77"/>
      <c r="RU13" s="77"/>
      <c r="RV13" s="74"/>
      <c r="RW13" s="77"/>
      <c r="RX13" s="74"/>
      <c r="RY13" s="77">
        <v>10</v>
      </c>
      <c r="RZ13" s="74"/>
      <c r="SA13" s="77">
        <v>10</v>
      </c>
      <c r="SB13" s="74"/>
      <c r="SC13" s="74"/>
      <c r="SD13" s="74"/>
      <c r="SE13" s="74"/>
      <c r="SF13" s="74"/>
      <c r="SG13" s="74"/>
      <c r="SH13" s="74"/>
      <c r="SI13" s="77">
        <v>10</v>
      </c>
      <c r="SJ13" s="74"/>
      <c r="SK13" s="77">
        <v>10</v>
      </c>
      <c r="SL13" s="74"/>
      <c r="SM13" s="74"/>
      <c r="SN13" s="74"/>
      <c r="SO13" s="74"/>
      <c r="SP13" s="74"/>
      <c r="SQ13" s="79">
        <f t="shared" si="36"/>
        <v>508.8</v>
      </c>
      <c r="SR13" s="80">
        <f t="shared" si="37"/>
        <v>13565.599999999999</v>
      </c>
      <c r="SS13" s="16">
        <f t="shared" si="38"/>
        <v>22230.277399999999</v>
      </c>
      <c r="ST13" s="88">
        <f t="shared" si="39"/>
        <v>2600.5788269999998</v>
      </c>
      <c r="SU13" s="88">
        <f t="shared" si="40"/>
        <v>1584.1924999999999</v>
      </c>
      <c r="SV13" s="88">
        <f t="shared" si="41"/>
        <v>1057.3585</v>
      </c>
      <c r="SW13" s="88">
        <f t="shared" si="42"/>
        <v>5683.4776899999988</v>
      </c>
      <c r="SX13" s="91">
        <f t="shared" si="43"/>
        <v>2386.6502703999995</v>
      </c>
      <c r="SY13" s="16">
        <f t="shared" si="48"/>
        <v>520.11576539999999</v>
      </c>
      <c r="SZ13" s="16">
        <f t="shared" si="49"/>
        <v>624.13891847999992</v>
      </c>
      <c r="TA13" s="16">
        <f t="shared" si="50"/>
        <v>520.11576539999999</v>
      </c>
      <c r="TB13" s="92">
        <f t="shared" si="51"/>
        <v>936.20837771999993</v>
      </c>
      <c r="TC13" s="16">
        <f t="shared" si="52"/>
        <v>316.83850000000001</v>
      </c>
      <c r="TD13" s="16">
        <f t="shared" si="53"/>
        <v>380.20619999999997</v>
      </c>
      <c r="TE13" s="16">
        <f t="shared" si="54"/>
        <v>316.83850000000001</v>
      </c>
      <c r="TF13" s="92">
        <f t="shared" si="55"/>
        <v>570.30929999999989</v>
      </c>
      <c r="TG13" s="16">
        <f t="shared" si="56"/>
        <v>211.47170000000003</v>
      </c>
      <c r="TH13" s="16">
        <f t="shared" si="57"/>
        <v>253.76604</v>
      </c>
      <c r="TI13" s="16">
        <f t="shared" si="58"/>
        <v>211.47170000000003</v>
      </c>
      <c r="TJ13" s="92">
        <f t="shared" si="59"/>
        <v>380.64906000000002</v>
      </c>
      <c r="TK13" s="16">
        <f t="shared" si="60"/>
        <v>1136.6955379999997</v>
      </c>
      <c r="TL13" s="16">
        <f t="shared" si="61"/>
        <v>1364.0346455999997</v>
      </c>
      <c r="TM13" s="16">
        <f t="shared" si="62"/>
        <v>1136.6955379999997</v>
      </c>
      <c r="TN13" s="92">
        <f t="shared" si="63"/>
        <v>2046.0519683999994</v>
      </c>
      <c r="TO13" s="16">
        <f t="shared" si="44"/>
        <v>477.33005407999991</v>
      </c>
      <c r="TP13" s="16">
        <f t="shared" si="45"/>
        <v>572.79606489599985</v>
      </c>
      <c r="TQ13" s="16">
        <f t="shared" si="46"/>
        <v>477.33005407999991</v>
      </c>
      <c r="TR13" s="92">
        <f t="shared" si="47"/>
        <v>859.19409734399983</v>
      </c>
    </row>
    <row r="14" spans="1:538">
      <c r="A14" s="178" t="s">
        <v>203</v>
      </c>
      <c r="B14" s="101" t="str">
        <f>+A14</f>
        <v>Fungicidas</v>
      </c>
      <c r="C14" s="71" t="s">
        <v>294</v>
      </c>
      <c r="D14" s="87">
        <f>+IFERROR(INDEX(Productos[USD],MATCH(C14,Productos[Productos],0)),0)</f>
        <v>2.8</v>
      </c>
      <c r="E14" s="74"/>
      <c r="F14" s="74"/>
      <c r="G14" s="74"/>
      <c r="H14" s="78">
        <v>1.5</v>
      </c>
      <c r="I14" s="77">
        <v>2.4</v>
      </c>
      <c r="J14" s="77">
        <v>3</v>
      </c>
      <c r="K14" s="74"/>
      <c r="L14" s="77">
        <v>3</v>
      </c>
      <c r="M14" s="74"/>
      <c r="N14" s="77">
        <v>3</v>
      </c>
      <c r="O14" s="74"/>
      <c r="P14" s="77">
        <v>3</v>
      </c>
      <c r="Q14" s="74"/>
      <c r="R14" s="74"/>
      <c r="S14" s="74"/>
      <c r="T14" s="74"/>
      <c r="U14" s="74"/>
      <c r="V14" s="74"/>
      <c r="W14" s="74"/>
      <c r="X14" s="77">
        <v>3</v>
      </c>
      <c r="Y14" s="74"/>
      <c r="Z14" s="77">
        <v>3</v>
      </c>
      <c r="AA14" s="74"/>
      <c r="AB14" s="74"/>
      <c r="AC14" s="74"/>
      <c r="AD14" s="74"/>
      <c r="AE14" s="74"/>
      <c r="AF14" s="79">
        <f t="shared" si="16"/>
        <v>479.78519999999986</v>
      </c>
      <c r="AG14" s="74"/>
      <c r="AH14" s="74"/>
      <c r="AI14" s="74"/>
      <c r="AJ14" s="78">
        <v>1.5</v>
      </c>
      <c r="AK14" s="77">
        <v>2.4</v>
      </c>
      <c r="AL14" s="77">
        <v>3</v>
      </c>
      <c r="AM14" s="74"/>
      <c r="AN14" s="77">
        <v>3</v>
      </c>
      <c r="AO14" s="74"/>
      <c r="AP14" s="77">
        <v>3</v>
      </c>
      <c r="AQ14" s="74"/>
      <c r="AR14" s="77">
        <v>3</v>
      </c>
      <c r="AS14" s="74"/>
      <c r="AT14" s="74"/>
      <c r="AU14" s="74"/>
      <c r="AV14" s="74"/>
      <c r="AW14" s="74"/>
      <c r="AX14" s="74"/>
      <c r="AY14" s="74"/>
      <c r="AZ14" s="77">
        <v>3</v>
      </c>
      <c r="BA14" s="74"/>
      <c r="BB14" s="77">
        <v>3</v>
      </c>
      <c r="BC14" s="74"/>
      <c r="BD14" s="74"/>
      <c r="BE14" s="74"/>
      <c r="BF14" s="74"/>
      <c r="BG14" s="74"/>
      <c r="BH14" s="79">
        <f t="shared" si="17"/>
        <v>346.89600000000002</v>
      </c>
      <c r="BI14" s="74"/>
      <c r="BJ14" s="74"/>
      <c r="BK14" s="74"/>
      <c r="BL14" s="78">
        <v>1.5</v>
      </c>
      <c r="BM14" s="77">
        <v>2.4</v>
      </c>
      <c r="BN14" s="77">
        <v>3</v>
      </c>
      <c r="BO14" s="74"/>
      <c r="BP14" s="77">
        <v>3</v>
      </c>
      <c r="BQ14" s="74"/>
      <c r="BR14" s="77">
        <v>3</v>
      </c>
      <c r="BS14" s="74"/>
      <c r="BT14" s="77">
        <v>3</v>
      </c>
      <c r="BU14" s="74"/>
      <c r="BV14" s="74"/>
      <c r="BW14" s="74"/>
      <c r="BX14" s="74"/>
      <c r="BY14" s="74"/>
      <c r="BZ14" s="74"/>
      <c r="CA14" s="74"/>
      <c r="CB14" s="77">
        <v>3</v>
      </c>
      <c r="CC14" s="74"/>
      <c r="CD14" s="77">
        <v>3</v>
      </c>
      <c r="CE14" s="74"/>
      <c r="CF14" s="74"/>
      <c r="CG14" s="74"/>
      <c r="CH14" s="74"/>
      <c r="CI14" s="74"/>
      <c r="CJ14" s="79">
        <f t="shared" si="18"/>
        <v>427.61501999999996</v>
      </c>
      <c r="CK14" s="74"/>
      <c r="CL14" s="74"/>
      <c r="CM14" s="74"/>
      <c r="CN14" s="78">
        <v>1.5</v>
      </c>
      <c r="CO14" s="77">
        <v>2.4</v>
      </c>
      <c r="CP14" s="77">
        <v>3</v>
      </c>
      <c r="CQ14" s="74"/>
      <c r="CR14" s="77">
        <v>3</v>
      </c>
      <c r="CS14" s="74"/>
      <c r="CT14" s="77">
        <v>3</v>
      </c>
      <c r="CU14" s="74"/>
      <c r="CV14" s="77">
        <v>3</v>
      </c>
      <c r="CW14" s="74"/>
      <c r="CX14" s="74"/>
      <c r="CY14" s="74"/>
      <c r="CZ14" s="74"/>
      <c r="DA14" s="74"/>
      <c r="DB14" s="74"/>
      <c r="DC14" s="74"/>
      <c r="DD14" s="77">
        <v>3</v>
      </c>
      <c r="DE14" s="74"/>
      <c r="DF14" s="77">
        <v>3</v>
      </c>
      <c r="DG14" s="74"/>
      <c r="DH14" s="74"/>
      <c r="DI14" s="74"/>
      <c r="DJ14" s="74"/>
      <c r="DK14" s="74"/>
      <c r="DL14" s="79">
        <f t="shared" si="19"/>
        <v>126.58199999999998</v>
      </c>
      <c r="DM14" s="74"/>
      <c r="DN14" s="74"/>
      <c r="DO14" s="74"/>
      <c r="DP14" s="78">
        <v>1.5</v>
      </c>
      <c r="DQ14" s="77">
        <v>2.4</v>
      </c>
      <c r="DR14" s="77">
        <v>3</v>
      </c>
      <c r="DS14" s="74"/>
      <c r="DT14" s="77">
        <v>3</v>
      </c>
      <c r="DU14" s="74"/>
      <c r="DV14" s="77">
        <v>3</v>
      </c>
      <c r="DW14" s="74"/>
      <c r="DX14" s="77">
        <v>3</v>
      </c>
      <c r="DY14" s="74"/>
      <c r="DZ14" s="74"/>
      <c r="EA14" s="74"/>
      <c r="EB14" s="74"/>
      <c r="EC14" s="74"/>
      <c r="ED14" s="74"/>
      <c r="EE14" s="74"/>
      <c r="EF14" s="77">
        <v>3</v>
      </c>
      <c r="EG14" s="74"/>
      <c r="EH14" s="77">
        <v>3</v>
      </c>
      <c r="EI14" s="74"/>
      <c r="EJ14" s="74"/>
      <c r="EK14" s="74"/>
      <c r="EL14" s="74"/>
      <c r="EM14" s="74"/>
      <c r="EN14" s="79">
        <f t="shared" si="20"/>
        <v>65.480999999999995</v>
      </c>
      <c r="EO14" s="80">
        <f t="shared" si="21"/>
        <v>1446.3592199999996</v>
      </c>
      <c r="EP14" s="74"/>
      <c r="EQ14" s="74"/>
      <c r="ER14" s="74"/>
      <c r="ES14" s="78">
        <v>1.5</v>
      </c>
      <c r="ET14" s="77">
        <v>2.4</v>
      </c>
      <c r="EU14" s="77">
        <v>3</v>
      </c>
      <c r="EV14" s="74"/>
      <c r="EW14" s="77">
        <v>3</v>
      </c>
      <c r="EX14" s="74"/>
      <c r="EY14" s="77">
        <v>3</v>
      </c>
      <c r="EZ14" s="74"/>
      <c r="FA14" s="77">
        <v>3</v>
      </c>
      <c r="FB14" s="74"/>
      <c r="FC14" s="74"/>
      <c r="FD14" s="74"/>
      <c r="FE14" s="74"/>
      <c r="FF14" s="74"/>
      <c r="FG14" s="74"/>
      <c r="FH14" s="74"/>
      <c r="FI14" s="77">
        <v>3</v>
      </c>
      <c r="FJ14" s="74"/>
      <c r="FK14" s="77">
        <v>3</v>
      </c>
      <c r="FL14" s="74"/>
      <c r="FM14" s="74"/>
      <c r="FN14" s="74"/>
      <c r="FO14" s="74"/>
      <c r="FP14" s="74"/>
      <c r="FQ14" s="79">
        <f t="shared" si="22"/>
        <v>249.66</v>
      </c>
      <c r="FR14" s="74"/>
      <c r="FS14" s="74"/>
      <c r="FT14" s="74"/>
      <c r="FU14" s="78">
        <v>1.5</v>
      </c>
      <c r="FV14" s="77">
        <v>2.4</v>
      </c>
      <c r="FW14" s="77">
        <v>3</v>
      </c>
      <c r="FX14" s="74"/>
      <c r="FY14" s="77">
        <v>3</v>
      </c>
      <c r="FZ14" s="74"/>
      <c r="GA14" s="77">
        <v>3</v>
      </c>
      <c r="GB14" s="74"/>
      <c r="GC14" s="77">
        <v>3</v>
      </c>
      <c r="GD14" s="74"/>
      <c r="GE14" s="74"/>
      <c r="GF14" s="74"/>
      <c r="GG14" s="74"/>
      <c r="GH14" s="74"/>
      <c r="GI14" s="74"/>
      <c r="GJ14" s="74"/>
      <c r="GK14" s="77">
        <v>3</v>
      </c>
      <c r="GL14" s="74"/>
      <c r="GM14" s="77">
        <v>3</v>
      </c>
      <c r="GN14" s="74"/>
      <c r="GO14" s="74"/>
      <c r="GP14" s="74"/>
      <c r="GQ14" s="74"/>
      <c r="GR14" s="74"/>
      <c r="GS14" s="79">
        <f t="shared" si="23"/>
        <v>214.62</v>
      </c>
      <c r="GT14" s="74"/>
      <c r="GU14" s="74"/>
      <c r="GV14" s="74"/>
      <c r="GW14" s="78">
        <v>1.5</v>
      </c>
      <c r="GX14" s="77">
        <v>2.4</v>
      </c>
      <c r="GY14" s="77">
        <v>3</v>
      </c>
      <c r="GZ14" s="74"/>
      <c r="HA14" s="77">
        <v>3</v>
      </c>
      <c r="HB14" s="74"/>
      <c r="HC14" s="77">
        <v>3</v>
      </c>
      <c r="HD14" s="74"/>
      <c r="HE14" s="77">
        <v>3</v>
      </c>
      <c r="HF14" s="74"/>
      <c r="HG14" s="74"/>
      <c r="HH14" s="74"/>
      <c r="HI14" s="74"/>
      <c r="HJ14" s="74"/>
      <c r="HK14" s="74"/>
      <c r="HL14" s="74"/>
      <c r="HM14" s="77">
        <v>3</v>
      </c>
      <c r="HN14" s="74"/>
      <c r="HO14" s="77">
        <v>3</v>
      </c>
      <c r="HP14" s="74"/>
      <c r="HQ14" s="74"/>
      <c r="HR14" s="74"/>
      <c r="HS14" s="74"/>
      <c r="HT14" s="74"/>
      <c r="HU14" s="79">
        <f t="shared" si="24"/>
        <v>418.29</v>
      </c>
      <c r="HV14" s="80">
        <f t="shared" si="25"/>
        <v>882.56999999999994</v>
      </c>
      <c r="HW14" s="74"/>
      <c r="HX14" s="74"/>
      <c r="HY14" s="74"/>
      <c r="HZ14" s="78">
        <v>1.5</v>
      </c>
      <c r="IA14" s="77">
        <v>2.4</v>
      </c>
      <c r="IB14" s="77">
        <v>3</v>
      </c>
      <c r="IC14" s="74"/>
      <c r="ID14" s="77">
        <v>3</v>
      </c>
      <c r="IE14" s="74"/>
      <c r="IF14" s="77">
        <v>3</v>
      </c>
      <c r="IG14" s="74"/>
      <c r="IH14" s="77">
        <v>3</v>
      </c>
      <c r="II14" s="74"/>
      <c r="IJ14" s="74"/>
      <c r="IK14" s="74"/>
      <c r="IL14" s="74"/>
      <c r="IM14" s="74"/>
      <c r="IN14" s="74"/>
      <c r="IO14" s="74"/>
      <c r="IP14" s="77">
        <v>3</v>
      </c>
      <c r="IQ14" s="74"/>
      <c r="IR14" s="77">
        <v>3</v>
      </c>
      <c r="IS14" s="74"/>
      <c r="IT14" s="74"/>
      <c r="IU14" s="74"/>
      <c r="IV14" s="74"/>
      <c r="IW14" s="74"/>
      <c r="IX14" s="79">
        <f t="shared" si="26"/>
        <v>127.458</v>
      </c>
      <c r="IY14" s="74"/>
      <c r="IZ14" s="74"/>
      <c r="JA14" s="74"/>
      <c r="JB14" s="78">
        <v>1.5</v>
      </c>
      <c r="JC14" s="77">
        <v>2.4</v>
      </c>
      <c r="JD14" s="77">
        <v>3</v>
      </c>
      <c r="JE14" s="74"/>
      <c r="JF14" s="77">
        <v>3</v>
      </c>
      <c r="JG14" s="74"/>
      <c r="JH14" s="77">
        <v>3</v>
      </c>
      <c r="JI14" s="74"/>
      <c r="JJ14" s="77">
        <v>3</v>
      </c>
      <c r="JK14" s="74"/>
      <c r="JL14" s="74"/>
      <c r="JM14" s="74"/>
      <c r="JN14" s="74"/>
      <c r="JO14" s="74"/>
      <c r="JP14" s="74"/>
      <c r="JQ14" s="74"/>
      <c r="JR14" s="77">
        <v>3</v>
      </c>
      <c r="JS14" s="74"/>
      <c r="JT14" s="77">
        <v>3</v>
      </c>
      <c r="JU14" s="74"/>
      <c r="JV14" s="74"/>
      <c r="JW14" s="74"/>
      <c r="JX14" s="74"/>
      <c r="JY14" s="74"/>
      <c r="JZ14" s="79">
        <f t="shared" si="27"/>
        <v>321.49199999999996</v>
      </c>
      <c r="KA14" s="74"/>
      <c r="KB14" s="74"/>
      <c r="KC14" s="74"/>
      <c r="KD14" s="78">
        <v>1.5</v>
      </c>
      <c r="KE14" s="77">
        <v>2.4</v>
      </c>
      <c r="KF14" s="77">
        <v>3</v>
      </c>
      <c r="KG14" s="74"/>
      <c r="KH14" s="77">
        <v>3</v>
      </c>
      <c r="KI14" s="74"/>
      <c r="KJ14" s="77">
        <v>3</v>
      </c>
      <c r="KK14" s="74"/>
      <c r="KL14" s="77">
        <v>3</v>
      </c>
      <c r="KM14" s="74"/>
      <c r="KN14" s="74"/>
      <c r="KO14" s="74"/>
      <c r="KP14" s="74"/>
      <c r="KQ14" s="74"/>
      <c r="KR14" s="74"/>
      <c r="KS14" s="74"/>
      <c r="KT14" s="77">
        <v>3</v>
      </c>
      <c r="KU14" s="74"/>
      <c r="KV14" s="77">
        <v>3</v>
      </c>
      <c r="KW14" s="74"/>
      <c r="KX14" s="74"/>
      <c r="KY14" s="74"/>
      <c r="KZ14" s="74"/>
      <c r="LA14" s="74"/>
      <c r="LB14" s="79">
        <f t="shared" si="28"/>
        <v>137.53199999999998</v>
      </c>
      <c r="LC14" s="80">
        <f t="shared" si="29"/>
        <v>586.48199999999997</v>
      </c>
      <c r="LD14" s="74"/>
      <c r="LE14" s="74"/>
      <c r="LF14" s="74"/>
      <c r="LG14" s="78">
        <v>1.5</v>
      </c>
      <c r="LH14" s="77">
        <v>2.4</v>
      </c>
      <c r="LI14" s="77">
        <v>3</v>
      </c>
      <c r="LJ14" s="74"/>
      <c r="LK14" s="77">
        <v>3</v>
      </c>
      <c r="LL14" s="74"/>
      <c r="LM14" s="77">
        <v>3</v>
      </c>
      <c r="LN14" s="74"/>
      <c r="LO14" s="77">
        <v>3</v>
      </c>
      <c r="LP14" s="74"/>
      <c r="LQ14" s="74"/>
      <c r="LR14" s="74"/>
      <c r="LS14" s="74"/>
      <c r="LT14" s="74"/>
      <c r="LU14" s="74"/>
      <c r="LV14" s="74"/>
      <c r="LW14" s="77">
        <v>3</v>
      </c>
      <c r="LX14" s="74"/>
      <c r="LY14" s="77">
        <v>3</v>
      </c>
      <c r="LZ14" s="74"/>
      <c r="MA14" s="74"/>
      <c r="MB14" s="74"/>
      <c r="MC14" s="74"/>
      <c r="MD14" s="74"/>
      <c r="ME14" s="79">
        <f t="shared" si="30"/>
        <v>605.09699999999998</v>
      </c>
      <c r="MF14" s="74"/>
      <c r="MG14" s="74"/>
      <c r="MH14" s="74"/>
      <c r="MI14" s="78">
        <v>1.5</v>
      </c>
      <c r="MJ14" s="77">
        <v>2.4</v>
      </c>
      <c r="MK14" s="77">
        <v>3</v>
      </c>
      <c r="ML14" s="74"/>
      <c r="MM14" s="77">
        <v>3</v>
      </c>
      <c r="MN14" s="74"/>
      <c r="MO14" s="77">
        <v>3</v>
      </c>
      <c r="MP14" s="74"/>
      <c r="MQ14" s="77">
        <v>3</v>
      </c>
      <c r="MR14" s="74"/>
      <c r="MS14" s="74"/>
      <c r="MT14" s="74"/>
      <c r="MU14" s="74"/>
      <c r="MV14" s="74"/>
      <c r="MW14" s="74"/>
      <c r="MX14" s="74"/>
      <c r="MY14" s="77">
        <v>3</v>
      </c>
      <c r="MZ14" s="74"/>
      <c r="NA14" s="77">
        <v>3</v>
      </c>
      <c r="NB14" s="74"/>
      <c r="NC14" s="74"/>
      <c r="ND14" s="74"/>
      <c r="NE14" s="74"/>
      <c r="NF14" s="74"/>
      <c r="NG14" s="79">
        <f t="shared" si="31"/>
        <v>1208.4419999999998</v>
      </c>
      <c r="NH14" s="74"/>
      <c r="NI14" s="74"/>
      <c r="NJ14" s="74"/>
      <c r="NK14" s="78">
        <v>1.5</v>
      </c>
      <c r="NL14" s="77">
        <v>2.4</v>
      </c>
      <c r="NM14" s="77">
        <v>3</v>
      </c>
      <c r="NN14" s="74"/>
      <c r="NO14" s="77">
        <v>3</v>
      </c>
      <c r="NP14" s="74"/>
      <c r="NQ14" s="77">
        <v>3</v>
      </c>
      <c r="NR14" s="74"/>
      <c r="NS14" s="77">
        <v>3</v>
      </c>
      <c r="NT14" s="74"/>
      <c r="NU14" s="74"/>
      <c r="NV14" s="74"/>
      <c r="NW14" s="74"/>
      <c r="NX14" s="74"/>
      <c r="NY14" s="74"/>
      <c r="NZ14" s="74"/>
      <c r="OA14" s="77">
        <v>3</v>
      </c>
      <c r="OB14" s="74"/>
      <c r="OC14" s="77">
        <v>3</v>
      </c>
      <c r="OD14" s="74"/>
      <c r="OE14" s="74"/>
      <c r="OF14" s="74"/>
      <c r="OG14" s="74"/>
      <c r="OH14" s="74"/>
      <c r="OI14" s="79">
        <f t="shared" si="32"/>
        <v>1139.2379999999998</v>
      </c>
      <c r="OJ14" s="74"/>
      <c r="OK14" s="74"/>
      <c r="OL14" s="74"/>
      <c r="OM14" s="78">
        <v>1.5</v>
      </c>
      <c r="ON14" s="77">
        <v>2.4</v>
      </c>
      <c r="OO14" s="77">
        <v>3</v>
      </c>
      <c r="OP14" s="74"/>
      <c r="OQ14" s="77">
        <v>3</v>
      </c>
      <c r="OR14" s="74"/>
      <c r="OS14" s="77">
        <v>3</v>
      </c>
      <c r="OT14" s="74"/>
      <c r="OU14" s="77">
        <v>3</v>
      </c>
      <c r="OV14" s="74"/>
      <c r="OW14" s="74"/>
      <c r="OX14" s="74"/>
      <c r="OY14" s="74"/>
      <c r="OZ14" s="74"/>
      <c r="PA14" s="74"/>
      <c r="PB14" s="74"/>
      <c r="PC14" s="77">
        <v>3</v>
      </c>
      <c r="PD14" s="74"/>
      <c r="PE14" s="77">
        <v>3</v>
      </c>
      <c r="PF14" s="74"/>
      <c r="PG14" s="74"/>
      <c r="PH14" s="74"/>
      <c r="PI14" s="74"/>
      <c r="PJ14" s="74"/>
      <c r="PK14" s="79">
        <f t="shared" si="33"/>
        <v>570.05700000000002</v>
      </c>
      <c r="PL14" s="74"/>
      <c r="PM14" s="74"/>
      <c r="PN14" s="74"/>
      <c r="PO14" s="78">
        <v>1.5</v>
      </c>
      <c r="PP14" s="77">
        <v>2.4</v>
      </c>
      <c r="PQ14" s="77">
        <v>3</v>
      </c>
      <c r="PR14" s="74"/>
      <c r="PS14" s="77">
        <v>3</v>
      </c>
      <c r="PT14" s="74"/>
      <c r="PU14" s="77">
        <v>3</v>
      </c>
      <c r="PV14" s="74"/>
      <c r="PW14" s="77">
        <v>3</v>
      </c>
      <c r="PX14" s="74"/>
      <c r="PY14" s="74"/>
      <c r="PZ14" s="74"/>
      <c r="QA14" s="74"/>
      <c r="QB14" s="74"/>
      <c r="QC14" s="74"/>
      <c r="QD14" s="74"/>
      <c r="QE14" s="77">
        <v>3</v>
      </c>
      <c r="QF14" s="74"/>
      <c r="QG14" s="77">
        <v>3</v>
      </c>
      <c r="QH14" s="74"/>
      <c r="QI14" s="74"/>
      <c r="QJ14" s="74"/>
      <c r="QK14" s="74"/>
      <c r="QL14" s="74"/>
      <c r="QM14" s="79">
        <f t="shared" si="34"/>
        <v>682.18499999999995</v>
      </c>
      <c r="QN14" s="74"/>
      <c r="QO14" s="74"/>
      <c r="QP14" s="74"/>
      <c r="QQ14" s="78">
        <v>1.5</v>
      </c>
      <c r="QR14" s="77">
        <v>2.4</v>
      </c>
      <c r="QS14" s="77">
        <v>3</v>
      </c>
      <c r="QT14" s="74"/>
      <c r="QU14" s="77">
        <v>3</v>
      </c>
      <c r="QV14" s="74"/>
      <c r="QW14" s="77">
        <v>3</v>
      </c>
      <c r="QX14" s="74"/>
      <c r="QY14" s="77">
        <v>3</v>
      </c>
      <c r="QZ14" s="74"/>
      <c r="RA14" s="74"/>
      <c r="RB14" s="74"/>
      <c r="RC14" s="74"/>
      <c r="RD14" s="74"/>
      <c r="RE14" s="74"/>
      <c r="RF14" s="74"/>
      <c r="RG14" s="77">
        <v>3</v>
      </c>
      <c r="RH14" s="74"/>
      <c r="RI14" s="77">
        <v>3</v>
      </c>
      <c r="RJ14" s="74"/>
      <c r="RK14" s="74"/>
      <c r="RL14" s="74"/>
      <c r="RM14" s="74"/>
      <c r="RN14" s="74"/>
      <c r="RO14" s="79">
        <f t="shared" si="35"/>
        <v>970.60799999999995</v>
      </c>
      <c r="RP14" s="74"/>
      <c r="RQ14" s="74"/>
      <c r="RR14" s="74"/>
      <c r="RS14" s="78">
        <v>1.5</v>
      </c>
      <c r="RT14" s="77">
        <v>2.4</v>
      </c>
      <c r="RU14" s="77">
        <v>3</v>
      </c>
      <c r="RV14" s="74"/>
      <c r="RW14" s="77">
        <v>3</v>
      </c>
      <c r="RX14" s="74"/>
      <c r="RY14" s="77">
        <v>3</v>
      </c>
      <c r="RZ14" s="74"/>
      <c r="SA14" s="77">
        <v>3</v>
      </c>
      <c r="SB14" s="74"/>
      <c r="SC14" s="74"/>
      <c r="SD14" s="74"/>
      <c r="SE14" s="74"/>
      <c r="SF14" s="74"/>
      <c r="SG14" s="74"/>
      <c r="SH14" s="74"/>
      <c r="SI14" s="77">
        <v>3</v>
      </c>
      <c r="SJ14" s="74"/>
      <c r="SK14" s="77">
        <v>3</v>
      </c>
      <c r="SL14" s="74"/>
      <c r="SM14" s="74"/>
      <c r="SN14" s="74"/>
      <c r="SO14" s="74"/>
      <c r="SP14" s="74"/>
      <c r="SQ14" s="79">
        <f t="shared" si="36"/>
        <v>278.56799999999998</v>
      </c>
      <c r="SR14" s="80">
        <f t="shared" si="37"/>
        <v>5454.1950000000006</v>
      </c>
      <c r="SS14" s="16">
        <f t="shared" si="38"/>
        <v>8369.6062199999997</v>
      </c>
      <c r="ST14" s="88">
        <f t="shared" si="39"/>
        <v>4049.8058159999987</v>
      </c>
      <c r="SU14" s="88">
        <f t="shared" si="40"/>
        <v>2471.1959999999995</v>
      </c>
      <c r="SV14" s="88">
        <f t="shared" si="41"/>
        <v>1642.1495999999997</v>
      </c>
      <c r="SW14" s="88">
        <f t="shared" si="42"/>
        <v>10575.684105</v>
      </c>
      <c r="SX14" s="91">
        <f t="shared" si="43"/>
        <v>4441.0237368000007</v>
      </c>
      <c r="SY14" s="16">
        <f t="shared" si="48"/>
        <v>809.96116319999976</v>
      </c>
      <c r="SZ14" s="16">
        <f t="shared" si="49"/>
        <v>971.95339583999964</v>
      </c>
      <c r="TA14" s="16">
        <f t="shared" si="50"/>
        <v>809.96116319999976</v>
      </c>
      <c r="TB14" s="92">
        <f t="shared" si="51"/>
        <v>1457.9300937599994</v>
      </c>
      <c r="TC14" s="16">
        <f t="shared" si="52"/>
        <v>494.23919999999993</v>
      </c>
      <c r="TD14" s="16">
        <f t="shared" si="53"/>
        <v>593.08703999999989</v>
      </c>
      <c r="TE14" s="16">
        <f t="shared" si="54"/>
        <v>494.23919999999993</v>
      </c>
      <c r="TF14" s="92">
        <f t="shared" si="55"/>
        <v>889.63055999999972</v>
      </c>
      <c r="TG14" s="16">
        <f t="shared" si="56"/>
        <v>328.42991999999998</v>
      </c>
      <c r="TH14" s="16">
        <f t="shared" si="57"/>
        <v>394.11590399999994</v>
      </c>
      <c r="TI14" s="16">
        <f t="shared" si="58"/>
        <v>328.42991999999998</v>
      </c>
      <c r="TJ14" s="92">
        <f t="shared" si="59"/>
        <v>591.17385599999989</v>
      </c>
      <c r="TK14" s="16">
        <f t="shared" si="60"/>
        <v>2115.1368210000001</v>
      </c>
      <c r="TL14" s="16">
        <f t="shared" si="61"/>
        <v>2538.1641851999998</v>
      </c>
      <c r="TM14" s="16">
        <f t="shared" si="62"/>
        <v>2115.1368210000001</v>
      </c>
      <c r="TN14" s="92">
        <f t="shared" si="63"/>
        <v>3807.2462777999999</v>
      </c>
      <c r="TO14" s="16">
        <f t="shared" si="44"/>
        <v>888.20474736000017</v>
      </c>
      <c r="TP14" s="16">
        <f t="shared" si="45"/>
        <v>1065.8456968320002</v>
      </c>
      <c r="TQ14" s="16">
        <f t="shared" si="46"/>
        <v>888.20474736000017</v>
      </c>
      <c r="TR14" s="92">
        <f t="shared" si="47"/>
        <v>1598.7685452480002</v>
      </c>
    </row>
    <row r="15" spans="1:538">
      <c r="A15" s="178"/>
      <c r="B15" s="101" t="str">
        <f>+A14</f>
        <v>Fungicidas</v>
      </c>
      <c r="C15" s="71" t="s">
        <v>196</v>
      </c>
      <c r="D15" s="87">
        <f>+IFERROR(INDEX(Productos[USD],MATCH(C15,Productos[Productos],0)),0)</f>
        <v>8.58</v>
      </c>
      <c r="E15" s="74"/>
      <c r="F15" s="74"/>
      <c r="G15" s="74"/>
      <c r="H15" s="78"/>
      <c r="I15" s="77"/>
      <c r="J15" s="77"/>
      <c r="K15" s="74"/>
      <c r="L15" s="77"/>
      <c r="M15" s="74"/>
      <c r="N15" s="77"/>
      <c r="O15" s="74"/>
      <c r="P15" s="77"/>
      <c r="Q15" s="74"/>
      <c r="R15" s="74"/>
      <c r="S15" s="74"/>
      <c r="T15" s="74"/>
      <c r="U15" s="74"/>
      <c r="V15" s="74"/>
      <c r="W15" s="74"/>
      <c r="X15" s="77">
        <v>3</v>
      </c>
      <c r="Y15" s="74"/>
      <c r="Z15" s="77">
        <v>3</v>
      </c>
      <c r="AA15" s="74"/>
      <c r="AB15" s="74"/>
      <c r="AC15" s="74"/>
      <c r="AD15" s="74"/>
      <c r="AE15" s="74"/>
      <c r="AF15" s="79">
        <f t="shared" si="16"/>
        <v>131.44799999999998</v>
      </c>
      <c r="AG15" s="74"/>
      <c r="AH15" s="74"/>
      <c r="AI15" s="74"/>
      <c r="AJ15" s="78"/>
      <c r="AK15" s="77"/>
      <c r="AL15" s="77"/>
      <c r="AM15" s="74"/>
      <c r="AN15" s="77"/>
      <c r="AO15" s="74"/>
      <c r="AP15" s="77"/>
      <c r="AQ15" s="74"/>
      <c r="AR15" s="77"/>
      <c r="AS15" s="74"/>
      <c r="AT15" s="74"/>
      <c r="AU15" s="74"/>
      <c r="AV15" s="74"/>
      <c r="AW15" s="74"/>
      <c r="AX15" s="74"/>
      <c r="AY15" s="74"/>
      <c r="AZ15" s="77">
        <v>3</v>
      </c>
      <c r="BA15" s="74"/>
      <c r="BB15" s="77">
        <v>3</v>
      </c>
      <c r="BC15" s="74"/>
      <c r="BD15" s="74"/>
      <c r="BE15" s="74"/>
      <c r="BF15" s="74"/>
      <c r="BG15" s="74"/>
      <c r="BH15" s="79">
        <f t="shared" si="17"/>
        <v>95.04</v>
      </c>
      <c r="BI15" s="74"/>
      <c r="BJ15" s="74"/>
      <c r="BK15" s="74"/>
      <c r="BL15" s="78"/>
      <c r="BM15" s="77"/>
      <c r="BN15" s="77"/>
      <c r="BO15" s="74"/>
      <c r="BP15" s="77"/>
      <c r="BQ15" s="74"/>
      <c r="BR15" s="77"/>
      <c r="BS15" s="74"/>
      <c r="BT15" s="77"/>
      <c r="BU15" s="74"/>
      <c r="BV15" s="74"/>
      <c r="BW15" s="74"/>
      <c r="BX15" s="74"/>
      <c r="BY15" s="74"/>
      <c r="BZ15" s="74"/>
      <c r="CA15" s="74"/>
      <c r="CB15" s="77">
        <v>3</v>
      </c>
      <c r="CC15" s="74"/>
      <c r="CD15" s="77">
        <v>3</v>
      </c>
      <c r="CE15" s="74"/>
      <c r="CF15" s="74"/>
      <c r="CG15" s="74"/>
      <c r="CH15" s="74"/>
      <c r="CI15" s="74"/>
      <c r="CJ15" s="79">
        <f t="shared" si="18"/>
        <v>117.15479999999999</v>
      </c>
      <c r="CK15" s="74"/>
      <c r="CL15" s="74"/>
      <c r="CM15" s="74"/>
      <c r="CN15" s="78"/>
      <c r="CO15" s="77"/>
      <c r="CP15" s="77"/>
      <c r="CQ15" s="74"/>
      <c r="CR15" s="77"/>
      <c r="CS15" s="74"/>
      <c r="CT15" s="77"/>
      <c r="CU15" s="74"/>
      <c r="CV15" s="77"/>
      <c r="CW15" s="74"/>
      <c r="CX15" s="74"/>
      <c r="CY15" s="74"/>
      <c r="CZ15" s="74"/>
      <c r="DA15" s="74"/>
      <c r="DB15" s="74"/>
      <c r="DC15" s="74"/>
      <c r="DD15" s="77">
        <v>3</v>
      </c>
      <c r="DE15" s="74"/>
      <c r="DF15" s="77">
        <v>3</v>
      </c>
      <c r="DG15" s="74"/>
      <c r="DH15" s="74"/>
      <c r="DI15" s="74"/>
      <c r="DJ15" s="74"/>
      <c r="DK15" s="74"/>
      <c r="DL15" s="79">
        <f t="shared" si="19"/>
        <v>34.679999999999993</v>
      </c>
      <c r="DM15" s="74"/>
      <c r="DN15" s="74"/>
      <c r="DO15" s="74"/>
      <c r="DP15" s="78"/>
      <c r="DQ15" s="77"/>
      <c r="DR15" s="77"/>
      <c r="DS15" s="74"/>
      <c r="DT15" s="77"/>
      <c r="DU15" s="74"/>
      <c r="DV15" s="77"/>
      <c r="DW15" s="74"/>
      <c r="DX15" s="77"/>
      <c r="DY15" s="74"/>
      <c r="DZ15" s="74"/>
      <c r="EA15" s="74"/>
      <c r="EB15" s="74"/>
      <c r="EC15" s="74"/>
      <c r="ED15" s="74"/>
      <c r="EE15" s="74"/>
      <c r="EF15" s="77">
        <v>3</v>
      </c>
      <c r="EG15" s="74"/>
      <c r="EH15" s="77">
        <v>3</v>
      </c>
      <c r="EI15" s="74"/>
      <c r="EJ15" s="74"/>
      <c r="EK15" s="74"/>
      <c r="EL15" s="74"/>
      <c r="EM15" s="74"/>
      <c r="EN15" s="79">
        <f t="shared" si="20"/>
        <v>17.940000000000001</v>
      </c>
      <c r="EO15" s="80">
        <f t="shared" si="21"/>
        <v>396.26279999999997</v>
      </c>
      <c r="EP15" s="74"/>
      <c r="EQ15" s="74"/>
      <c r="ER15" s="74"/>
      <c r="ES15" s="78"/>
      <c r="ET15" s="77"/>
      <c r="EU15" s="77"/>
      <c r="EV15" s="74"/>
      <c r="EW15" s="77"/>
      <c r="EX15" s="74"/>
      <c r="EY15" s="77"/>
      <c r="EZ15" s="74"/>
      <c r="FA15" s="77"/>
      <c r="FB15" s="74"/>
      <c r="FC15" s="74"/>
      <c r="FD15" s="74"/>
      <c r="FE15" s="74"/>
      <c r="FF15" s="74"/>
      <c r="FG15" s="74"/>
      <c r="FH15" s="74"/>
      <c r="FI15" s="77">
        <v>3</v>
      </c>
      <c r="FJ15" s="74"/>
      <c r="FK15" s="77">
        <v>3</v>
      </c>
      <c r="FL15" s="74"/>
      <c r="FM15" s="74"/>
      <c r="FN15" s="74"/>
      <c r="FO15" s="74"/>
      <c r="FP15" s="74"/>
      <c r="FQ15" s="79">
        <f t="shared" si="22"/>
        <v>68.400000000000006</v>
      </c>
      <c r="FR15" s="74"/>
      <c r="FS15" s="74"/>
      <c r="FT15" s="74"/>
      <c r="FU15" s="78"/>
      <c r="FV15" s="77"/>
      <c r="FW15" s="77"/>
      <c r="FX15" s="74"/>
      <c r="FY15" s="77"/>
      <c r="FZ15" s="74"/>
      <c r="GA15" s="77"/>
      <c r="GB15" s="74"/>
      <c r="GC15" s="77"/>
      <c r="GD15" s="74"/>
      <c r="GE15" s="74"/>
      <c r="GF15" s="74"/>
      <c r="GG15" s="74"/>
      <c r="GH15" s="74"/>
      <c r="GI15" s="74"/>
      <c r="GJ15" s="74"/>
      <c r="GK15" s="77">
        <v>3</v>
      </c>
      <c r="GL15" s="74"/>
      <c r="GM15" s="77">
        <v>3</v>
      </c>
      <c r="GN15" s="74"/>
      <c r="GO15" s="74"/>
      <c r="GP15" s="74"/>
      <c r="GQ15" s="74"/>
      <c r="GR15" s="74"/>
      <c r="GS15" s="79">
        <f t="shared" si="23"/>
        <v>58.800000000000004</v>
      </c>
      <c r="GT15" s="74"/>
      <c r="GU15" s="74"/>
      <c r="GV15" s="74"/>
      <c r="GW15" s="78"/>
      <c r="GX15" s="77"/>
      <c r="GY15" s="77"/>
      <c r="GZ15" s="74"/>
      <c r="HA15" s="77"/>
      <c r="HB15" s="74"/>
      <c r="HC15" s="77"/>
      <c r="HD15" s="74"/>
      <c r="HE15" s="77"/>
      <c r="HF15" s="74"/>
      <c r="HG15" s="74"/>
      <c r="HH15" s="74"/>
      <c r="HI15" s="74"/>
      <c r="HJ15" s="74"/>
      <c r="HK15" s="74"/>
      <c r="HL15" s="74"/>
      <c r="HM15" s="77">
        <v>3</v>
      </c>
      <c r="HN15" s="74"/>
      <c r="HO15" s="77">
        <v>3</v>
      </c>
      <c r="HP15" s="74"/>
      <c r="HQ15" s="74"/>
      <c r="HR15" s="74"/>
      <c r="HS15" s="74"/>
      <c r="HT15" s="74"/>
      <c r="HU15" s="79">
        <f t="shared" si="24"/>
        <v>114.60000000000001</v>
      </c>
      <c r="HV15" s="80">
        <f t="shared" si="25"/>
        <v>241.8</v>
      </c>
      <c r="HW15" s="74"/>
      <c r="HX15" s="74"/>
      <c r="HY15" s="74"/>
      <c r="HZ15" s="78"/>
      <c r="IA15" s="77"/>
      <c r="IB15" s="77"/>
      <c r="IC15" s="74"/>
      <c r="ID15" s="77"/>
      <c r="IE15" s="74"/>
      <c r="IF15" s="77"/>
      <c r="IG15" s="74"/>
      <c r="IH15" s="77"/>
      <c r="II15" s="74"/>
      <c r="IJ15" s="74"/>
      <c r="IK15" s="74"/>
      <c r="IL15" s="74"/>
      <c r="IM15" s="74"/>
      <c r="IN15" s="74"/>
      <c r="IO15" s="74"/>
      <c r="IP15" s="77">
        <v>3</v>
      </c>
      <c r="IQ15" s="74"/>
      <c r="IR15" s="77">
        <v>3</v>
      </c>
      <c r="IS15" s="74"/>
      <c r="IT15" s="74"/>
      <c r="IU15" s="74"/>
      <c r="IV15" s="74"/>
      <c r="IW15" s="74"/>
      <c r="IX15" s="79">
        <f t="shared" si="26"/>
        <v>34.92</v>
      </c>
      <c r="IY15" s="74"/>
      <c r="IZ15" s="74"/>
      <c r="JA15" s="74"/>
      <c r="JB15" s="78"/>
      <c r="JC15" s="77"/>
      <c r="JD15" s="77"/>
      <c r="JE15" s="74"/>
      <c r="JF15" s="77"/>
      <c r="JG15" s="74"/>
      <c r="JH15" s="77"/>
      <c r="JI15" s="74"/>
      <c r="JJ15" s="77"/>
      <c r="JK15" s="74"/>
      <c r="JL15" s="74"/>
      <c r="JM15" s="74"/>
      <c r="JN15" s="74"/>
      <c r="JO15" s="74"/>
      <c r="JP15" s="74"/>
      <c r="JQ15" s="74"/>
      <c r="JR15" s="77">
        <v>3</v>
      </c>
      <c r="JS15" s="74"/>
      <c r="JT15" s="77">
        <v>3</v>
      </c>
      <c r="JU15" s="74"/>
      <c r="JV15" s="74"/>
      <c r="JW15" s="74"/>
      <c r="JX15" s="74"/>
      <c r="JY15" s="74"/>
      <c r="JZ15" s="79">
        <f t="shared" si="27"/>
        <v>88.08</v>
      </c>
      <c r="KA15" s="74"/>
      <c r="KB15" s="74"/>
      <c r="KC15" s="74"/>
      <c r="KD15" s="78"/>
      <c r="KE15" s="77"/>
      <c r="KF15" s="77"/>
      <c r="KG15" s="74"/>
      <c r="KH15" s="77"/>
      <c r="KI15" s="74"/>
      <c r="KJ15" s="77"/>
      <c r="KK15" s="74"/>
      <c r="KL15" s="77"/>
      <c r="KM15" s="74"/>
      <c r="KN15" s="74"/>
      <c r="KO15" s="74"/>
      <c r="KP15" s="74"/>
      <c r="KQ15" s="74"/>
      <c r="KR15" s="74"/>
      <c r="KS15" s="74"/>
      <c r="KT15" s="77">
        <v>3</v>
      </c>
      <c r="KU15" s="74"/>
      <c r="KV15" s="77">
        <v>3</v>
      </c>
      <c r="KW15" s="74"/>
      <c r="KX15" s="74"/>
      <c r="KY15" s="74"/>
      <c r="KZ15" s="74"/>
      <c r="LA15" s="74"/>
      <c r="LB15" s="79">
        <f t="shared" si="28"/>
        <v>37.679999999999993</v>
      </c>
      <c r="LC15" s="80">
        <f t="shared" si="29"/>
        <v>160.68</v>
      </c>
      <c r="LD15" s="74"/>
      <c r="LE15" s="74"/>
      <c r="LF15" s="74"/>
      <c r="LG15" s="78"/>
      <c r="LH15" s="77"/>
      <c r="LI15" s="77"/>
      <c r="LJ15" s="74"/>
      <c r="LK15" s="77"/>
      <c r="LL15" s="74"/>
      <c r="LM15" s="77"/>
      <c r="LN15" s="74"/>
      <c r="LO15" s="77"/>
      <c r="LP15" s="74"/>
      <c r="LQ15" s="74"/>
      <c r="LR15" s="74"/>
      <c r="LS15" s="74"/>
      <c r="LT15" s="74"/>
      <c r="LU15" s="74"/>
      <c r="LV15" s="74"/>
      <c r="LW15" s="77">
        <v>3</v>
      </c>
      <c r="LX15" s="74"/>
      <c r="LY15" s="77">
        <v>3</v>
      </c>
      <c r="LZ15" s="74"/>
      <c r="MA15" s="74"/>
      <c r="MB15" s="74"/>
      <c r="MC15" s="74"/>
      <c r="MD15" s="74"/>
      <c r="ME15" s="79">
        <f t="shared" si="30"/>
        <v>165.78000000000003</v>
      </c>
      <c r="MF15" s="74"/>
      <c r="MG15" s="74"/>
      <c r="MH15" s="74"/>
      <c r="MI15" s="78"/>
      <c r="MJ15" s="77"/>
      <c r="MK15" s="77"/>
      <c r="ML15" s="74"/>
      <c r="MM15" s="77"/>
      <c r="MN15" s="74"/>
      <c r="MO15" s="77"/>
      <c r="MP15" s="74"/>
      <c r="MQ15" s="77"/>
      <c r="MR15" s="74"/>
      <c r="MS15" s="74"/>
      <c r="MT15" s="74"/>
      <c r="MU15" s="74"/>
      <c r="MV15" s="74"/>
      <c r="MW15" s="74"/>
      <c r="MX15" s="74"/>
      <c r="MY15" s="77">
        <v>3</v>
      </c>
      <c r="MZ15" s="74"/>
      <c r="NA15" s="77">
        <v>3</v>
      </c>
      <c r="NB15" s="74"/>
      <c r="NC15" s="74"/>
      <c r="ND15" s="74"/>
      <c r="NE15" s="74"/>
      <c r="NF15" s="74"/>
      <c r="NG15" s="79">
        <f t="shared" si="31"/>
        <v>331.07999999999993</v>
      </c>
      <c r="NH15" s="74"/>
      <c r="NI15" s="74"/>
      <c r="NJ15" s="74"/>
      <c r="NK15" s="78"/>
      <c r="NL15" s="77"/>
      <c r="NM15" s="77"/>
      <c r="NN15" s="74"/>
      <c r="NO15" s="77"/>
      <c r="NP15" s="74"/>
      <c r="NQ15" s="77"/>
      <c r="NR15" s="74"/>
      <c r="NS15" s="77"/>
      <c r="NT15" s="74"/>
      <c r="NU15" s="74"/>
      <c r="NV15" s="74"/>
      <c r="NW15" s="74"/>
      <c r="NX15" s="74"/>
      <c r="NY15" s="74"/>
      <c r="NZ15" s="74"/>
      <c r="OA15" s="77">
        <v>3</v>
      </c>
      <c r="OB15" s="74"/>
      <c r="OC15" s="77">
        <v>3</v>
      </c>
      <c r="OD15" s="74"/>
      <c r="OE15" s="74"/>
      <c r="OF15" s="74"/>
      <c r="OG15" s="74"/>
      <c r="OH15" s="74"/>
      <c r="OI15" s="79">
        <f t="shared" si="32"/>
        <v>312.12</v>
      </c>
      <c r="OJ15" s="74"/>
      <c r="OK15" s="74"/>
      <c r="OL15" s="74"/>
      <c r="OM15" s="78"/>
      <c r="ON15" s="77"/>
      <c r="OO15" s="77"/>
      <c r="OP15" s="74"/>
      <c r="OQ15" s="77"/>
      <c r="OR15" s="74"/>
      <c r="OS15" s="77"/>
      <c r="OT15" s="74"/>
      <c r="OU15" s="77"/>
      <c r="OV15" s="74"/>
      <c r="OW15" s="74"/>
      <c r="OX15" s="74"/>
      <c r="OY15" s="74"/>
      <c r="OZ15" s="74"/>
      <c r="PA15" s="74"/>
      <c r="PB15" s="74"/>
      <c r="PC15" s="77">
        <v>3</v>
      </c>
      <c r="PD15" s="74"/>
      <c r="PE15" s="77">
        <v>3</v>
      </c>
      <c r="PF15" s="74"/>
      <c r="PG15" s="74"/>
      <c r="PH15" s="74"/>
      <c r="PI15" s="74"/>
      <c r="PJ15" s="74"/>
      <c r="PK15" s="79">
        <f t="shared" si="33"/>
        <v>156.18</v>
      </c>
      <c r="PL15" s="74"/>
      <c r="PM15" s="74"/>
      <c r="PN15" s="74"/>
      <c r="PO15" s="78"/>
      <c r="PP15" s="77"/>
      <c r="PQ15" s="77"/>
      <c r="PR15" s="74"/>
      <c r="PS15" s="77"/>
      <c r="PT15" s="74"/>
      <c r="PU15" s="77"/>
      <c r="PV15" s="74"/>
      <c r="PW15" s="77"/>
      <c r="PX15" s="74"/>
      <c r="PY15" s="74"/>
      <c r="PZ15" s="74"/>
      <c r="QA15" s="74"/>
      <c r="QB15" s="74"/>
      <c r="QC15" s="74"/>
      <c r="QD15" s="74"/>
      <c r="QE15" s="77">
        <v>3</v>
      </c>
      <c r="QF15" s="74"/>
      <c r="QG15" s="77">
        <v>3</v>
      </c>
      <c r="QH15" s="74"/>
      <c r="QI15" s="74"/>
      <c r="QJ15" s="74"/>
      <c r="QK15" s="74"/>
      <c r="QL15" s="74"/>
      <c r="QM15" s="79">
        <f t="shared" si="34"/>
        <v>186.89999999999998</v>
      </c>
      <c r="QN15" s="74"/>
      <c r="QO15" s="74"/>
      <c r="QP15" s="74"/>
      <c r="QQ15" s="78"/>
      <c r="QR15" s="77"/>
      <c r="QS15" s="77"/>
      <c r="QT15" s="74"/>
      <c r="QU15" s="77"/>
      <c r="QV15" s="74"/>
      <c r="QW15" s="77"/>
      <c r="QX15" s="74"/>
      <c r="QY15" s="77"/>
      <c r="QZ15" s="74"/>
      <c r="RA15" s="74"/>
      <c r="RB15" s="74"/>
      <c r="RC15" s="74"/>
      <c r="RD15" s="74"/>
      <c r="RE15" s="74"/>
      <c r="RF15" s="74"/>
      <c r="RG15" s="77">
        <v>3</v>
      </c>
      <c r="RH15" s="74"/>
      <c r="RI15" s="77">
        <v>3</v>
      </c>
      <c r="RJ15" s="74"/>
      <c r="RK15" s="74"/>
      <c r="RL15" s="74"/>
      <c r="RM15" s="74"/>
      <c r="RN15" s="74"/>
      <c r="RO15" s="79">
        <f t="shared" si="35"/>
        <v>265.92</v>
      </c>
      <c r="RP15" s="74"/>
      <c r="RQ15" s="74"/>
      <c r="RR15" s="74"/>
      <c r="RS15" s="78"/>
      <c r="RT15" s="77"/>
      <c r="RU15" s="77"/>
      <c r="RV15" s="74"/>
      <c r="RW15" s="77"/>
      <c r="RX15" s="74"/>
      <c r="RY15" s="77"/>
      <c r="RZ15" s="74"/>
      <c r="SA15" s="77"/>
      <c r="SB15" s="74"/>
      <c r="SC15" s="74"/>
      <c r="SD15" s="74"/>
      <c r="SE15" s="74"/>
      <c r="SF15" s="74"/>
      <c r="SG15" s="74"/>
      <c r="SH15" s="74"/>
      <c r="SI15" s="77">
        <v>3</v>
      </c>
      <c r="SJ15" s="74"/>
      <c r="SK15" s="77">
        <v>3</v>
      </c>
      <c r="SL15" s="74"/>
      <c r="SM15" s="74"/>
      <c r="SN15" s="74"/>
      <c r="SO15" s="74"/>
      <c r="SP15" s="74"/>
      <c r="SQ15" s="79">
        <f t="shared" si="36"/>
        <v>76.320000000000007</v>
      </c>
      <c r="SR15" s="80">
        <f t="shared" si="37"/>
        <v>1494.3</v>
      </c>
      <c r="SS15" s="16">
        <f t="shared" si="38"/>
        <v>2293.0428000000002</v>
      </c>
      <c r="ST15" s="88">
        <f t="shared" si="39"/>
        <v>3399.9348239999999</v>
      </c>
      <c r="SU15" s="88">
        <f t="shared" si="40"/>
        <v>2074.6440000000002</v>
      </c>
      <c r="SV15" s="88">
        <f t="shared" si="41"/>
        <v>1378.6344000000001</v>
      </c>
      <c r="SW15" s="88">
        <f t="shared" si="42"/>
        <v>8878.6075949999995</v>
      </c>
      <c r="SX15" s="91">
        <f t="shared" si="43"/>
        <v>3728.3741351999997</v>
      </c>
      <c r="SY15" s="16">
        <f t="shared" si="48"/>
        <v>679.98696480000001</v>
      </c>
      <c r="SZ15" s="16">
        <f t="shared" si="49"/>
        <v>815.98435775999997</v>
      </c>
      <c r="TA15" s="16">
        <f t="shared" si="50"/>
        <v>679.98696480000001</v>
      </c>
      <c r="TB15" s="92">
        <f t="shared" si="51"/>
        <v>1223.9765366399999</v>
      </c>
      <c r="TC15" s="16">
        <f t="shared" si="52"/>
        <v>414.92880000000008</v>
      </c>
      <c r="TD15" s="16">
        <f t="shared" si="53"/>
        <v>497.91456000000005</v>
      </c>
      <c r="TE15" s="16">
        <f t="shared" si="54"/>
        <v>414.92880000000008</v>
      </c>
      <c r="TF15" s="92">
        <f t="shared" si="55"/>
        <v>746.87184000000002</v>
      </c>
      <c r="TG15" s="16">
        <f t="shared" si="56"/>
        <v>275.72688000000005</v>
      </c>
      <c r="TH15" s="16">
        <f t="shared" si="57"/>
        <v>330.87225600000005</v>
      </c>
      <c r="TI15" s="16">
        <f t="shared" si="58"/>
        <v>275.72688000000005</v>
      </c>
      <c r="TJ15" s="92">
        <f t="shared" si="59"/>
        <v>496.30838400000005</v>
      </c>
      <c r="TK15" s="16">
        <f t="shared" si="60"/>
        <v>1775.7215189999999</v>
      </c>
      <c r="TL15" s="16">
        <f t="shared" si="61"/>
        <v>2130.8658227999999</v>
      </c>
      <c r="TM15" s="16">
        <f t="shared" si="62"/>
        <v>1775.7215189999999</v>
      </c>
      <c r="TN15" s="92">
        <f t="shared" si="63"/>
        <v>3196.2987341999997</v>
      </c>
      <c r="TO15" s="16">
        <f t="shared" si="44"/>
        <v>745.67482703999997</v>
      </c>
      <c r="TP15" s="16">
        <f t="shared" si="45"/>
        <v>894.80979244799994</v>
      </c>
      <c r="TQ15" s="16">
        <f t="shared" si="46"/>
        <v>745.67482703999997</v>
      </c>
      <c r="TR15" s="92">
        <f t="shared" si="47"/>
        <v>1342.214688672</v>
      </c>
    </row>
    <row r="16" spans="1:538">
      <c r="A16" s="179" t="s">
        <v>204</v>
      </c>
      <c r="B16" s="101" t="str">
        <f>+A16</f>
        <v>Herbicidas</v>
      </c>
      <c r="C16" s="71" t="s">
        <v>197</v>
      </c>
      <c r="D16" s="87">
        <f>+IFERROR(INDEX(Productos[USD],MATCH(C16,Productos[Productos],0)),0)</f>
        <v>6.77</v>
      </c>
      <c r="E16" s="74"/>
      <c r="F16" s="74"/>
      <c r="G16" s="74"/>
      <c r="H16" s="78">
        <f>900/133.12/3</f>
        <v>2.2536057692307692</v>
      </c>
      <c r="I16" s="77"/>
      <c r="J16" s="77"/>
      <c r="K16" s="74"/>
      <c r="L16" s="77"/>
      <c r="M16" s="74"/>
      <c r="N16" s="78">
        <f>900/133.12/3</f>
        <v>2.2536057692307692</v>
      </c>
      <c r="O16" s="74"/>
      <c r="P16" s="77"/>
      <c r="Q16" s="74"/>
      <c r="R16" s="74"/>
      <c r="S16" s="74"/>
      <c r="T16" s="74"/>
      <c r="U16" s="74"/>
      <c r="V16" s="74"/>
      <c r="W16" s="74"/>
      <c r="X16" s="77"/>
      <c r="Y16" s="74"/>
      <c r="Z16" s="77"/>
      <c r="AA16" s="74"/>
      <c r="AB16" s="74"/>
      <c r="AC16" s="74"/>
      <c r="AD16" s="74"/>
      <c r="AE16" s="78">
        <f>900/133.12/3</f>
        <v>2.2536057692307692</v>
      </c>
      <c r="AF16" s="79">
        <f t="shared" si="16"/>
        <v>148.11598557692304</v>
      </c>
      <c r="AG16" s="74"/>
      <c r="AH16" s="74"/>
      <c r="AI16" s="74"/>
      <c r="AJ16" s="78">
        <f>900/133.12/3</f>
        <v>2.2536057692307692</v>
      </c>
      <c r="AK16" s="77"/>
      <c r="AL16" s="77"/>
      <c r="AM16" s="74"/>
      <c r="AN16" s="77"/>
      <c r="AO16" s="74"/>
      <c r="AP16" s="78">
        <f>900/133.12/3</f>
        <v>2.2536057692307692</v>
      </c>
      <c r="AQ16" s="74"/>
      <c r="AR16" s="77"/>
      <c r="AS16" s="74"/>
      <c r="AT16" s="74"/>
      <c r="AU16" s="74"/>
      <c r="AV16" s="74"/>
      <c r="AW16" s="74"/>
      <c r="AX16" s="74"/>
      <c r="AY16" s="74"/>
      <c r="AZ16" s="77"/>
      <c r="BA16" s="74"/>
      <c r="BB16" s="77"/>
      <c r="BC16" s="74"/>
      <c r="BD16" s="74"/>
      <c r="BE16" s="74"/>
      <c r="BF16" s="74"/>
      <c r="BG16" s="78">
        <f>900/133.12/3</f>
        <v>2.2536057692307692</v>
      </c>
      <c r="BH16" s="79">
        <f t="shared" si="17"/>
        <v>107.09134615384616</v>
      </c>
      <c r="BI16" s="74"/>
      <c r="BJ16" s="74"/>
      <c r="BK16" s="74"/>
      <c r="BL16" s="78">
        <f>900/133.12/3</f>
        <v>2.2536057692307692</v>
      </c>
      <c r="BM16" s="77"/>
      <c r="BN16" s="77"/>
      <c r="BO16" s="74"/>
      <c r="BP16" s="77"/>
      <c r="BQ16" s="74"/>
      <c r="BR16" s="78">
        <f>900/133.12/3</f>
        <v>2.2536057692307692</v>
      </c>
      <c r="BS16" s="74"/>
      <c r="BT16" s="77"/>
      <c r="BU16" s="74"/>
      <c r="BV16" s="74"/>
      <c r="BW16" s="74"/>
      <c r="BX16" s="74"/>
      <c r="BY16" s="74"/>
      <c r="BZ16" s="74"/>
      <c r="CA16" s="74"/>
      <c r="CB16" s="77"/>
      <c r="CC16" s="74"/>
      <c r="CD16" s="77"/>
      <c r="CE16" s="74"/>
      <c r="CF16" s="74"/>
      <c r="CG16" s="74"/>
      <c r="CH16" s="74"/>
      <c r="CI16" s="78">
        <f>900/133.12/3</f>
        <v>2.2536057692307692</v>
      </c>
      <c r="CJ16" s="79">
        <f t="shared" si="18"/>
        <v>132.01036658653845</v>
      </c>
      <c r="CK16" s="74"/>
      <c r="CL16" s="74"/>
      <c r="CM16" s="74"/>
      <c r="CN16" s="78">
        <f>900/133.12/3</f>
        <v>2.2536057692307692</v>
      </c>
      <c r="CO16" s="77"/>
      <c r="CP16" s="77"/>
      <c r="CQ16" s="74"/>
      <c r="CR16" s="77"/>
      <c r="CS16" s="74"/>
      <c r="CT16" s="78">
        <f>900/133.12/3</f>
        <v>2.2536057692307692</v>
      </c>
      <c r="CU16" s="74"/>
      <c r="CV16" s="77"/>
      <c r="CW16" s="74"/>
      <c r="CX16" s="74"/>
      <c r="CY16" s="74"/>
      <c r="CZ16" s="74"/>
      <c r="DA16" s="74"/>
      <c r="DB16" s="74"/>
      <c r="DC16" s="74"/>
      <c r="DD16" s="77"/>
      <c r="DE16" s="74"/>
      <c r="DF16" s="77"/>
      <c r="DG16" s="74"/>
      <c r="DH16" s="74"/>
      <c r="DI16" s="74"/>
      <c r="DJ16" s="74"/>
      <c r="DK16" s="78">
        <f>900/133.12/3</f>
        <v>2.2536057692307692</v>
      </c>
      <c r="DL16" s="79">
        <f t="shared" si="19"/>
        <v>39.077524038461533</v>
      </c>
      <c r="DM16" s="74"/>
      <c r="DN16" s="74"/>
      <c r="DO16" s="74"/>
      <c r="DP16" s="78">
        <f>900/133.12/3</f>
        <v>2.2536057692307692</v>
      </c>
      <c r="DQ16" s="77"/>
      <c r="DR16" s="77"/>
      <c r="DS16" s="74"/>
      <c r="DT16" s="77"/>
      <c r="DU16" s="74"/>
      <c r="DV16" s="78">
        <f>900/133.12/3</f>
        <v>2.2536057692307692</v>
      </c>
      <c r="DW16" s="74"/>
      <c r="DX16" s="77"/>
      <c r="DY16" s="74"/>
      <c r="DZ16" s="74"/>
      <c r="EA16" s="74"/>
      <c r="EB16" s="74"/>
      <c r="EC16" s="74"/>
      <c r="ED16" s="74"/>
      <c r="EE16" s="74"/>
      <c r="EF16" s="77"/>
      <c r="EG16" s="74"/>
      <c r="EH16" s="77"/>
      <c r="EI16" s="74"/>
      <c r="EJ16" s="74"/>
      <c r="EK16" s="74"/>
      <c r="EL16" s="74"/>
      <c r="EM16" s="78">
        <f>900/133.12/3</f>
        <v>2.2536057692307692</v>
      </c>
      <c r="EN16" s="79">
        <f t="shared" si="20"/>
        <v>20.21484375</v>
      </c>
      <c r="EO16" s="80">
        <f t="shared" si="21"/>
        <v>446.51006610576917</v>
      </c>
      <c r="EP16" s="74"/>
      <c r="EQ16" s="74"/>
      <c r="ER16" s="74"/>
      <c r="ES16" s="78">
        <f>900/133.12/3</f>
        <v>2.2536057692307692</v>
      </c>
      <c r="ET16" s="77"/>
      <c r="EU16" s="77"/>
      <c r="EV16" s="74"/>
      <c r="EW16" s="77"/>
      <c r="EX16" s="74"/>
      <c r="EY16" s="78">
        <f>900/133.12/3</f>
        <v>2.2536057692307692</v>
      </c>
      <c r="EZ16" s="74"/>
      <c r="FA16" s="77"/>
      <c r="FB16" s="74"/>
      <c r="FC16" s="74"/>
      <c r="FD16" s="74"/>
      <c r="FE16" s="74"/>
      <c r="FF16" s="74"/>
      <c r="FG16" s="74"/>
      <c r="FH16" s="74"/>
      <c r="FI16" s="77"/>
      <c r="FJ16" s="74"/>
      <c r="FK16" s="77"/>
      <c r="FL16" s="74"/>
      <c r="FM16" s="74"/>
      <c r="FN16" s="74"/>
      <c r="FO16" s="74"/>
      <c r="FP16" s="78">
        <f>900/133.12/3</f>
        <v>2.2536057692307692</v>
      </c>
      <c r="FQ16" s="79">
        <f t="shared" si="22"/>
        <v>77.073317307692307</v>
      </c>
      <c r="FR16" s="74"/>
      <c r="FS16" s="74"/>
      <c r="FT16" s="74"/>
      <c r="FU16" s="78">
        <f>900/133.12/3</f>
        <v>2.2536057692307692</v>
      </c>
      <c r="FV16" s="77"/>
      <c r="FW16" s="77"/>
      <c r="FX16" s="74"/>
      <c r="FY16" s="77"/>
      <c r="FZ16" s="74"/>
      <c r="GA16" s="78">
        <f>900/133.12/3</f>
        <v>2.2536057692307692</v>
      </c>
      <c r="GB16" s="74"/>
      <c r="GC16" s="77"/>
      <c r="GD16" s="74"/>
      <c r="GE16" s="74"/>
      <c r="GF16" s="74"/>
      <c r="GG16" s="74"/>
      <c r="GH16" s="74"/>
      <c r="GI16" s="74"/>
      <c r="GJ16" s="74"/>
      <c r="GK16" s="77"/>
      <c r="GL16" s="74"/>
      <c r="GM16" s="77"/>
      <c r="GN16" s="74"/>
      <c r="GO16" s="74"/>
      <c r="GP16" s="74"/>
      <c r="GQ16" s="74"/>
      <c r="GR16" s="78">
        <f>900/133.12/3</f>
        <v>2.2536057692307692</v>
      </c>
      <c r="GS16" s="79">
        <f t="shared" si="23"/>
        <v>66.256009615384613</v>
      </c>
      <c r="GT16" s="74"/>
      <c r="GU16" s="74"/>
      <c r="GV16" s="74"/>
      <c r="GW16" s="78">
        <f>900/133.12/3</f>
        <v>2.2536057692307692</v>
      </c>
      <c r="GX16" s="77"/>
      <c r="GY16" s="77"/>
      <c r="GZ16" s="74"/>
      <c r="HA16" s="77"/>
      <c r="HB16" s="74"/>
      <c r="HC16" s="78">
        <f>900/133.12/3</f>
        <v>2.2536057692307692</v>
      </c>
      <c r="HD16" s="74"/>
      <c r="HE16" s="77"/>
      <c r="HF16" s="74"/>
      <c r="HG16" s="74"/>
      <c r="HH16" s="74"/>
      <c r="HI16" s="74"/>
      <c r="HJ16" s="74"/>
      <c r="HK16" s="74"/>
      <c r="HL16" s="74"/>
      <c r="HM16" s="77"/>
      <c r="HN16" s="74"/>
      <c r="HO16" s="77"/>
      <c r="HP16" s="74"/>
      <c r="HQ16" s="74"/>
      <c r="HR16" s="74"/>
      <c r="HS16" s="74"/>
      <c r="HT16" s="78">
        <f>900/133.12/3</f>
        <v>2.2536057692307692</v>
      </c>
      <c r="HU16" s="79">
        <f t="shared" si="24"/>
        <v>129.13161057692309</v>
      </c>
      <c r="HV16" s="80">
        <f t="shared" si="25"/>
        <v>272.4609375</v>
      </c>
      <c r="HW16" s="74"/>
      <c r="HX16" s="74"/>
      <c r="HY16" s="74"/>
      <c r="HZ16" s="78">
        <f>900/133.12/3</f>
        <v>2.2536057692307692</v>
      </c>
      <c r="IA16" s="77"/>
      <c r="IB16" s="77"/>
      <c r="IC16" s="74"/>
      <c r="ID16" s="77"/>
      <c r="IE16" s="74"/>
      <c r="IF16" s="78">
        <f>900/133.12/3</f>
        <v>2.2536057692307692</v>
      </c>
      <c r="IG16" s="74"/>
      <c r="IH16" s="77"/>
      <c r="II16" s="74"/>
      <c r="IJ16" s="74"/>
      <c r="IK16" s="74"/>
      <c r="IL16" s="74"/>
      <c r="IM16" s="74"/>
      <c r="IN16" s="74"/>
      <c r="IO16" s="74"/>
      <c r="IP16" s="77"/>
      <c r="IQ16" s="74"/>
      <c r="IR16" s="77"/>
      <c r="IS16" s="74"/>
      <c r="IT16" s="74"/>
      <c r="IU16" s="74"/>
      <c r="IV16" s="74"/>
      <c r="IW16" s="78">
        <f>900/133.12/3</f>
        <v>2.2536057692307692</v>
      </c>
      <c r="IX16" s="79">
        <f t="shared" si="26"/>
        <v>39.347956730769234</v>
      </c>
      <c r="IY16" s="74"/>
      <c r="IZ16" s="74"/>
      <c r="JA16" s="74"/>
      <c r="JB16" s="78">
        <f>900/133.12/3</f>
        <v>2.2536057692307692</v>
      </c>
      <c r="JC16" s="77"/>
      <c r="JD16" s="77"/>
      <c r="JE16" s="74"/>
      <c r="JF16" s="77"/>
      <c r="JG16" s="74"/>
      <c r="JH16" s="78">
        <f>900/133.12/3</f>
        <v>2.2536057692307692</v>
      </c>
      <c r="JI16" s="74"/>
      <c r="JJ16" s="77"/>
      <c r="JK16" s="74"/>
      <c r="JL16" s="74"/>
      <c r="JM16" s="74"/>
      <c r="JN16" s="74"/>
      <c r="JO16" s="74"/>
      <c r="JP16" s="74"/>
      <c r="JQ16" s="74"/>
      <c r="JR16" s="77"/>
      <c r="JS16" s="74"/>
      <c r="JT16" s="77"/>
      <c r="JU16" s="74"/>
      <c r="JV16" s="74"/>
      <c r="JW16" s="74"/>
      <c r="JX16" s="74"/>
      <c r="JY16" s="78">
        <f>900/133.12/3</f>
        <v>2.2536057692307692</v>
      </c>
      <c r="JZ16" s="79">
        <f t="shared" si="27"/>
        <v>99.248798076923066</v>
      </c>
      <c r="KA16" s="74"/>
      <c r="KB16" s="74"/>
      <c r="KC16" s="74"/>
      <c r="KD16" s="78">
        <f>900/133.12/3</f>
        <v>2.2536057692307692</v>
      </c>
      <c r="KE16" s="77"/>
      <c r="KF16" s="77"/>
      <c r="KG16" s="74"/>
      <c r="KH16" s="77"/>
      <c r="KI16" s="74"/>
      <c r="KJ16" s="78">
        <f>900/133.12/3</f>
        <v>2.2536057692307692</v>
      </c>
      <c r="KK16" s="74"/>
      <c r="KL16" s="77"/>
      <c r="KM16" s="74"/>
      <c r="KN16" s="74"/>
      <c r="KO16" s="74"/>
      <c r="KP16" s="74"/>
      <c r="KQ16" s="74"/>
      <c r="KR16" s="74"/>
      <c r="KS16" s="74"/>
      <c r="KT16" s="77"/>
      <c r="KU16" s="74"/>
      <c r="KV16" s="77"/>
      <c r="KW16" s="74"/>
      <c r="KX16" s="74"/>
      <c r="KY16" s="74"/>
      <c r="KZ16" s="74"/>
      <c r="LA16" s="78">
        <f>900/133.12/3</f>
        <v>2.2536057692307692</v>
      </c>
      <c r="LB16" s="79">
        <f t="shared" si="28"/>
        <v>42.457932692307686</v>
      </c>
      <c r="LC16" s="80">
        <f t="shared" si="29"/>
        <v>181.05468749999997</v>
      </c>
      <c r="LD16" s="74"/>
      <c r="LE16" s="74"/>
      <c r="LF16" s="74"/>
      <c r="LG16" s="78">
        <f>200/249/3</f>
        <v>0.2677376171352075</v>
      </c>
      <c r="LH16" s="77"/>
      <c r="LI16" s="77"/>
      <c r="LJ16" s="74"/>
      <c r="LK16" s="77"/>
      <c r="LL16" s="74"/>
      <c r="LM16" s="78">
        <f>200/249/3</f>
        <v>0.2677376171352075</v>
      </c>
      <c r="LN16" s="74"/>
      <c r="LO16" s="77"/>
      <c r="LP16" s="74"/>
      <c r="LQ16" s="74"/>
      <c r="LR16" s="74"/>
      <c r="LS16" s="74"/>
      <c r="LT16" s="74"/>
      <c r="LU16" s="74"/>
      <c r="LV16" s="74"/>
      <c r="LW16" s="77"/>
      <c r="LX16" s="74"/>
      <c r="LY16" s="77"/>
      <c r="LZ16" s="74"/>
      <c r="MA16" s="74"/>
      <c r="MB16" s="74"/>
      <c r="MC16" s="74"/>
      <c r="MD16" s="78">
        <f>200/249/3</f>
        <v>0.2677376171352075</v>
      </c>
      <c r="ME16" s="79">
        <f t="shared" si="30"/>
        <v>22.192771084337352</v>
      </c>
      <c r="MF16" s="74"/>
      <c r="MG16" s="74"/>
      <c r="MH16" s="74"/>
      <c r="MI16" s="78">
        <f>200/249/3</f>
        <v>0.2677376171352075</v>
      </c>
      <c r="MJ16" s="77"/>
      <c r="MK16" s="77"/>
      <c r="ML16" s="74"/>
      <c r="MM16" s="77"/>
      <c r="MN16" s="74"/>
      <c r="MO16" s="78">
        <f>200/249/3</f>
        <v>0.2677376171352075</v>
      </c>
      <c r="MP16" s="74"/>
      <c r="MQ16" s="77"/>
      <c r="MR16" s="74"/>
      <c r="MS16" s="74"/>
      <c r="MT16" s="74"/>
      <c r="MU16" s="74"/>
      <c r="MV16" s="74"/>
      <c r="MW16" s="74"/>
      <c r="MX16" s="74"/>
      <c r="MY16" s="77"/>
      <c r="MZ16" s="74"/>
      <c r="NA16" s="77"/>
      <c r="NB16" s="74"/>
      <c r="NC16" s="74"/>
      <c r="ND16" s="74"/>
      <c r="NE16" s="74"/>
      <c r="NF16" s="78">
        <f>200/249/3</f>
        <v>0.2677376171352075</v>
      </c>
      <c r="NG16" s="79">
        <f t="shared" si="31"/>
        <v>44.321285140562246</v>
      </c>
      <c r="NH16" s="74"/>
      <c r="NI16" s="74"/>
      <c r="NJ16" s="74"/>
      <c r="NK16" s="78">
        <f>200/249/3</f>
        <v>0.2677376171352075</v>
      </c>
      <c r="NL16" s="77"/>
      <c r="NM16" s="77"/>
      <c r="NN16" s="74"/>
      <c r="NO16" s="77"/>
      <c r="NP16" s="74"/>
      <c r="NQ16" s="78">
        <f>200/249/3</f>
        <v>0.2677376171352075</v>
      </c>
      <c r="NR16" s="74"/>
      <c r="NS16" s="77"/>
      <c r="NT16" s="74"/>
      <c r="NU16" s="74"/>
      <c r="NV16" s="74"/>
      <c r="NW16" s="74"/>
      <c r="NX16" s="74"/>
      <c r="NY16" s="74"/>
      <c r="NZ16" s="74"/>
      <c r="OA16" s="77"/>
      <c r="OB16" s="74"/>
      <c r="OC16" s="77"/>
      <c r="OD16" s="74"/>
      <c r="OE16" s="74"/>
      <c r="OF16" s="74"/>
      <c r="OG16" s="74"/>
      <c r="OH16" s="78">
        <f>200/249/3</f>
        <v>0.2677376171352075</v>
      </c>
      <c r="OI16" s="79">
        <f t="shared" si="32"/>
        <v>41.783132530120476</v>
      </c>
      <c r="OJ16" s="74"/>
      <c r="OK16" s="74"/>
      <c r="OL16" s="74"/>
      <c r="OM16" s="78">
        <f>200/249/3</f>
        <v>0.2677376171352075</v>
      </c>
      <c r="ON16" s="77"/>
      <c r="OO16" s="77"/>
      <c r="OP16" s="74"/>
      <c r="OQ16" s="77"/>
      <c r="OR16" s="74"/>
      <c r="OS16" s="78">
        <f>200/249/3</f>
        <v>0.2677376171352075</v>
      </c>
      <c r="OT16" s="74"/>
      <c r="OU16" s="77"/>
      <c r="OV16" s="74"/>
      <c r="OW16" s="74"/>
      <c r="OX16" s="74"/>
      <c r="OY16" s="74"/>
      <c r="OZ16" s="74"/>
      <c r="PA16" s="74"/>
      <c r="PB16" s="74"/>
      <c r="PC16" s="77"/>
      <c r="PD16" s="74"/>
      <c r="PE16" s="77"/>
      <c r="PF16" s="74"/>
      <c r="PG16" s="74"/>
      <c r="PH16" s="74"/>
      <c r="PI16" s="74"/>
      <c r="PJ16" s="78">
        <f>200/249/3</f>
        <v>0.2677376171352075</v>
      </c>
      <c r="PK16" s="79">
        <f t="shared" si="33"/>
        <v>20.907630522088354</v>
      </c>
      <c r="PL16" s="74"/>
      <c r="PM16" s="74"/>
      <c r="PN16" s="74"/>
      <c r="PO16" s="78">
        <f>200/249/3</f>
        <v>0.2677376171352075</v>
      </c>
      <c r="PP16" s="77"/>
      <c r="PQ16" s="77"/>
      <c r="PR16" s="74"/>
      <c r="PS16" s="77"/>
      <c r="PT16" s="74"/>
      <c r="PU16" s="78">
        <f>200/249/3</f>
        <v>0.2677376171352075</v>
      </c>
      <c r="PV16" s="74"/>
      <c r="PW16" s="77"/>
      <c r="PX16" s="74"/>
      <c r="PY16" s="74"/>
      <c r="PZ16" s="74"/>
      <c r="QA16" s="74"/>
      <c r="QB16" s="74"/>
      <c r="QC16" s="74"/>
      <c r="QD16" s="74"/>
      <c r="QE16" s="77"/>
      <c r="QF16" s="74"/>
      <c r="QG16" s="77"/>
      <c r="QH16" s="74"/>
      <c r="QI16" s="74"/>
      <c r="QJ16" s="74"/>
      <c r="QK16" s="74"/>
      <c r="QL16" s="78">
        <f>200/249/3</f>
        <v>0.2677376171352075</v>
      </c>
      <c r="QM16" s="79">
        <f t="shared" si="34"/>
        <v>25.020080321285139</v>
      </c>
      <c r="QN16" s="74"/>
      <c r="QO16" s="74"/>
      <c r="QP16" s="74"/>
      <c r="QQ16" s="78">
        <f>200/249/3</f>
        <v>0.2677376171352075</v>
      </c>
      <c r="QR16" s="77"/>
      <c r="QS16" s="77"/>
      <c r="QT16" s="74"/>
      <c r="QU16" s="77"/>
      <c r="QV16" s="74"/>
      <c r="QW16" s="78">
        <f>200/249/3</f>
        <v>0.2677376171352075</v>
      </c>
      <c r="QX16" s="74"/>
      <c r="QY16" s="77"/>
      <c r="QZ16" s="74"/>
      <c r="RA16" s="74"/>
      <c r="RB16" s="74"/>
      <c r="RC16" s="74"/>
      <c r="RD16" s="74"/>
      <c r="RE16" s="74"/>
      <c r="RF16" s="74"/>
      <c r="RG16" s="77"/>
      <c r="RH16" s="74"/>
      <c r="RI16" s="77"/>
      <c r="RJ16" s="74"/>
      <c r="RK16" s="74"/>
      <c r="RL16" s="74"/>
      <c r="RM16" s="74"/>
      <c r="RN16" s="78">
        <f>200/249/3</f>
        <v>0.2677376171352075</v>
      </c>
      <c r="RO16" s="79">
        <f t="shared" si="35"/>
        <v>35.598393574297191</v>
      </c>
      <c r="RP16" s="74"/>
      <c r="RQ16" s="74"/>
      <c r="RR16" s="74"/>
      <c r="RS16" s="78">
        <f>200/249/3</f>
        <v>0.2677376171352075</v>
      </c>
      <c r="RT16" s="77"/>
      <c r="RU16" s="77"/>
      <c r="RV16" s="74"/>
      <c r="RW16" s="77"/>
      <c r="RX16" s="74"/>
      <c r="RY16" s="78">
        <f>200/249/3</f>
        <v>0.2677376171352075</v>
      </c>
      <c r="RZ16" s="74"/>
      <c r="SA16" s="77"/>
      <c r="SB16" s="74"/>
      <c r="SC16" s="74"/>
      <c r="SD16" s="74"/>
      <c r="SE16" s="74"/>
      <c r="SF16" s="74"/>
      <c r="SG16" s="74"/>
      <c r="SH16" s="74"/>
      <c r="SI16" s="77"/>
      <c r="SJ16" s="74"/>
      <c r="SK16" s="77"/>
      <c r="SL16" s="74"/>
      <c r="SM16" s="74"/>
      <c r="SN16" s="74"/>
      <c r="SO16" s="74"/>
      <c r="SP16" s="78">
        <f>200/249/3</f>
        <v>0.2677376171352075</v>
      </c>
      <c r="SQ16" s="79">
        <f t="shared" si="36"/>
        <v>10.216867469879519</v>
      </c>
      <c r="SR16" s="80">
        <f t="shared" si="37"/>
        <v>200.04016064257027</v>
      </c>
      <c r="SS16" s="16">
        <f t="shared" si="38"/>
        <v>1100.0658517483394</v>
      </c>
      <c r="ST16" s="88">
        <f t="shared" si="39"/>
        <v>3022.8731475360569</v>
      </c>
      <c r="SU16" s="88">
        <f t="shared" si="40"/>
        <v>1844.5605468749998</v>
      </c>
      <c r="SV16" s="88">
        <f t="shared" si="41"/>
        <v>1225.7402343749998</v>
      </c>
      <c r="SW16" s="88">
        <f t="shared" si="42"/>
        <v>937.83328212851404</v>
      </c>
      <c r="SX16" s="91">
        <f t="shared" si="43"/>
        <v>393.82226489959839</v>
      </c>
      <c r="SY16" s="16">
        <f t="shared" si="48"/>
        <v>604.5746295072114</v>
      </c>
      <c r="SZ16" s="16">
        <f t="shared" si="49"/>
        <v>725.48955540865359</v>
      </c>
      <c r="TA16" s="16">
        <f t="shared" si="50"/>
        <v>604.5746295072114</v>
      </c>
      <c r="TB16" s="92">
        <f t="shared" si="51"/>
        <v>1088.2343331129805</v>
      </c>
      <c r="TC16" s="16">
        <f t="shared" si="52"/>
        <v>368.912109375</v>
      </c>
      <c r="TD16" s="16">
        <f t="shared" si="53"/>
        <v>442.69453124999995</v>
      </c>
      <c r="TE16" s="16">
        <f t="shared" si="54"/>
        <v>368.912109375</v>
      </c>
      <c r="TF16" s="92">
        <f t="shared" si="55"/>
        <v>664.04179687499993</v>
      </c>
      <c r="TG16" s="16">
        <f t="shared" si="56"/>
        <v>245.14804687499998</v>
      </c>
      <c r="TH16" s="16">
        <f t="shared" si="57"/>
        <v>294.17765624999993</v>
      </c>
      <c r="TI16" s="16">
        <f t="shared" si="58"/>
        <v>245.14804687499998</v>
      </c>
      <c r="TJ16" s="92">
        <f t="shared" si="59"/>
        <v>441.26648437499989</v>
      </c>
      <c r="TK16" s="16">
        <f t="shared" si="60"/>
        <v>187.56665642570283</v>
      </c>
      <c r="TL16" s="16">
        <f t="shared" si="61"/>
        <v>225.07998771084337</v>
      </c>
      <c r="TM16" s="16">
        <f t="shared" si="62"/>
        <v>187.56665642570283</v>
      </c>
      <c r="TN16" s="92">
        <f t="shared" si="63"/>
        <v>337.61998156626504</v>
      </c>
      <c r="TO16" s="16">
        <f t="shared" si="44"/>
        <v>78.764452979919682</v>
      </c>
      <c r="TP16" s="16">
        <f t="shared" si="45"/>
        <v>94.51734357590361</v>
      </c>
      <c r="TQ16" s="16">
        <f t="shared" si="46"/>
        <v>78.764452979919682</v>
      </c>
      <c r="TR16" s="92">
        <f t="shared" si="47"/>
        <v>141.77601536385541</v>
      </c>
    </row>
    <row r="17" spans="1:539">
      <c r="A17" s="180"/>
      <c r="B17" s="101" t="str">
        <f>+A16</f>
        <v>Herbicidas</v>
      </c>
      <c r="C17" s="71" t="s">
        <v>309</v>
      </c>
      <c r="D17" s="87">
        <f>+IFERROR(INDEX(Productos[USD],MATCH(C17,Productos[Productos],0)),0)</f>
        <v>10.573431171820125</v>
      </c>
      <c r="E17" s="74"/>
      <c r="F17" s="74"/>
      <c r="G17" s="74"/>
      <c r="H17" s="78">
        <f>200/133.12/3</f>
        <v>0.50080128205128205</v>
      </c>
      <c r="I17" s="77"/>
      <c r="J17" s="77"/>
      <c r="K17" s="74"/>
      <c r="L17" s="77"/>
      <c r="M17" s="74"/>
      <c r="N17" s="78">
        <f>200/133.12/3</f>
        <v>0.50080128205128205</v>
      </c>
      <c r="O17" s="74"/>
      <c r="P17" s="77"/>
      <c r="Q17" s="74"/>
      <c r="R17" s="74"/>
      <c r="S17" s="74"/>
      <c r="T17" s="74"/>
      <c r="U17" s="74"/>
      <c r="V17" s="74"/>
      <c r="W17" s="74"/>
      <c r="X17" s="77"/>
      <c r="Y17" s="74"/>
      <c r="Z17" s="77"/>
      <c r="AA17" s="74"/>
      <c r="AB17" s="74"/>
      <c r="AC17" s="74"/>
      <c r="AD17" s="74"/>
      <c r="AE17" s="78">
        <f>200/133.12/3</f>
        <v>0.50080128205128205</v>
      </c>
      <c r="AF17" s="79">
        <f t="shared" si="16"/>
        <v>32.914663461538453</v>
      </c>
      <c r="AG17" s="74"/>
      <c r="AH17" s="74"/>
      <c r="AI17" s="74"/>
      <c r="AJ17" s="78">
        <f>200/133.12/3</f>
        <v>0.50080128205128205</v>
      </c>
      <c r="AK17" s="77"/>
      <c r="AL17" s="77"/>
      <c r="AM17" s="74"/>
      <c r="AN17" s="77"/>
      <c r="AO17" s="74"/>
      <c r="AP17" s="77">
        <f>200/133.12/3</f>
        <v>0.50080128205128205</v>
      </c>
      <c r="AQ17" s="74"/>
      <c r="AR17" s="77"/>
      <c r="AS17" s="74"/>
      <c r="AT17" s="74"/>
      <c r="AU17" s="74"/>
      <c r="AV17" s="74"/>
      <c r="AW17" s="74"/>
      <c r="AX17" s="74"/>
      <c r="AY17" s="74"/>
      <c r="AZ17" s="77"/>
      <c r="BA17" s="74"/>
      <c r="BB17" s="77"/>
      <c r="BC17" s="74"/>
      <c r="BD17" s="74"/>
      <c r="BE17" s="74"/>
      <c r="BF17" s="74"/>
      <c r="BG17" s="74">
        <f>200/133.12/3</f>
        <v>0.50080128205128205</v>
      </c>
      <c r="BH17" s="79">
        <f t="shared" si="17"/>
        <v>23.798076923076927</v>
      </c>
      <c r="BI17" s="74"/>
      <c r="BJ17" s="74"/>
      <c r="BK17" s="74"/>
      <c r="BL17" s="78">
        <f>200/133.12/3</f>
        <v>0.50080128205128205</v>
      </c>
      <c r="BM17" s="77"/>
      <c r="BN17" s="77"/>
      <c r="BO17" s="74"/>
      <c r="BP17" s="77"/>
      <c r="BQ17" s="74"/>
      <c r="BR17" s="77">
        <f>200/133.12/3</f>
        <v>0.50080128205128205</v>
      </c>
      <c r="BS17" s="74"/>
      <c r="BT17" s="77"/>
      <c r="BU17" s="74"/>
      <c r="BV17" s="74"/>
      <c r="BW17" s="74"/>
      <c r="BX17" s="74"/>
      <c r="BY17" s="74"/>
      <c r="BZ17" s="74"/>
      <c r="CA17" s="74"/>
      <c r="CB17" s="77"/>
      <c r="CC17" s="74"/>
      <c r="CD17" s="77"/>
      <c r="CE17" s="74"/>
      <c r="CF17" s="74"/>
      <c r="CG17" s="74"/>
      <c r="CH17" s="74"/>
      <c r="CI17" s="74">
        <f>200/133.12/3</f>
        <v>0.50080128205128205</v>
      </c>
      <c r="CJ17" s="79">
        <f t="shared" si="18"/>
        <v>29.33563701923077</v>
      </c>
      <c r="CK17" s="74"/>
      <c r="CL17" s="74"/>
      <c r="CM17" s="74"/>
      <c r="CN17" s="78">
        <f>200/133.12/3</f>
        <v>0.50080128205128205</v>
      </c>
      <c r="CO17" s="77"/>
      <c r="CP17" s="77"/>
      <c r="CQ17" s="74"/>
      <c r="CR17" s="77"/>
      <c r="CS17" s="74"/>
      <c r="CT17" s="77">
        <f>200/133.12/3</f>
        <v>0.50080128205128205</v>
      </c>
      <c r="CU17" s="74"/>
      <c r="CV17" s="77"/>
      <c r="CW17" s="74"/>
      <c r="CX17" s="74"/>
      <c r="CY17" s="74"/>
      <c r="CZ17" s="74"/>
      <c r="DA17" s="74"/>
      <c r="DB17" s="74"/>
      <c r="DC17" s="74"/>
      <c r="DD17" s="77"/>
      <c r="DE17" s="74"/>
      <c r="DF17" s="77"/>
      <c r="DG17" s="74"/>
      <c r="DH17" s="74"/>
      <c r="DI17" s="74"/>
      <c r="DJ17" s="74"/>
      <c r="DK17" s="74">
        <f>200/133.12/3</f>
        <v>0.50080128205128205</v>
      </c>
      <c r="DL17" s="79">
        <f t="shared" si="19"/>
        <v>8.6838942307692299</v>
      </c>
      <c r="DM17" s="74"/>
      <c r="DN17" s="74"/>
      <c r="DO17" s="74"/>
      <c r="DP17" s="78">
        <f>200/133.12/3</f>
        <v>0.50080128205128205</v>
      </c>
      <c r="DQ17" s="77"/>
      <c r="DR17" s="77"/>
      <c r="DS17" s="74"/>
      <c r="DT17" s="77"/>
      <c r="DU17" s="74"/>
      <c r="DV17" s="77">
        <f>200/133.12/3</f>
        <v>0.50080128205128205</v>
      </c>
      <c r="DW17" s="74"/>
      <c r="DX17" s="77"/>
      <c r="DY17" s="74"/>
      <c r="DZ17" s="74"/>
      <c r="EA17" s="74"/>
      <c r="EB17" s="74"/>
      <c r="EC17" s="74"/>
      <c r="ED17" s="74"/>
      <c r="EE17" s="74"/>
      <c r="EF17" s="77"/>
      <c r="EG17" s="74"/>
      <c r="EH17" s="77"/>
      <c r="EI17" s="74"/>
      <c r="EJ17" s="74"/>
      <c r="EK17" s="74"/>
      <c r="EL17" s="74"/>
      <c r="EM17" s="74">
        <f>200/133.12/3</f>
        <v>0.50080128205128205</v>
      </c>
      <c r="EN17" s="79">
        <f t="shared" si="20"/>
        <v>4.4921875000000009</v>
      </c>
      <c r="EO17" s="80">
        <f t="shared" si="21"/>
        <v>99.224459134615373</v>
      </c>
      <c r="EP17" s="74"/>
      <c r="EQ17" s="74"/>
      <c r="ER17" s="74"/>
      <c r="ES17" s="78">
        <f>200/133.12/3</f>
        <v>0.50080128205128205</v>
      </c>
      <c r="ET17" s="77"/>
      <c r="EU17" s="77"/>
      <c r="EV17" s="74"/>
      <c r="EW17" s="77"/>
      <c r="EX17" s="74"/>
      <c r="EY17" s="77">
        <f>200/133.12/3</f>
        <v>0.50080128205128205</v>
      </c>
      <c r="EZ17" s="74"/>
      <c r="FA17" s="77"/>
      <c r="FB17" s="74"/>
      <c r="FC17" s="74"/>
      <c r="FD17" s="74"/>
      <c r="FE17" s="74"/>
      <c r="FF17" s="74"/>
      <c r="FG17" s="74"/>
      <c r="FH17" s="74"/>
      <c r="FI17" s="77"/>
      <c r="FJ17" s="74"/>
      <c r="FK17" s="77"/>
      <c r="FL17" s="74"/>
      <c r="FM17" s="74"/>
      <c r="FN17" s="74"/>
      <c r="FO17" s="74"/>
      <c r="FP17" s="74">
        <f>200/133.12/3</f>
        <v>0.50080128205128205</v>
      </c>
      <c r="FQ17" s="79">
        <f t="shared" si="22"/>
        <v>17.127403846153847</v>
      </c>
      <c r="FR17" s="74"/>
      <c r="FS17" s="74"/>
      <c r="FT17" s="74"/>
      <c r="FU17" s="78">
        <f>200/133.12/3</f>
        <v>0.50080128205128205</v>
      </c>
      <c r="FV17" s="77"/>
      <c r="FW17" s="77"/>
      <c r="FX17" s="74"/>
      <c r="FY17" s="77"/>
      <c r="FZ17" s="74"/>
      <c r="GA17" s="77">
        <f>200/133.12/3</f>
        <v>0.50080128205128205</v>
      </c>
      <c r="GB17" s="74"/>
      <c r="GC17" s="77"/>
      <c r="GD17" s="74"/>
      <c r="GE17" s="74"/>
      <c r="GF17" s="74"/>
      <c r="GG17" s="74"/>
      <c r="GH17" s="74"/>
      <c r="GI17" s="74"/>
      <c r="GJ17" s="74"/>
      <c r="GK17" s="77"/>
      <c r="GL17" s="74"/>
      <c r="GM17" s="77"/>
      <c r="GN17" s="74"/>
      <c r="GO17" s="74"/>
      <c r="GP17" s="74"/>
      <c r="GQ17" s="74"/>
      <c r="GR17" s="74">
        <f>200/133.12/3</f>
        <v>0.50080128205128205</v>
      </c>
      <c r="GS17" s="79">
        <f t="shared" si="23"/>
        <v>14.723557692307695</v>
      </c>
      <c r="GT17" s="74"/>
      <c r="GU17" s="74"/>
      <c r="GV17" s="74"/>
      <c r="GW17" s="78">
        <f>200/133.12/3</f>
        <v>0.50080128205128205</v>
      </c>
      <c r="GX17" s="77"/>
      <c r="GY17" s="77"/>
      <c r="GZ17" s="74"/>
      <c r="HA17" s="77"/>
      <c r="HB17" s="74"/>
      <c r="HC17" s="77">
        <f>200/133.12/3</f>
        <v>0.50080128205128205</v>
      </c>
      <c r="HD17" s="74"/>
      <c r="HE17" s="77"/>
      <c r="HF17" s="74"/>
      <c r="HG17" s="74"/>
      <c r="HH17" s="74"/>
      <c r="HI17" s="74"/>
      <c r="HJ17" s="74"/>
      <c r="HK17" s="74"/>
      <c r="HL17" s="74"/>
      <c r="HM17" s="77"/>
      <c r="HN17" s="74"/>
      <c r="HO17" s="77"/>
      <c r="HP17" s="74"/>
      <c r="HQ17" s="74"/>
      <c r="HR17" s="74"/>
      <c r="HS17" s="74"/>
      <c r="HT17" s="74">
        <f>200/133.12/3</f>
        <v>0.50080128205128205</v>
      </c>
      <c r="HU17" s="79">
        <f t="shared" si="24"/>
        <v>28.695913461538467</v>
      </c>
      <c r="HV17" s="80">
        <f t="shared" si="25"/>
        <v>60.546875000000007</v>
      </c>
      <c r="HW17" s="74"/>
      <c r="HX17" s="74"/>
      <c r="HY17" s="74"/>
      <c r="HZ17" s="78">
        <f>200/133.12/3</f>
        <v>0.50080128205128205</v>
      </c>
      <c r="IA17" s="77"/>
      <c r="IB17" s="77"/>
      <c r="IC17" s="74"/>
      <c r="ID17" s="77"/>
      <c r="IE17" s="74"/>
      <c r="IF17" s="77">
        <f>200/133.12/3</f>
        <v>0.50080128205128205</v>
      </c>
      <c r="IG17" s="74"/>
      <c r="IH17" s="77"/>
      <c r="II17" s="74"/>
      <c r="IJ17" s="74"/>
      <c r="IK17" s="74"/>
      <c r="IL17" s="74"/>
      <c r="IM17" s="74"/>
      <c r="IN17" s="74"/>
      <c r="IO17" s="74"/>
      <c r="IP17" s="77"/>
      <c r="IQ17" s="74"/>
      <c r="IR17" s="77"/>
      <c r="IS17" s="74"/>
      <c r="IT17" s="74"/>
      <c r="IU17" s="74"/>
      <c r="IV17" s="74"/>
      <c r="IW17" s="74">
        <f>200/133.12/3</f>
        <v>0.50080128205128205</v>
      </c>
      <c r="IX17" s="79">
        <f t="shared" si="26"/>
        <v>8.743990384615385</v>
      </c>
      <c r="IY17" s="74"/>
      <c r="IZ17" s="74"/>
      <c r="JA17" s="74"/>
      <c r="JB17" s="78">
        <f>200/133.12/3</f>
        <v>0.50080128205128205</v>
      </c>
      <c r="JC17" s="77"/>
      <c r="JD17" s="77"/>
      <c r="JE17" s="74"/>
      <c r="JF17" s="77"/>
      <c r="JG17" s="74"/>
      <c r="JH17" s="77">
        <f>200/133.12/3</f>
        <v>0.50080128205128205</v>
      </c>
      <c r="JI17" s="74"/>
      <c r="JJ17" s="77"/>
      <c r="JK17" s="74"/>
      <c r="JL17" s="74"/>
      <c r="JM17" s="74"/>
      <c r="JN17" s="74"/>
      <c r="JO17" s="74"/>
      <c r="JP17" s="74"/>
      <c r="JQ17" s="74"/>
      <c r="JR17" s="77"/>
      <c r="JS17" s="74"/>
      <c r="JT17" s="77"/>
      <c r="JU17" s="74"/>
      <c r="JV17" s="74"/>
      <c r="JW17" s="74"/>
      <c r="JX17" s="74"/>
      <c r="JY17" s="74">
        <f>200/133.12/3</f>
        <v>0.50080128205128205</v>
      </c>
      <c r="JZ17" s="79">
        <f t="shared" si="27"/>
        <v>22.055288461538463</v>
      </c>
      <c r="KA17" s="74"/>
      <c r="KB17" s="74"/>
      <c r="KC17" s="74"/>
      <c r="KD17" s="78">
        <f>200/133.12/3</f>
        <v>0.50080128205128205</v>
      </c>
      <c r="KE17" s="77"/>
      <c r="KF17" s="77"/>
      <c r="KG17" s="74"/>
      <c r="KH17" s="77"/>
      <c r="KI17" s="74"/>
      <c r="KJ17" s="77">
        <f>200/133.12/3</f>
        <v>0.50080128205128205</v>
      </c>
      <c r="KK17" s="74"/>
      <c r="KL17" s="77"/>
      <c r="KM17" s="74"/>
      <c r="KN17" s="74"/>
      <c r="KO17" s="74"/>
      <c r="KP17" s="74"/>
      <c r="KQ17" s="74"/>
      <c r="KR17" s="74"/>
      <c r="KS17" s="74"/>
      <c r="KT17" s="77"/>
      <c r="KU17" s="74"/>
      <c r="KV17" s="77"/>
      <c r="KW17" s="74"/>
      <c r="KX17" s="74"/>
      <c r="KY17" s="74"/>
      <c r="KZ17" s="74"/>
      <c r="LA17" s="74">
        <f>200/133.12/3</f>
        <v>0.50080128205128205</v>
      </c>
      <c r="LB17" s="79">
        <f t="shared" si="28"/>
        <v>9.4350961538461533</v>
      </c>
      <c r="LC17" s="80">
        <f t="shared" si="29"/>
        <v>40.234375</v>
      </c>
      <c r="LD17" s="74"/>
      <c r="LE17" s="74"/>
      <c r="LF17" s="74"/>
      <c r="LG17" s="78"/>
      <c r="LH17" s="77"/>
      <c r="LI17" s="77"/>
      <c r="LJ17" s="74"/>
      <c r="LK17" s="77"/>
      <c r="LL17" s="74"/>
      <c r="LM17" s="77"/>
      <c r="LN17" s="74"/>
      <c r="LO17" s="77"/>
      <c r="LP17" s="74"/>
      <c r="LQ17" s="74"/>
      <c r="LR17" s="74"/>
      <c r="LS17" s="74"/>
      <c r="LT17" s="74"/>
      <c r="LU17" s="74"/>
      <c r="LV17" s="74"/>
      <c r="LW17" s="77"/>
      <c r="LX17" s="74"/>
      <c r="LY17" s="77"/>
      <c r="LZ17" s="74"/>
      <c r="MA17" s="74"/>
      <c r="MB17" s="74"/>
      <c r="MC17" s="74"/>
      <c r="MD17" s="74"/>
      <c r="ME17" s="79">
        <f t="shared" si="30"/>
        <v>0</v>
      </c>
      <c r="MF17" s="74"/>
      <c r="MG17" s="74"/>
      <c r="MH17" s="74"/>
      <c r="MI17" s="78"/>
      <c r="MJ17" s="77"/>
      <c r="MK17" s="77"/>
      <c r="ML17" s="74"/>
      <c r="MM17" s="77"/>
      <c r="MN17" s="74"/>
      <c r="MO17" s="77"/>
      <c r="MP17" s="74"/>
      <c r="MQ17" s="77"/>
      <c r="MR17" s="74"/>
      <c r="MS17" s="74"/>
      <c r="MT17" s="74"/>
      <c r="MU17" s="74"/>
      <c r="MV17" s="74"/>
      <c r="MW17" s="74"/>
      <c r="MX17" s="74"/>
      <c r="MY17" s="77"/>
      <c r="MZ17" s="74"/>
      <c r="NA17" s="77"/>
      <c r="NB17" s="74"/>
      <c r="NC17" s="74"/>
      <c r="ND17" s="74"/>
      <c r="NE17" s="74"/>
      <c r="NF17" s="74"/>
      <c r="NG17" s="79">
        <f t="shared" si="31"/>
        <v>0</v>
      </c>
      <c r="NH17" s="74"/>
      <c r="NI17" s="74"/>
      <c r="NJ17" s="74"/>
      <c r="NK17" s="78"/>
      <c r="NL17" s="77"/>
      <c r="NM17" s="77"/>
      <c r="NN17" s="74"/>
      <c r="NO17" s="77"/>
      <c r="NP17" s="74"/>
      <c r="NQ17" s="77"/>
      <c r="NR17" s="74"/>
      <c r="NS17" s="77"/>
      <c r="NT17" s="74"/>
      <c r="NU17" s="74"/>
      <c r="NV17" s="74"/>
      <c r="NW17" s="74"/>
      <c r="NX17" s="74"/>
      <c r="NY17" s="74"/>
      <c r="NZ17" s="74"/>
      <c r="OA17" s="77"/>
      <c r="OB17" s="74"/>
      <c r="OC17" s="77"/>
      <c r="OD17" s="74"/>
      <c r="OE17" s="74"/>
      <c r="OF17" s="74"/>
      <c r="OG17" s="74"/>
      <c r="OH17" s="74"/>
      <c r="OI17" s="79">
        <f t="shared" si="32"/>
        <v>0</v>
      </c>
      <c r="OJ17" s="74"/>
      <c r="OK17" s="74"/>
      <c r="OL17" s="74"/>
      <c r="OM17" s="78"/>
      <c r="ON17" s="77"/>
      <c r="OO17" s="77"/>
      <c r="OP17" s="74"/>
      <c r="OQ17" s="77"/>
      <c r="OR17" s="74"/>
      <c r="OS17" s="77"/>
      <c r="OT17" s="74"/>
      <c r="OU17" s="77"/>
      <c r="OV17" s="74"/>
      <c r="OW17" s="74"/>
      <c r="OX17" s="74"/>
      <c r="OY17" s="74"/>
      <c r="OZ17" s="74"/>
      <c r="PA17" s="74"/>
      <c r="PB17" s="74"/>
      <c r="PC17" s="77"/>
      <c r="PD17" s="74"/>
      <c r="PE17" s="77"/>
      <c r="PF17" s="74"/>
      <c r="PG17" s="74"/>
      <c r="PH17" s="74"/>
      <c r="PI17" s="74"/>
      <c r="PJ17" s="74"/>
      <c r="PK17" s="79">
        <f t="shared" si="33"/>
        <v>0</v>
      </c>
      <c r="PL17" s="74"/>
      <c r="PM17" s="74"/>
      <c r="PN17" s="74"/>
      <c r="PO17" s="78"/>
      <c r="PP17" s="77"/>
      <c r="PQ17" s="77"/>
      <c r="PR17" s="74"/>
      <c r="PS17" s="77"/>
      <c r="PT17" s="74"/>
      <c r="PU17" s="77"/>
      <c r="PV17" s="74"/>
      <c r="PW17" s="77"/>
      <c r="PX17" s="74"/>
      <c r="PY17" s="74"/>
      <c r="PZ17" s="74"/>
      <c r="QA17" s="74"/>
      <c r="QB17" s="74"/>
      <c r="QC17" s="74"/>
      <c r="QD17" s="74"/>
      <c r="QE17" s="77"/>
      <c r="QF17" s="74"/>
      <c r="QG17" s="77"/>
      <c r="QH17" s="74"/>
      <c r="QI17" s="74"/>
      <c r="QJ17" s="74"/>
      <c r="QK17" s="74"/>
      <c r="QL17" s="74"/>
      <c r="QM17" s="79">
        <f t="shared" si="34"/>
        <v>0</v>
      </c>
      <c r="QN17" s="74"/>
      <c r="QO17" s="74"/>
      <c r="QP17" s="74"/>
      <c r="QQ17" s="78"/>
      <c r="QR17" s="77"/>
      <c r="QS17" s="77"/>
      <c r="QT17" s="74"/>
      <c r="QU17" s="77"/>
      <c r="QV17" s="74"/>
      <c r="QW17" s="77"/>
      <c r="QX17" s="74"/>
      <c r="QY17" s="77"/>
      <c r="QZ17" s="74"/>
      <c r="RA17" s="74"/>
      <c r="RB17" s="74"/>
      <c r="RC17" s="74"/>
      <c r="RD17" s="74"/>
      <c r="RE17" s="74"/>
      <c r="RF17" s="74"/>
      <c r="RG17" s="77"/>
      <c r="RH17" s="74"/>
      <c r="RI17" s="77"/>
      <c r="RJ17" s="74"/>
      <c r="RK17" s="74"/>
      <c r="RL17" s="74"/>
      <c r="RM17" s="74"/>
      <c r="RN17" s="74"/>
      <c r="RO17" s="79">
        <f t="shared" si="35"/>
        <v>0</v>
      </c>
      <c r="RP17" s="74"/>
      <c r="RQ17" s="74"/>
      <c r="RR17" s="74"/>
      <c r="RS17" s="78"/>
      <c r="RT17" s="77"/>
      <c r="RU17" s="77"/>
      <c r="RV17" s="74"/>
      <c r="RW17" s="77"/>
      <c r="RX17" s="74"/>
      <c r="RY17" s="77"/>
      <c r="RZ17" s="74"/>
      <c r="SA17" s="77"/>
      <c r="SB17" s="74"/>
      <c r="SC17" s="74"/>
      <c r="SD17" s="74"/>
      <c r="SE17" s="74"/>
      <c r="SF17" s="74"/>
      <c r="SG17" s="74"/>
      <c r="SH17" s="74"/>
      <c r="SI17" s="77"/>
      <c r="SJ17" s="74"/>
      <c r="SK17" s="77"/>
      <c r="SL17" s="74"/>
      <c r="SM17" s="74"/>
      <c r="SN17" s="74"/>
      <c r="SO17" s="74"/>
      <c r="SP17" s="74"/>
      <c r="SQ17" s="79">
        <f t="shared" si="36"/>
        <v>0</v>
      </c>
      <c r="SR17" s="80">
        <f t="shared" si="37"/>
        <v>0</v>
      </c>
      <c r="SS17" s="16">
        <f t="shared" si="38"/>
        <v>200.00570913461539</v>
      </c>
      <c r="ST17" s="88">
        <f t="shared" si="39"/>
        <v>1049.1429892209344</v>
      </c>
      <c r="SU17" s="88">
        <f t="shared" si="40"/>
        <v>640.18821548129677</v>
      </c>
      <c r="SV17" s="88">
        <f t="shared" si="41"/>
        <v>425.41539480370034</v>
      </c>
      <c r="SW17" s="88">
        <f t="shared" si="42"/>
        <v>0</v>
      </c>
      <c r="SX17" s="91">
        <f t="shared" si="43"/>
        <v>0</v>
      </c>
      <c r="SY17" s="16">
        <f t="shared" si="48"/>
        <v>209.8285978441869</v>
      </c>
      <c r="SZ17" s="16">
        <f t="shared" si="49"/>
        <v>251.79431741302426</v>
      </c>
      <c r="TA17" s="16">
        <f t="shared" si="50"/>
        <v>209.8285978441869</v>
      </c>
      <c r="TB17" s="92">
        <f t="shared" si="51"/>
        <v>377.69147611953639</v>
      </c>
      <c r="TC17" s="16">
        <f t="shared" si="52"/>
        <v>128.03764309625936</v>
      </c>
      <c r="TD17" s="16">
        <f t="shared" si="53"/>
        <v>153.64517171551122</v>
      </c>
      <c r="TE17" s="16">
        <f t="shared" si="54"/>
        <v>128.03764309625936</v>
      </c>
      <c r="TF17" s="92">
        <f t="shared" si="55"/>
        <v>230.46775757326682</v>
      </c>
      <c r="TG17" s="16">
        <f t="shared" si="56"/>
        <v>85.083078960740067</v>
      </c>
      <c r="TH17" s="16">
        <f t="shared" si="57"/>
        <v>102.09969475288808</v>
      </c>
      <c r="TI17" s="16">
        <f t="shared" si="58"/>
        <v>85.083078960740067</v>
      </c>
      <c r="TJ17" s="92">
        <f t="shared" si="59"/>
        <v>153.1495421293321</v>
      </c>
      <c r="TK17" s="16">
        <f t="shared" si="60"/>
        <v>0</v>
      </c>
      <c r="TL17" s="16">
        <f t="shared" si="61"/>
        <v>0</v>
      </c>
      <c r="TM17" s="16">
        <f t="shared" si="62"/>
        <v>0</v>
      </c>
      <c r="TN17" s="92">
        <f t="shared" si="63"/>
        <v>0</v>
      </c>
      <c r="TO17" s="16">
        <f t="shared" si="44"/>
        <v>0</v>
      </c>
      <c r="TP17" s="16">
        <f t="shared" si="45"/>
        <v>0</v>
      </c>
      <c r="TQ17" s="16">
        <f t="shared" si="46"/>
        <v>0</v>
      </c>
      <c r="TR17" s="92">
        <f t="shared" si="47"/>
        <v>0</v>
      </c>
    </row>
    <row r="18" spans="1:539">
      <c r="A18" s="180"/>
      <c r="B18" s="101" t="str">
        <f>+A16</f>
        <v>Herbicidas</v>
      </c>
      <c r="C18" s="71" t="s">
        <v>310</v>
      </c>
      <c r="D18" s="87">
        <f>+IFERROR(INDEX(Productos[USD],MATCH(C18,Productos[Productos],0)),0)</f>
        <v>4.1399999999999997</v>
      </c>
      <c r="E18" s="74"/>
      <c r="F18" s="74"/>
      <c r="G18" s="74"/>
      <c r="H18" s="78">
        <f>300/133.12/3</f>
        <v>0.75120192307692302</v>
      </c>
      <c r="I18" s="77"/>
      <c r="J18" s="77"/>
      <c r="K18" s="74"/>
      <c r="L18" s="77"/>
      <c r="M18" s="74"/>
      <c r="N18" s="78">
        <f>300/133.12/3</f>
        <v>0.75120192307692302</v>
      </c>
      <c r="O18" s="74"/>
      <c r="P18" s="77"/>
      <c r="Q18" s="74"/>
      <c r="R18" s="74"/>
      <c r="S18" s="74"/>
      <c r="T18" s="74"/>
      <c r="U18" s="74"/>
      <c r="V18" s="74"/>
      <c r="W18" s="74"/>
      <c r="X18" s="77"/>
      <c r="Y18" s="74"/>
      <c r="Z18" s="77"/>
      <c r="AA18" s="74"/>
      <c r="AB18" s="74"/>
      <c r="AC18" s="74"/>
      <c r="AD18" s="74"/>
      <c r="AE18" s="78">
        <f>300/133.12/3</f>
        <v>0.75120192307692302</v>
      </c>
      <c r="AF18" s="79">
        <f t="shared" si="16"/>
        <v>49.371995192307679</v>
      </c>
      <c r="AG18" s="74"/>
      <c r="AH18" s="74"/>
      <c r="AI18" s="74"/>
      <c r="AJ18" s="78">
        <f>300/133.12/3</f>
        <v>0.75120192307692302</v>
      </c>
      <c r="AK18" s="77"/>
      <c r="AL18" s="77"/>
      <c r="AM18" s="74"/>
      <c r="AN18" s="77"/>
      <c r="AO18" s="74"/>
      <c r="AP18" s="78">
        <f>300/133.12/3</f>
        <v>0.75120192307692302</v>
      </c>
      <c r="AQ18" s="74"/>
      <c r="AR18" s="77"/>
      <c r="AS18" s="74"/>
      <c r="AT18" s="74"/>
      <c r="AU18" s="74"/>
      <c r="AV18" s="74"/>
      <c r="AW18" s="74"/>
      <c r="AX18" s="74"/>
      <c r="AY18" s="74"/>
      <c r="AZ18" s="77"/>
      <c r="BA18" s="74"/>
      <c r="BB18" s="77"/>
      <c r="BC18" s="74"/>
      <c r="BD18" s="74"/>
      <c r="BE18" s="74"/>
      <c r="BF18" s="74"/>
      <c r="BG18" s="78">
        <f>300/133.12/3</f>
        <v>0.75120192307692302</v>
      </c>
      <c r="BH18" s="79">
        <f t="shared" si="17"/>
        <v>35.697115384615387</v>
      </c>
      <c r="BI18" s="74"/>
      <c r="BJ18" s="74"/>
      <c r="BK18" s="74"/>
      <c r="BL18" s="78">
        <f>300/133.12/3</f>
        <v>0.75120192307692302</v>
      </c>
      <c r="BM18" s="77"/>
      <c r="BN18" s="77"/>
      <c r="BO18" s="74"/>
      <c r="BP18" s="77"/>
      <c r="BQ18" s="74"/>
      <c r="BR18" s="78">
        <f>300/133.12/3</f>
        <v>0.75120192307692302</v>
      </c>
      <c r="BS18" s="74"/>
      <c r="BT18" s="77"/>
      <c r="BU18" s="74"/>
      <c r="BV18" s="74"/>
      <c r="BW18" s="74"/>
      <c r="BX18" s="74"/>
      <c r="BY18" s="74"/>
      <c r="BZ18" s="74"/>
      <c r="CA18" s="74"/>
      <c r="CB18" s="77"/>
      <c r="CC18" s="74"/>
      <c r="CD18" s="77"/>
      <c r="CE18" s="74"/>
      <c r="CF18" s="74"/>
      <c r="CG18" s="74"/>
      <c r="CH18" s="74"/>
      <c r="CI18" s="78">
        <f>300/133.12/3</f>
        <v>0.75120192307692302</v>
      </c>
      <c r="CJ18" s="79">
        <f t="shared" si="18"/>
        <v>44.003455528846153</v>
      </c>
      <c r="CK18" s="74"/>
      <c r="CL18" s="74"/>
      <c r="CM18" s="74"/>
      <c r="CN18" s="78">
        <f>300/133.12/3</f>
        <v>0.75120192307692302</v>
      </c>
      <c r="CO18" s="77"/>
      <c r="CP18" s="77"/>
      <c r="CQ18" s="74"/>
      <c r="CR18" s="77"/>
      <c r="CS18" s="74"/>
      <c r="CT18" s="78">
        <f>300/133.12/3</f>
        <v>0.75120192307692302</v>
      </c>
      <c r="CU18" s="74"/>
      <c r="CV18" s="77"/>
      <c r="CW18" s="74"/>
      <c r="CX18" s="74"/>
      <c r="CY18" s="74"/>
      <c r="CZ18" s="74"/>
      <c r="DA18" s="74"/>
      <c r="DB18" s="74"/>
      <c r="DC18" s="74"/>
      <c r="DD18" s="77"/>
      <c r="DE18" s="74"/>
      <c r="DF18" s="77"/>
      <c r="DG18" s="74"/>
      <c r="DH18" s="74"/>
      <c r="DI18" s="74"/>
      <c r="DJ18" s="74"/>
      <c r="DK18" s="78">
        <f>300/133.12/3</f>
        <v>0.75120192307692302</v>
      </c>
      <c r="DL18" s="79">
        <f t="shared" si="19"/>
        <v>13.025841346153845</v>
      </c>
      <c r="DM18" s="74"/>
      <c r="DN18" s="74"/>
      <c r="DO18" s="74"/>
      <c r="DP18" s="78">
        <f>300/133.12/3</f>
        <v>0.75120192307692302</v>
      </c>
      <c r="DQ18" s="77"/>
      <c r="DR18" s="77"/>
      <c r="DS18" s="74"/>
      <c r="DT18" s="77"/>
      <c r="DU18" s="74"/>
      <c r="DV18" s="78">
        <f>300/133.12/3</f>
        <v>0.75120192307692302</v>
      </c>
      <c r="DW18" s="74"/>
      <c r="DX18" s="77"/>
      <c r="DY18" s="74"/>
      <c r="DZ18" s="74"/>
      <c r="EA18" s="74"/>
      <c r="EB18" s="74"/>
      <c r="EC18" s="74"/>
      <c r="ED18" s="74"/>
      <c r="EE18" s="74"/>
      <c r="EF18" s="77"/>
      <c r="EG18" s="74"/>
      <c r="EH18" s="77"/>
      <c r="EI18" s="74"/>
      <c r="EJ18" s="74"/>
      <c r="EK18" s="74"/>
      <c r="EL18" s="74"/>
      <c r="EM18" s="78">
        <f>300/133.12/3</f>
        <v>0.75120192307692302</v>
      </c>
      <c r="EN18" s="79">
        <f t="shared" si="20"/>
        <v>6.73828125</v>
      </c>
      <c r="EO18" s="80">
        <f t="shared" si="21"/>
        <v>148.83668870192307</v>
      </c>
      <c r="EP18" s="74"/>
      <c r="EQ18" s="74"/>
      <c r="ER18" s="74"/>
      <c r="ES18" s="78">
        <f>300/133.12/3</f>
        <v>0.75120192307692302</v>
      </c>
      <c r="ET18" s="77"/>
      <c r="EU18" s="77"/>
      <c r="EV18" s="74"/>
      <c r="EW18" s="77"/>
      <c r="EX18" s="74"/>
      <c r="EY18" s="78">
        <f>300/133.12/3</f>
        <v>0.75120192307692302</v>
      </c>
      <c r="EZ18" s="74"/>
      <c r="FA18" s="77"/>
      <c r="FB18" s="74"/>
      <c r="FC18" s="74"/>
      <c r="FD18" s="74"/>
      <c r="FE18" s="74"/>
      <c r="FF18" s="74"/>
      <c r="FG18" s="74"/>
      <c r="FH18" s="74"/>
      <c r="FI18" s="77"/>
      <c r="FJ18" s="74"/>
      <c r="FK18" s="77"/>
      <c r="FL18" s="74"/>
      <c r="FM18" s="74"/>
      <c r="FN18" s="74"/>
      <c r="FO18" s="74"/>
      <c r="FP18" s="78">
        <f>300/133.12/3</f>
        <v>0.75120192307692302</v>
      </c>
      <c r="FQ18" s="79">
        <f t="shared" si="22"/>
        <v>25.69110576923077</v>
      </c>
      <c r="FR18" s="74"/>
      <c r="FS18" s="74"/>
      <c r="FT18" s="74"/>
      <c r="FU18" s="78">
        <f>300/133.12/3</f>
        <v>0.75120192307692302</v>
      </c>
      <c r="FV18" s="77"/>
      <c r="FW18" s="77"/>
      <c r="FX18" s="74"/>
      <c r="FY18" s="77"/>
      <c r="FZ18" s="74"/>
      <c r="GA18" s="78">
        <f>300/133.12/3</f>
        <v>0.75120192307692302</v>
      </c>
      <c r="GB18" s="74"/>
      <c r="GC18" s="77"/>
      <c r="GD18" s="74"/>
      <c r="GE18" s="74"/>
      <c r="GF18" s="74"/>
      <c r="GG18" s="74"/>
      <c r="GH18" s="74"/>
      <c r="GI18" s="74"/>
      <c r="GJ18" s="74"/>
      <c r="GK18" s="77"/>
      <c r="GL18" s="74"/>
      <c r="GM18" s="77"/>
      <c r="GN18" s="74"/>
      <c r="GO18" s="74"/>
      <c r="GP18" s="74"/>
      <c r="GQ18" s="74"/>
      <c r="GR18" s="78">
        <f>300/133.12/3</f>
        <v>0.75120192307692302</v>
      </c>
      <c r="GS18" s="79">
        <f t="shared" si="23"/>
        <v>22.08533653846154</v>
      </c>
      <c r="GT18" s="74"/>
      <c r="GU18" s="74"/>
      <c r="GV18" s="74"/>
      <c r="GW18" s="78">
        <f>300/133.12/3</f>
        <v>0.75120192307692302</v>
      </c>
      <c r="GX18" s="77"/>
      <c r="GY18" s="77"/>
      <c r="GZ18" s="74"/>
      <c r="HA18" s="77"/>
      <c r="HB18" s="74"/>
      <c r="HC18" s="78">
        <f>300/133.12/3</f>
        <v>0.75120192307692302</v>
      </c>
      <c r="HD18" s="74"/>
      <c r="HE18" s="77"/>
      <c r="HF18" s="74"/>
      <c r="HG18" s="74"/>
      <c r="HH18" s="74"/>
      <c r="HI18" s="74"/>
      <c r="HJ18" s="74"/>
      <c r="HK18" s="74"/>
      <c r="HL18" s="74"/>
      <c r="HM18" s="77"/>
      <c r="HN18" s="74"/>
      <c r="HO18" s="77"/>
      <c r="HP18" s="74"/>
      <c r="HQ18" s="74"/>
      <c r="HR18" s="74"/>
      <c r="HS18" s="74"/>
      <c r="HT18" s="78">
        <f>300/133.12/3</f>
        <v>0.75120192307692302</v>
      </c>
      <c r="HU18" s="79">
        <f t="shared" si="24"/>
        <v>43.043870192307693</v>
      </c>
      <c r="HV18" s="80">
        <f t="shared" si="25"/>
        <v>90.8203125</v>
      </c>
      <c r="HW18" s="74"/>
      <c r="HX18" s="74"/>
      <c r="HY18" s="74"/>
      <c r="HZ18" s="78">
        <f>300/133.12/3</f>
        <v>0.75120192307692302</v>
      </c>
      <c r="IA18" s="77"/>
      <c r="IB18" s="77"/>
      <c r="IC18" s="74"/>
      <c r="ID18" s="77"/>
      <c r="IE18" s="74"/>
      <c r="IF18" s="78">
        <f>300/133.12/3</f>
        <v>0.75120192307692302</v>
      </c>
      <c r="IG18" s="74"/>
      <c r="IH18" s="77"/>
      <c r="II18" s="74"/>
      <c r="IJ18" s="74"/>
      <c r="IK18" s="74"/>
      <c r="IL18" s="74"/>
      <c r="IM18" s="74"/>
      <c r="IN18" s="74"/>
      <c r="IO18" s="74"/>
      <c r="IP18" s="77"/>
      <c r="IQ18" s="74"/>
      <c r="IR18" s="77"/>
      <c r="IS18" s="74"/>
      <c r="IT18" s="74"/>
      <c r="IU18" s="74"/>
      <c r="IV18" s="74"/>
      <c r="IW18" s="78">
        <f>300/133.12/3</f>
        <v>0.75120192307692302</v>
      </c>
      <c r="IX18" s="79">
        <f t="shared" si="26"/>
        <v>13.115985576923077</v>
      </c>
      <c r="IY18" s="74"/>
      <c r="IZ18" s="74"/>
      <c r="JA18" s="74"/>
      <c r="JB18" s="78">
        <f>300/133.12/3</f>
        <v>0.75120192307692302</v>
      </c>
      <c r="JC18" s="77"/>
      <c r="JD18" s="77"/>
      <c r="JE18" s="74"/>
      <c r="JF18" s="77"/>
      <c r="JG18" s="74"/>
      <c r="JH18" s="78">
        <f>300/133.12/3</f>
        <v>0.75120192307692302</v>
      </c>
      <c r="JI18" s="74"/>
      <c r="JJ18" s="77"/>
      <c r="JK18" s="74"/>
      <c r="JL18" s="74"/>
      <c r="JM18" s="74"/>
      <c r="JN18" s="74"/>
      <c r="JO18" s="74"/>
      <c r="JP18" s="74"/>
      <c r="JQ18" s="74"/>
      <c r="JR18" s="77"/>
      <c r="JS18" s="74"/>
      <c r="JT18" s="77"/>
      <c r="JU18" s="74"/>
      <c r="JV18" s="74"/>
      <c r="JW18" s="74"/>
      <c r="JX18" s="74"/>
      <c r="JY18" s="78">
        <f>300/133.12/3</f>
        <v>0.75120192307692302</v>
      </c>
      <c r="JZ18" s="79">
        <f t="shared" si="27"/>
        <v>33.082932692307693</v>
      </c>
      <c r="KA18" s="74"/>
      <c r="KB18" s="74"/>
      <c r="KC18" s="74"/>
      <c r="KD18" s="78">
        <f>300/133.12/3</f>
        <v>0.75120192307692302</v>
      </c>
      <c r="KE18" s="77"/>
      <c r="KF18" s="77"/>
      <c r="KG18" s="74"/>
      <c r="KH18" s="77"/>
      <c r="KI18" s="74"/>
      <c r="KJ18" s="78">
        <f>300/133.12/3</f>
        <v>0.75120192307692302</v>
      </c>
      <c r="KK18" s="74"/>
      <c r="KL18" s="77"/>
      <c r="KM18" s="74"/>
      <c r="KN18" s="74"/>
      <c r="KO18" s="74"/>
      <c r="KP18" s="74"/>
      <c r="KQ18" s="74"/>
      <c r="KR18" s="74"/>
      <c r="KS18" s="74"/>
      <c r="KT18" s="77"/>
      <c r="KU18" s="74"/>
      <c r="KV18" s="77"/>
      <c r="KW18" s="74"/>
      <c r="KX18" s="74"/>
      <c r="KY18" s="74"/>
      <c r="KZ18" s="74"/>
      <c r="LA18" s="78">
        <f>300/133.12/3</f>
        <v>0.75120192307692302</v>
      </c>
      <c r="LB18" s="79">
        <f t="shared" si="28"/>
        <v>14.152644230769228</v>
      </c>
      <c r="LC18" s="80">
        <f t="shared" si="29"/>
        <v>60.3515625</v>
      </c>
      <c r="LD18" s="74"/>
      <c r="LE18" s="74"/>
      <c r="LF18" s="74"/>
      <c r="LG18" s="78"/>
      <c r="LH18" s="77"/>
      <c r="LI18" s="77"/>
      <c r="LJ18" s="74"/>
      <c r="LK18" s="77"/>
      <c r="LL18" s="74"/>
      <c r="LM18" s="77"/>
      <c r="LN18" s="74"/>
      <c r="LO18" s="77"/>
      <c r="LP18" s="74"/>
      <c r="LQ18" s="74"/>
      <c r="LR18" s="74"/>
      <c r="LS18" s="74"/>
      <c r="LT18" s="74"/>
      <c r="LU18" s="74"/>
      <c r="LV18" s="74"/>
      <c r="LW18" s="77"/>
      <c r="LX18" s="74"/>
      <c r="LY18" s="77"/>
      <c r="LZ18" s="74"/>
      <c r="MA18" s="74"/>
      <c r="MB18" s="74"/>
      <c r="MC18" s="74"/>
      <c r="MD18" s="74"/>
      <c r="ME18" s="79">
        <f t="shared" si="30"/>
        <v>0</v>
      </c>
      <c r="MF18" s="74"/>
      <c r="MG18" s="74"/>
      <c r="MH18" s="74"/>
      <c r="MI18" s="78"/>
      <c r="MJ18" s="77"/>
      <c r="MK18" s="77"/>
      <c r="ML18" s="74"/>
      <c r="MM18" s="77"/>
      <c r="MN18" s="74"/>
      <c r="MO18" s="77"/>
      <c r="MP18" s="74"/>
      <c r="MQ18" s="77"/>
      <c r="MR18" s="74"/>
      <c r="MS18" s="74"/>
      <c r="MT18" s="74"/>
      <c r="MU18" s="74"/>
      <c r="MV18" s="74"/>
      <c r="MW18" s="74"/>
      <c r="MX18" s="74"/>
      <c r="MY18" s="77"/>
      <c r="MZ18" s="74"/>
      <c r="NA18" s="77"/>
      <c r="NB18" s="74"/>
      <c r="NC18" s="74"/>
      <c r="ND18" s="74"/>
      <c r="NE18" s="74"/>
      <c r="NF18" s="74"/>
      <c r="NG18" s="79">
        <f t="shared" si="31"/>
        <v>0</v>
      </c>
      <c r="NH18" s="74"/>
      <c r="NI18" s="74"/>
      <c r="NJ18" s="74"/>
      <c r="NK18" s="78"/>
      <c r="NL18" s="77"/>
      <c r="NM18" s="77"/>
      <c r="NN18" s="74"/>
      <c r="NO18" s="77"/>
      <c r="NP18" s="74"/>
      <c r="NQ18" s="77"/>
      <c r="NR18" s="74"/>
      <c r="NS18" s="77"/>
      <c r="NT18" s="74"/>
      <c r="NU18" s="74"/>
      <c r="NV18" s="74"/>
      <c r="NW18" s="74"/>
      <c r="NX18" s="74"/>
      <c r="NY18" s="74"/>
      <c r="NZ18" s="74"/>
      <c r="OA18" s="77"/>
      <c r="OB18" s="74"/>
      <c r="OC18" s="77"/>
      <c r="OD18" s="74"/>
      <c r="OE18" s="74"/>
      <c r="OF18" s="74"/>
      <c r="OG18" s="74"/>
      <c r="OH18" s="74"/>
      <c r="OI18" s="79">
        <f t="shared" si="32"/>
        <v>0</v>
      </c>
      <c r="OJ18" s="74"/>
      <c r="OK18" s="74"/>
      <c r="OL18" s="74"/>
      <c r="OM18" s="78"/>
      <c r="ON18" s="77"/>
      <c r="OO18" s="77"/>
      <c r="OP18" s="74"/>
      <c r="OQ18" s="77"/>
      <c r="OR18" s="74"/>
      <c r="OS18" s="77"/>
      <c r="OT18" s="74"/>
      <c r="OU18" s="77"/>
      <c r="OV18" s="74"/>
      <c r="OW18" s="74"/>
      <c r="OX18" s="74"/>
      <c r="OY18" s="74"/>
      <c r="OZ18" s="74"/>
      <c r="PA18" s="74"/>
      <c r="PB18" s="74"/>
      <c r="PC18" s="77"/>
      <c r="PD18" s="74"/>
      <c r="PE18" s="77"/>
      <c r="PF18" s="74"/>
      <c r="PG18" s="74"/>
      <c r="PH18" s="74"/>
      <c r="PI18" s="74"/>
      <c r="PJ18" s="74"/>
      <c r="PK18" s="79">
        <f t="shared" si="33"/>
        <v>0</v>
      </c>
      <c r="PL18" s="74"/>
      <c r="PM18" s="74"/>
      <c r="PN18" s="74"/>
      <c r="PO18" s="78"/>
      <c r="PP18" s="77"/>
      <c r="PQ18" s="77"/>
      <c r="PR18" s="74"/>
      <c r="PS18" s="77"/>
      <c r="PT18" s="74"/>
      <c r="PU18" s="77"/>
      <c r="PV18" s="74"/>
      <c r="PW18" s="77"/>
      <c r="PX18" s="74"/>
      <c r="PY18" s="74"/>
      <c r="PZ18" s="74"/>
      <c r="QA18" s="74"/>
      <c r="QB18" s="74"/>
      <c r="QC18" s="74"/>
      <c r="QD18" s="74"/>
      <c r="QE18" s="77"/>
      <c r="QF18" s="74"/>
      <c r="QG18" s="77"/>
      <c r="QH18" s="74"/>
      <c r="QI18" s="74"/>
      <c r="QJ18" s="74"/>
      <c r="QK18" s="74"/>
      <c r="QL18" s="74"/>
      <c r="QM18" s="79">
        <f t="shared" si="34"/>
        <v>0</v>
      </c>
      <c r="QN18" s="74"/>
      <c r="QO18" s="74"/>
      <c r="QP18" s="74"/>
      <c r="QQ18" s="78"/>
      <c r="QR18" s="77"/>
      <c r="QS18" s="77"/>
      <c r="QT18" s="74"/>
      <c r="QU18" s="77"/>
      <c r="QV18" s="74"/>
      <c r="QW18" s="77"/>
      <c r="QX18" s="74"/>
      <c r="QY18" s="77"/>
      <c r="QZ18" s="74"/>
      <c r="RA18" s="74"/>
      <c r="RB18" s="74"/>
      <c r="RC18" s="74"/>
      <c r="RD18" s="74"/>
      <c r="RE18" s="74"/>
      <c r="RF18" s="74"/>
      <c r="RG18" s="77"/>
      <c r="RH18" s="74"/>
      <c r="RI18" s="77"/>
      <c r="RJ18" s="74"/>
      <c r="RK18" s="74"/>
      <c r="RL18" s="74"/>
      <c r="RM18" s="74"/>
      <c r="RN18" s="74"/>
      <c r="RO18" s="79">
        <f t="shared" si="35"/>
        <v>0</v>
      </c>
      <c r="RP18" s="74"/>
      <c r="RQ18" s="74"/>
      <c r="RR18" s="74"/>
      <c r="RS18" s="78"/>
      <c r="RT18" s="77"/>
      <c r="RU18" s="77"/>
      <c r="RV18" s="74"/>
      <c r="RW18" s="77"/>
      <c r="RX18" s="74"/>
      <c r="RY18" s="77"/>
      <c r="RZ18" s="74"/>
      <c r="SA18" s="77"/>
      <c r="SB18" s="74"/>
      <c r="SC18" s="74"/>
      <c r="SD18" s="74"/>
      <c r="SE18" s="74"/>
      <c r="SF18" s="74"/>
      <c r="SG18" s="74"/>
      <c r="SH18" s="74"/>
      <c r="SI18" s="77"/>
      <c r="SJ18" s="74"/>
      <c r="SK18" s="77"/>
      <c r="SL18" s="74"/>
      <c r="SM18" s="74"/>
      <c r="SN18" s="74"/>
      <c r="SO18" s="74"/>
      <c r="SP18" s="74"/>
      <c r="SQ18" s="79">
        <f t="shared" si="36"/>
        <v>0</v>
      </c>
      <c r="SR18" s="80">
        <f t="shared" si="37"/>
        <v>0</v>
      </c>
      <c r="SS18" s="16">
        <f t="shared" si="38"/>
        <v>300.00856370192309</v>
      </c>
      <c r="ST18" s="88">
        <f t="shared" si="39"/>
        <v>616.18389122596147</v>
      </c>
      <c r="SU18" s="88">
        <f t="shared" si="40"/>
        <v>375.99609374999994</v>
      </c>
      <c r="SV18" s="88">
        <f t="shared" si="41"/>
        <v>249.85546874999997</v>
      </c>
      <c r="SW18" s="88">
        <f t="shared" si="42"/>
        <v>0</v>
      </c>
      <c r="SX18" s="91">
        <f t="shared" si="43"/>
        <v>0</v>
      </c>
      <c r="SY18" s="16">
        <f t="shared" si="48"/>
        <v>123.2367782451923</v>
      </c>
      <c r="SZ18" s="16">
        <f t="shared" si="49"/>
        <v>147.88413389423076</v>
      </c>
      <c r="TA18" s="16">
        <f t="shared" si="50"/>
        <v>123.2367782451923</v>
      </c>
      <c r="TB18" s="92">
        <f t="shared" si="51"/>
        <v>221.82620084134612</v>
      </c>
      <c r="TC18" s="16">
        <f t="shared" si="52"/>
        <v>75.199218749999986</v>
      </c>
      <c r="TD18" s="16">
        <f t="shared" si="53"/>
        <v>90.239062499999989</v>
      </c>
      <c r="TE18" s="16">
        <f t="shared" si="54"/>
        <v>75.199218749999986</v>
      </c>
      <c r="TF18" s="92">
        <f t="shared" si="55"/>
        <v>135.35859374999998</v>
      </c>
      <c r="TG18" s="16">
        <f t="shared" si="56"/>
        <v>49.971093749999994</v>
      </c>
      <c r="TH18" s="16">
        <f t="shared" si="57"/>
        <v>59.965312499999989</v>
      </c>
      <c r="TI18" s="16">
        <f t="shared" si="58"/>
        <v>49.971093749999994</v>
      </c>
      <c r="TJ18" s="92">
        <f t="shared" si="59"/>
        <v>89.947968749999987</v>
      </c>
      <c r="TK18" s="16">
        <f t="shared" si="60"/>
        <v>0</v>
      </c>
      <c r="TL18" s="16">
        <f t="shared" si="61"/>
        <v>0</v>
      </c>
      <c r="TM18" s="16">
        <f t="shared" si="62"/>
        <v>0</v>
      </c>
      <c r="TN18" s="92">
        <f t="shared" si="63"/>
        <v>0</v>
      </c>
      <c r="TO18" s="16">
        <f t="shared" si="44"/>
        <v>0</v>
      </c>
      <c r="TP18" s="16">
        <f t="shared" si="45"/>
        <v>0</v>
      </c>
      <c r="TQ18" s="16">
        <f t="shared" si="46"/>
        <v>0</v>
      </c>
      <c r="TR18" s="92">
        <f t="shared" si="47"/>
        <v>0</v>
      </c>
    </row>
    <row r="19" spans="1:539">
      <c r="A19" s="181"/>
      <c r="B19" s="101" t="str">
        <f>+A16</f>
        <v>Herbicidas</v>
      </c>
      <c r="C19" s="71" t="s">
        <v>308</v>
      </c>
      <c r="D19" s="87">
        <f>+IFERROR(INDEX(Productos[USD],MATCH(C19,Productos[Productos],0)),0)</f>
        <v>3.7287223708397472</v>
      </c>
      <c r="E19" s="74"/>
      <c r="F19" s="74"/>
      <c r="G19" s="74"/>
      <c r="H19" s="78"/>
      <c r="I19" s="77"/>
      <c r="J19" s="77"/>
      <c r="K19" s="74"/>
      <c r="L19" s="77"/>
      <c r="M19" s="74"/>
      <c r="N19" s="77"/>
      <c r="O19" s="74"/>
      <c r="P19" s="77"/>
      <c r="Q19" s="74"/>
      <c r="R19" s="74"/>
      <c r="S19" s="74"/>
      <c r="T19" s="74"/>
      <c r="U19" s="74"/>
      <c r="V19" s="74"/>
      <c r="W19" s="74"/>
      <c r="X19" s="77"/>
      <c r="Y19" s="74"/>
      <c r="Z19" s="77"/>
      <c r="AA19" s="74"/>
      <c r="AB19" s="74"/>
      <c r="AC19" s="74"/>
      <c r="AD19" s="74"/>
      <c r="AE19" s="74"/>
      <c r="AF19" s="79">
        <f t="shared" si="16"/>
        <v>0</v>
      </c>
      <c r="AG19" s="74"/>
      <c r="AH19" s="74"/>
      <c r="AI19" s="74"/>
      <c r="AJ19" s="78"/>
      <c r="AK19" s="77"/>
      <c r="AL19" s="77"/>
      <c r="AM19" s="74"/>
      <c r="AN19" s="77"/>
      <c r="AO19" s="74"/>
      <c r="AP19" s="77"/>
      <c r="AQ19" s="74"/>
      <c r="AR19" s="77"/>
      <c r="AS19" s="74"/>
      <c r="AT19" s="74"/>
      <c r="AU19" s="74"/>
      <c r="AV19" s="74"/>
      <c r="AW19" s="74"/>
      <c r="AX19" s="74"/>
      <c r="AY19" s="74"/>
      <c r="AZ19" s="77"/>
      <c r="BA19" s="74"/>
      <c r="BB19" s="77"/>
      <c r="BC19" s="74"/>
      <c r="BD19" s="74"/>
      <c r="BE19" s="74"/>
      <c r="BF19" s="74"/>
      <c r="BG19" s="74"/>
      <c r="BH19" s="79">
        <f t="shared" si="17"/>
        <v>0</v>
      </c>
      <c r="BI19" s="74"/>
      <c r="BJ19" s="74"/>
      <c r="BK19" s="74"/>
      <c r="BL19" s="78"/>
      <c r="BM19" s="77"/>
      <c r="BN19" s="77"/>
      <c r="BO19" s="74"/>
      <c r="BP19" s="77"/>
      <c r="BQ19" s="74"/>
      <c r="BR19" s="77"/>
      <c r="BS19" s="74"/>
      <c r="BT19" s="77"/>
      <c r="BU19" s="74"/>
      <c r="BV19" s="74"/>
      <c r="BW19" s="74"/>
      <c r="BX19" s="74"/>
      <c r="BY19" s="74"/>
      <c r="BZ19" s="74"/>
      <c r="CA19" s="74"/>
      <c r="CB19" s="77"/>
      <c r="CC19" s="74"/>
      <c r="CD19" s="77"/>
      <c r="CE19" s="74"/>
      <c r="CF19" s="74"/>
      <c r="CG19" s="74"/>
      <c r="CH19" s="74"/>
      <c r="CI19" s="74"/>
      <c r="CJ19" s="79">
        <f t="shared" si="18"/>
        <v>0</v>
      </c>
      <c r="CK19" s="74"/>
      <c r="CL19" s="74"/>
      <c r="CM19" s="74"/>
      <c r="CN19" s="78"/>
      <c r="CO19" s="77"/>
      <c r="CP19" s="77"/>
      <c r="CQ19" s="74"/>
      <c r="CR19" s="77"/>
      <c r="CS19" s="74"/>
      <c r="CT19" s="77"/>
      <c r="CU19" s="74"/>
      <c r="CV19" s="77"/>
      <c r="CW19" s="74"/>
      <c r="CX19" s="74"/>
      <c r="CY19" s="74"/>
      <c r="CZ19" s="74"/>
      <c r="DA19" s="74"/>
      <c r="DB19" s="74"/>
      <c r="DC19" s="74"/>
      <c r="DD19" s="77"/>
      <c r="DE19" s="74"/>
      <c r="DF19" s="77"/>
      <c r="DG19" s="74"/>
      <c r="DH19" s="74"/>
      <c r="DI19" s="74"/>
      <c r="DJ19" s="74"/>
      <c r="DK19" s="74"/>
      <c r="DL19" s="79">
        <f t="shared" si="19"/>
        <v>0</v>
      </c>
      <c r="DM19" s="74"/>
      <c r="DN19" s="74"/>
      <c r="DO19" s="74"/>
      <c r="DP19" s="78"/>
      <c r="DQ19" s="77"/>
      <c r="DR19" s="77"/>
      <c r="DS19" s="74"/>
      <c r="DT19" s="77"/>
      <c r="DU19" s="74"/>
      <c r="DV19" s="77"/>
      <c r="DW19" s="74"/>
      <c r="DX19" s="77"/>
      <c r="DY19" s="74"/>
      <c r="DZ19" s="74"/>
      <c r="EA19" s="74"/>
      <c r="EB19" s="74"/>
      <c r="EC19" s="74"/>
      <c r="ED19" s="74"/>
      <c r="EE19" s="74"/>
      <c r="EF19" s="77"/>
      <c r="EG19" s="74"/>
      <c r="EH19" s="77"/>
      <c r="EI19" s="74"/>
      <c r="EJ19" s="74"/>
      <c r="EK19" s="74"/>
      <c r="EL19" s="74"/>
      <c r="EM19" s="74"/>
      <c r="EN19" s="79">
        <f t="shared" si="20"/>
        <v>0</v>
      </c>
      <c r="EO19" s="80">
        <f t="shared" si="21"/>
        <v>0</v>
      </c>
      <c r="EP19" s="74"/>
      <c r="EQ19" s="74"/>
      <c r="ER19" s="74"/>
      <c r="ES19" s="78"/>
      <c r="ET19" s="77"/>
      <c r="EU19" s="77"/>
      <c r="EV19" s="74"/>
      <c r="EW19" s="77"/>
      <c r="EX19" s="74"/>
      <c r="EY19" s="77"/>
      <c r="EZ19" s="74"/>
      <c r="FA19" s="77"/>
      <c r="FB19" s="74"/>
      <c r="FC19" s="74"/>
      <c r="FD19" s="74"/>
      <c r="FE19" s="74"/>
      <c r="FF19" s="74"/>
      <c r="FG19" s="74"/>
      <c r="FH19" s="74"/>
      <c r="FI19" s="77"/>
      <c r="FJ19" s="74"/>
      <c r="FK19" s="77"/>
      <c r="FL19" s="74"/>
      <c r="FM19" s="74"/>
      <c r="FN19" s="74"/>
      <c r="FO19" s="74"/>
      <c r="FP19" s="74"/>
      <c r="FQ19" s="79">
        <f t="shared" si="22"/>
        <v>0</v>
      </c>
      <c r="FR19" s="74"/>
      <c r="FS19" s="74"/>
      <c r="FT19" s="74"/>
      <c r="FU19" s="78"/>
      <c r="FV19" s="77"/>
      <c r="FW19" s="77"/>
      <c r="FX19" s="74"/>
      <c r="FY19" s="77"/>
      <c r="FZ19" s="74"/>
      <c r="GA19" s="77"/>
      <c r="GB19" s="74"/>
      <c r="GC19" s="77"/>
      <c r="GD19" s="74"/>
      <c r="GE19" s="74"/>
      <c r="GF19" s="74"/>
      <c r="GG19" s="74"/>
      <c r="GH19" s="74"/>
      <c r="GI19" s="74"/>
      <c r="GJ19" s="74"/>
      <c r="GK19" s="77"/>
      <c r="GL19" s="74"/>
      <c r="GM19" s="77"/>
      <c r="GN19" s="74"/>
      <c r="GO19" s="74"/>
      <c r="GP19" s="74"/>
      <c r="GQ19" s="74"/>
      <c r="GR19" s="74"/>
      <c r="GS19" s="79">
        <f t="shared" si="23"/>
        <v>0</v>
      </c>
      <c r="GT19" s="74"/>
      <c r="GU19" s="74"/>
      <c r="GV19" s="74"/>
      <c r="GW19" s="78"/>
      <c r="GX19" s="77"/>
      <c r="GY19" s="77"/>
      <c r="GZ19" s="74"/>
      <c r="HA19" s="77"/>
      <c r="HB19" s="74"/>
      <c r="HC19" s="77"/>
      <c r="HD19" s="74"/>
      <c r="HE19" s="77"/>
      <c r="HF19" s="74"/>
      <c r="HG19" s="74"/>
      <c r="HH19" s="74"/>
      <c r="HI19" s="74"/>
      <c r="HJ19" s="74"/>
      <c r="HK19" s="74"/>
      <c r="HL19" s="74"/>
      <c r="HM19" s="77"/>
      <c r="HN19" s="74"/>
      <c r="HO19" s="77"/>
      <c r="HP19" s="74"/>
      <c r="HQ19" s="74"/>
      <c r="HR19" s="74"/>
      <c r="HS19" s="74"/>
      <c r="HT19" s="74"/>
      <c r="HU19" s="79">
        <f t="shared" si="24"/>
        <v>0</v>
      </c>
      <c r="HV19" s="80">
        <f t="shared" si="25"/>
        <v>0</v>
      </c>
      <c r="HW19" s="74"/>
      <c r="HX19" s="74"/>
      <c r="HY19" s="74"/>
      <c r="HZ19" s="78"/>
      <c r="IA19" s="77"/>
      <c r="IB19" s="77"/>
      <c r="IC19" s="74"/>
      <c r="ID19" s="77"/>
      <c r="IE19" s="74"/>
      <c r="IF19" s="77"/>
      <c r="IG19" s="74"/>
      <c r="IH19" s="77"/>
      <c r="II19" s="74"/>
      <c r="IJ19" s="74"/>
      <c r="IK19" s="74"/>
      <c r="IL19" s="74"/>
      <c r="IM19" s="74"/>
      <c r="IN19" s="74"/>
      <c r="IO19" s="74"/>
      <c r="IP19" s="77"/>
      <c r="IQ19" s="74"/>
      <c r="IR19" s="77"/>
      <c r="IS19" s="74"/>
      <c r="IT19" s="74"/>
      <c r="IU19" s="74"/>
      <c r="IV19" s="74"/>
      <c r="IW19" s="74"/>
      <c r="IX19" s="79">
        <f t="shared" si="26"/>
        <v>0</v>
      </c>
      <c r="IY19" s="74"/>
      <c r="IZ19" s="74"/>
      <c r="JA19" s="74"/>
      <c r="JB19" s="78"/>
      <c r="JC19" s="77"/>
      <c r="JD19" s="77"/>
      <c r="JE19" s="74"/>
      <c r="JF19" s="77"/>
      <c r="JG19" s="74"/>
      <c r="JH19" s="77"/>
      <c r="JI19" s="74"/>
      <c r="JJ19" s="77"/>
      <c r="JK19" s="74"/>
      <c r="JL19" s="74"/>
      <c r="JM19" s="74"/>
      <c r="JN19" s="74"/>
      <c r="JO19" s="74"/>
      <c r="JP19" s="74"/>
      <c r="JQ19" s="74"/>
      <c r="JR19" s="77"/>
      <c r="JS19" s="74"/>
      <c r="JT19" s="77"/>
      <c r="JU19" s="74"/>
      <c r="JV19" s="74"/>
      <c r="JW19" s="74"/>
      <c r="JX19" s="74"/>
      <c r="JY19" s="74"/>
      <c r="JZ19" s="79">
        <f t="shared" si="27"/>
        <v>0</v>
      </c>
      <c r="KA19" s="74"/>
      <c r="KB19" s="74"/>
      <c r="KC19" s="74"/>
      <c r="KD19" s="78"/>
      <c r="KE19" s="77"/>
      <c r="KF19" s="77"/>
      <c r="KG19" s="74"/>
      <c r="KH19" s="77"/>
      <c r="KI19" s="74"/>
      <c r="KJ19" s="77"/>
      <c r="KK19" s="74"/>
      <c r="KL19" s="77"/>
      <c r="KM19" s="74"/>
      <c r="KN19" s="74"/>
      <c r="KO19" s="74"/>
      <c r="KP19" s="74"/>
      <c r="KQ19" s="74"/>
      <c r="KR19" s="74"/>
      <c r="KS19" s="74"/>
      <c r="KT19" s="77"/>
      <c r="KU19" s="74"/>
      <c r="KV19" s="77"/>
      <c r="KW19" s="74"/>
      <c r="KX19" s="74"/>
      <c r="KY19" s="74"/>
      <c r="KZ19" s="74"/>
      <c r="LA19" s="74"/>
      <c r="LB19" s="79">
        <f t="shared" si="28"/>
        <v>0</v>
      </c>
      <c r="LC19" s="80">
        <f t="shared" si="29"/>
        <v>0</v>
      </c>
      <c r="LD19" s="74"/>
      <c r="LE19" s="74"/>
      <c r="LF19" s="74"/>
      <c r="LG19" s="77">
        <f>2500/249/3</f>
        <v>3.346720214190094</v>
      </c>
      <c r="LH19" s="77"/>
      <c r="LI19" s="77"/>
      <c r="LJ19" s="74"/>
      <c r="LK19" s="77"/>
      <c r="LL19" s="74"/>
      <c r="LM19" s="77">
        <f>2500/249/3</f>
        <v>3.346720214190094</v>
      </c>
      <c r="LN19" s="74"/>
      <c r="LO19" s="77"/>
      <c r="LP19" s="74"/>
      <c r="LQ19" s="74"/>
      <c r="LR19" s="74"/>
      <c r="LS19" s="74"/>
      <c r="LT19" s="74"/>
      <c r="LU19" s="74"/>
      <c r="LV19" s="74"/>
      <c r="LW19" s="77"/>
      <c r="LX19" s="74"/>
      <c r="LY19" s="77"/>
      <c r="LZ19" s="74"/>
      <c r="MA19" s="74"/>
      <c r="MB19" s="74"/>
      <c r="MC19" s="74"/>
      <c r="MD19" s="77">
        <f>2500/249/3</f>
        <v>3.346720214190094</v>
      </c>
      <c r="ME19" s="79">
        <f t="shared" si="30"/>
        <v>277.40963855421688</v>
      </c>
      <c r="MF19" s="74"/>
      <c r="MG19" s="74"/>
      <c r="MH19" s="74"/>
      <c r="MI19" s="78">
        <f>2500/249/3</f>
        <v>3.346720214190094</v>
      </c>
      <c r="MJ19" s="77"/>
      <c r="MK19" s="77"/>
      <c r="ML19" s="74"/>
      <c r="MM19" s="77"/>
      <c r="MN19" s="74"/>
      <c r="MO19" s="77">
        <f>2500/249/3</f>
        <v>3.346720214190094</v>
      </c>
      <c r="MP19" s="74"/>
      <c r="MQ19" s="77"/>
      <c r="MR19" s="74"/>
      <c r="MS19" s="74"/>
      <c r="MT19" s="74"/>
      <c r="MU19" s="74"/>
      <c r="MV19" s="74"/>
      <c r="MW19" s="74"/>
      <c r="MX19" s="74"/>
      <c r="MY19" s="77"/>
      <c r="MZ19" s="74"/>
      <c r="NA19" s="77"/>
      <c r="NB19" s="74"/>
      <c r="NC19" s="74"/>
      <c r="ND19" s="74"/>
      <c r="NE19" s="74"/>
      <c r="NF19" s="74">
        <f>2500/249/3</f>
        <v>3.346720214190094</v>
      </c>
      <c r="NG19" s="79">
        <f t="shared" si="31"/>
        <v>554.01606425702812</v>
      </c>
      <c r="NH19" s="74"/>
      <c r="NI19" s="74"/>
      <c r="NJ19" s="74"/>
      <c r="NK19" s="78">
        <f>2500/249/3</f>
        <v>3.346720214190094</v>
      </c>
      <c r="NL19" s="77"/>
      <c r="NM19" s="77"/>
      <c r="NN19" s="74"/>
      <c r="NO19" s="77"/>
      <c r="NP19" s="74"/>
      <c r="NQ19" s="77">
        <f>2500/249/3</f>
        <v>3.346720214190094</v>
      </c>
      <c r="NR19" s="74"/>
      <c r="NS19" s="77"/>
      <c r="NT19" s="74"/>
      <c r="NU19" s="74"/>
      <c r="NV19" s="74"/>
      <c r="NW19" s="74"/>
      <c r="NX19" s="74"/>
      <c r="NY19" s="74"/>
      <c r="NZ19" s="74"/>
      <c r="OA19" s="77"/>
      <c r="OB19" s="74"/>
      <c r="OC19" s="77"/>
      <c r="OD19" s="74"/>
      <c r="OE19" s="74"/>
      <c r="OF19" s="74"/>
      <c r="OG19" s="74"/>
      <c r="OH19" s="74">
        <f>2500/249/3</f>
        <v>3.346720214190094</v>
      </c>
      <c r="OI19" s="79">
        <f t="shared" si="32"/>
        <v>522.28915662650604</v>
      </c>
      <c r="OJ19" s="74"/>
      <c r="OK19" s="74"/>
      <c r="OL19" s="74"/>
      <c r="OM19" s="78">
        <f>2500/249/3</f>
        <v>3.346720214190094</v>
      </c>
      <c r="ON19" s="77"/>
      <c r="OO19" s="77"/>
      <c r="OP19" s="74"/>
      <c r="OQ19" s="77"/>
      <c r="OR19" s="74"/>
      <c r="OS19" s="77">
        <f>2500/249/3</f>
        <v>3.346720214190094</v>
      </c>
      <c r="OT19" s="74"/>
      <c r="OU19" s="77"/>
      <c r="OV19" s="74"/>
      <c r="OW19" s="74"/>
      <c r="OX19" s="74"/>
      <c r="OY19" s="74"/>
      <c r="OZ19" s="74"/>
      <c r="PA19" s="74"/>
      <c r="PB19" s="74"/>
      <c r="PC19" s="77"/>
      <c r="PD19" s="74"/>
      <c r="PE19" s="77"/>
      <c r="PF19" s="74"/>
      <c r="PG19" s="74"/>
      <c r="PH19" s="74"/>
      <c r="PI19" s="74"/>
      <c r="PJ19" s="74">
        <f>2500/249/3</f>
        <v>3.346720214190094</v>
      </c>
      <c r="PK19" s="79">
        <f t="shared" si="33"/>
        <v>261.34538152610446</v>
      </c>
      <c r="PL19" s="74"/>
      <c r="PM19" s="74"/>
      <c r="PN19" s="74"/>
      <c r="PO19" s="78">
        <f>2500/249/3</f>
        <v>3.346720214190094</v>
      </c>
      <c r="PP19" s="77"/>
      <c r="PQ19" s="77"/>
      <c r="PR19" s="74"/>
      <c r="PS19" s="77"/>
      <c r="PT19" s="74"/>
      <c r="PU19" s="77">
        <f>2500/249/3</f>
        <v>3.346720214190094</v>
      </c>
      <c r="PV19" s="74"/>
      <c r="PW19" s="77"/>
      <c r="PX19" s="74"/>
      <c r="PY19" s="74"/>
      <c r="PZ19" s="74"/>
      <c r="QA19" s="74"/>
      <c r="QB19" s="74"/>
      <c r="QC19" s="74"/>
      <c r="QD19" s="74"/>
      <c r="QE19" s="77"/>
      <c r="QF19" s="74"/>
      <c r="QG19" s="77"/>
      <c r="QH19" s="74"/>
      <c r="QI19" s="74"/>
      <c r="QJ19" s="74"/>
      <c r="QK19" s="74"/>
      <c r="QL19" s="74">
        <f>2500/249/3</f>
        <v>3.346720214190094</v>
      </c>
      <c r="QM19" s="79">
        <f t="shared" si="34"/>
        <v>312.75100401606426</v>
      </c>
      <c r="QN19" s="74"/>
      <c r="QO19" s="74"/>
      <c r="QP19" s="74"/>
      <c r="QQ19" s="78">
        <f>2500/249/3</f>
        <v>3.346720214190094</v>
      </c>
      <c r="QR19" s="77"/>
      <c r="QS19" s="77"/>
      <c r="QT19" s="74"/>
      <c r="QU19" s="77"/>
      <c r="QV19" s="74"/>
      <c r="QW19" s="77">
        <f>2500/249/3</f>
        <v>3.346720214190094</v>
      </c>
      <c r="QX19" s="74"/>
      <c r="QY19" s="77"/>
      <c r="QZ19" s="74"/>
      <c r="RA19" s="74"/>
      <c r="RB19" s="74"/>
      <c r="RC19" s="74"/>
      <c r="RD19" s="74"/>
      <c r="RE19" s="74"/>
      <c r="RF19" s="74"/>
      <c r="RG19" s="77"/>
      <c r="RH19" s="74"/>
      <c r="RI19" s="77"/>
      <c r="RJ19" s="74"/>
      <c r="RK19" s="74"/>
      <c r="RL19" s="74"/>
      <c r="RM19" s="74"/>
      <c r="RN19" s="74">
        <f>2500/249/3</f>
        <v>3.346720214190094</v>
      </c>
      <c r="RO19" s="79">
        <f t="shared" si="35"/>
        <v>444.97991967871491</v>
      </c>
      <c r="RP19" s="74"/>
      <c r="RQ19" s="74"/>
      <c r="RR19" s="74"/>
      <c r="RS19" s="78">
        <f>2500/249/3</f>
        <v>3.346720214190094</v>
      </c>
      <c r="RT19" s="77"/>
      <c r="RU19" s="77"/>
      <c r="RV19" s="74"/>
      <c r="RW19" s="77"/>
      <c r="RX19" s="74"/>
      <c r="RY19" s="77">
        <f>2500/249/3</f>
        <v>3.346720214190094</v>
      </c>
      <c r="RZ19" s="74"/>
      <c r="SA19" s="77"/>
      <c r="SB19" s="74"/>
      <c r="SC19" s="74"/>
      <c r="SD19" s="74"/>
      <c r="SE19" s="74"/>
      <c r="SF19" s="74"/>
      <c r="SG19" s="74"/>
      <c r="SH19" s="74"/>
      <c r="SI19" s="77"/>
      <c r="SJ19" s="74"/>
      <c r="SK19" s="77"/>
      <c r="SL19" s="74"/>
      <c r="SM19" s="74"/>
      <c r="SN19" s="74"/>
      <c r="SO19" s="74"/>
      <c r="SP19" s="74">
        <f>2500/249/3</f>
        <v>3.346720214190094</v>
      </c>
      <c r="SQ19" s="79">
        <f t="shared" si="36"/>
        <v>127.71084337349399</v>
      </c>
      <c r="SR19" s="80">
        <f t="shared" si="37"/>
        <v>2500.5020080321283</v>
      </c>
      <c r="SS19" s="16">
        <f t="shared" si="38"/>
        <v>2500.5020080321283</v>
      </c>
      <c r="ST19" s="88">
        <f t="shared" si="39"/>
        <v>0</v>
      </c>
      <c r="SU19" s="88">
        <f t="shared" si="40"/>
        <v>0</v>
      </c>
      <c r="SV19" s="88">
        <f t="shared" si="41"/>
        <v>0</v>
      </c>
      <c r="SW19" s="88">
        <f t="shared" si="42"/>
        <v>6456.6468596577806</v>
      </c>
      <c r="SX19" s="91">
        <f t="shared" si="43"/>
        <v>2711.3254971674837</v>
      </c>
      <c r="SY19" s="16">
        <f t="shared" si="48"/>
        <v>0</v>
      </c>
      <c r="SZ19" s="16">
        <f t="shared" si="49"/>
        <v>0</v>
      </c>
      <c r="TA19" s="16">
        <f t="shared" si="50"/>
        <v>0</v>
      </c>
      <c r="TB19" s="92">
        <f t="shared" si="51"/>
        <v>0</v>
      </c>
      <c r="TC19" s="16">
        <f t="shared" si="52"/>
        <v>0</v>
      </c>
      <c r="TD19" s="16">
        <f t="shared" si="53"/>
        <v>0</v>
      </c>
      <c r="TE19" s="16">
        <f t="shared" si="54"/>
        <v>0</v>
      </c>
      <c r="TF19" s="92">
        <f t="shared" si="55"/>
        <v>0</v>
      </c>
      <c r="TG19" s="16">
        <f t="shared" si="56"/>
        <v>0</v>
      </c>
      <c r="TH19" s="16">
        <f t="shared" si="57"/>
        <v>0</v>
      </c>
      <c r="TI19" s="16">
        <f t="shared" si="58"/>
        <v>0</v>
      </c>
      <c r="TJ19" s="92">
        <f t="shared" si="59"/>
        <v>0</v>
      </c>
      <c r="TK19" s="16">
        <f t="shared" si="60"/>
        <v>1291.3293719315561</v>
      </c>
      <c r="TL19" s="16">
        <f t="shared" si="61"/>
        <v>1549.5952463178673</v>
      </c>
      <c r="TM19" s="16">
        <f t="shared" si="62"/>
        <v>1291.3293719315561</v>
      </c>
      <c r="TN19" s="92">
        <f t="shared" si="63"/>
        <v>2324.392869476801</v>
      </c>
      <c r="TO19" s="16">
        <f t="shared" si="44"/>
        <v>542.26509943349674</v>
      </c>
      <c r="TP19" s="16">
        <f t="shared" si="45"/>
        <v>650.71811932019602</v>
      </c>
      <c r="TQ19" s="16">
        <f t="shared" si="46"/>
        <v>542.26509943349674</v>
      </c>
      <c r="TR19" s="92">
        <f t="shared" si="47"/>
        <v>976.07717898029409</v>
      </c>
    </row>
    <row r="20" spans="1:539">
      <c r="A20" s="178" t="s">
        <v>205</v>
      </c>
      <c r="B20" s="101" t="str">
        <f>+A20</f>
        <v>Hormonas</v>
      </c>
      <c r="C20" s="71" t="s">
        <v>298</v>
      </c>
      <c r="D20" s="147">
        <f>+IFERROR(INDEX(Productos[USD],MATCH(C20,Productos[Productos],0)),0)</f>
        <v>1.502</v>
      </c>
      <c r="E20" s="74"/>
      <c r="F20" s="74"/>
      <c r="G20" s="74"/>
      <c r="H20" s="78"/>
      <c r="I20" s="77"/>
      <c r="J20" s="77"/>
      <c r="K20" s="74"/>
      <c r="L20" s="77"/>
      <c r="M20" s="74"/>
      <c r="N20" s="77"/>
      <c r="O20" s="74"/>
      <c r="P20" s="77"/>
      <c r="Q20" s="74"/>
      <c r="R20" s="74"/>
      <c r="S20" s="74"/>
      <c r="T20" s="74"/>
      <c r="U20" s="74"/>
      <c r="V20" s="74"/>
      <c r="W20" s="74"/>
      <c r="X20" s="77"/>
      <c r="Y20" s="74"/>
      <c r="Z20" s="77"/>
      <c r="AA20" s="74"/>
      <c r="AB20" s="74"/>
      <c r="AC20" s="74"/>
      <c r="AD20" s="74"/>
      <c r="AE20" s="74"/>
      <c r="AF20" s="79">
        <f t="shared" si="16"/>
        <v>0</v>
      </c>
      <c r="AG20" s="74"/>
      <c r="AH20" s="74"/>
      <c r="AI20" s="74"/>
      <c r="AJ20" s="78"/>
      <c r="AK20" s="77"/>
      <c r="AL20" s="77"/>
      <c r="AM20" s="74"/>
      <c r="AN20" s="77"/>
      <c r="AO20" s="74"/>
      <c r="AP20" s="77"/>
      <c r="AQ20" s="74"/>
      <c r="AR20" s="77"/>
      <c r="AS20" s="74"/>
      <c r="AT20" s="74"/>
      <c r="AU20" s="74"/>
      <c r="AV20" s="74"/>
      <c r="AW20" s="74"/>
      <c r="AX20" s="74"/>
      <c r="AY20" s="74"/>
      <c r="AZ20" s="77"/>
      <c r="BA20" s="74"/>
      <c r="BB20" s="77"/>
      <c r="BC20" s="74"/>
      <c r="BD20" s="74"/>
      <c r="BE20" s="74"/>
      <c r="BF20" s="74"/>
      <c r="BG20" s="74"/>
      <c r="BH20" s="79">
        <f t="shared" si="17"/>
        <v>0</v>
      </c>
      <c r="BI20" s="74"/>
      <c r="BJ20" s="74"/>
      <c r="BK20" s="74"/>
      <c r="BL20" s="78"/>
      <c r="BM20" s="77">
        <v>0.1</v>
      </c>
      <c r="BN20" s="84">
        <f>0.02+0.04+0.06</f>
        <v>0.12</v>
      </c>
      <c r="BO20" s="74"/>
      <c r="BP20" s="77"/>
      <c r="BQ20" s="74"/>
      <c r="BR20" s="77">
        <v>0.3</v>
      </c>
      <c r="BS20" s="74"/>
      <c r="BT20" s="77">
        <v>0.3</v>
      </c>
      <c r="BU20" s="74"/>
      <c r="BV20" s="74"/>
      <c r="BW20" s="74"/>
      <c r="BX20" s="74"/>
      <c r="BY20" s="74"/>
      <c r="BZ20" s="74"/>
      <c r="CA20" s="74"/>
      <c r="CB20" s="77"/>
      <c r="CC20" s="74"/>
      <c r="CD20" s="77"/>
      <c r="CE20" s="74"/>
      <c r="CF20" s="74"/>
      <c r="CG20" s="74"/>
      <c r="CH20" s="74"/>
      <c r="CI20" s="74"/>
      <c r="CJ20" s="79">
        <f t="shared" si="18"/>
        <v>16.011156</v>
      </c>
      <c r="CK20" s="74"/>
      <c r="CL20" s="74"/>
      <c r="CM20" s="74"/>
      <c r="CN20" s="78"/>
      <c r="CO20" s="77">
        <v>0.1</v>
      </c>
      <c r="CP20" s="84"/>
      <c r="CQ20" s="74"/>
      <c r="CR20" s="77"/>
      <c r="CS20" s="74"/>
      <c r="CT20" s="77">
        <v>0.3</v>
      </c>
      <c r="CU20" s="74"/>
      <c r="CV20" s="77">
        <v>0.3</v>
      </c>
      <c r="CW20" s="74"/>
      <c r="CX20" s="74"/>
      <c r="CY20" s="74"/>
      <c r="CZ20" s="74"/>
      <c r="DA20" s="74"/>
      <c r="DB20" s="74"/>
      <c r="DC20" s="74"/>
      <c r="DD20" s="77"/>
      <c r="DE20" s="74"/>
      <c r="DF20" s="77"/>
      <c r="DG20" s="74"/>
      <c r="DH20" s="74"/>
      <c r="DI20" s="74"/>
      <c r="DJ20" s="74"/>
      <c r="DK20" s="74"/>
      <c r="DL20" s="79">
        <f t="shared" si="19"/>
        <v>4.0459999999999994</v>
      </c>
      <c r="DM20" s="74"/>
      <c r="DN20" s="74"/>
      <c r="DO20" s="74"/>
      <c r="DP20" s="78"/>
      <c r="DQ20" s="77"/>
      <c r="DR20" s="77"/>
      <c r="DS20" s="74"/>
      <c r="DT20" s="77"/>
      <c r="DU20" s="74"/>
      <c r="DV20" s="77"/>
      <c r="DW20" s="74"/>
      <c r="DX20" s="77"/>
      <c r="DY20" s="74"/>
      <c r="DZ20" s="74"/>
      <c r="EA20" s="74"/>
      <c r="EB20" s="74"/>
      <c r="EC20" s="74"/>
      <c r="ED20" s="74"/>
      <c r="EE20" s="74"/>
      <c r="EF20" s="77"/>
      <c r="EG20" s="74"/>
      <c r="EH20" s="77"/>
      <c r="EI20" s="74"/>
      <c r="EJ20" s="74"/>
      <c r="EK20" s="74"/>
      <c r="EL20" s="74"/>
      <c r="EM20" s="74"/>
      <c r="EN20" s="79">
        <f t="shared" si="20"/>
        <v>0</v>
      </c>
      <c r="EO20" s="80">
        <f t="shared" si="21"/>
        <v>20.057155999999999</v>
      </c>
      <c r="EP20" s="74"/>
      <c r="EQ20" s="74"/>
      <c r="ER20" s="74"/>
      <c r="ES20" s="78"/>
      <c r="ET20" s="77"/>
      <c r="EU20" s="77"/>
      <c r="EV20" s="74"/>
      <c r="EW20" s="77"/>
      <c r="EX20" s="74"/>
      <c r="EY20" s="77"/>
      <c r="EZ20" s="74"/>
      <c r="FA20" s="77"/>
      <c r="FB20" s="74"/>
      <c r="FC20" s="74"/>
      <c r="FD20" s="74"/>
      <c r="FE20" s="74"/>
      <c r="FF20" s="74"/>
      <c r="FG20" s="74"/>
      <c r="FH20" s="74"/>
      <c r="FI20" s="77"/>
      <c r="FJ20" s="74"/>
      <c r="FK20" s="77"/>
      <c r="FL20" s="74"/>
      <c r="FM20" s="74"/>
      <c r="FN20" s="74"/>
      <c r="FO20" s="74"/>
      <c r="FP20" s="74"/>
      <c r="FQ20" s="79">
        <f t="shared" si="22"/>
        <v>0</v>
      </c>
      <c r="FR20" s="74"/>
      <c r="FS20" s="74"/>
      <c r="FT20" s="74"/>
      <c r="FU20" s="78"/>
      <c r="FV20" s="77"/>
      <c r="FW20" s="77"/>
      <c r="FX20" s="74"/>
      <c r="FY20" s="77"/>
      <c r="FZ20" s="74"/>
      <c r="GA20" s="77"/>
      <c r="GB20" s="74"/>
      <c r="GC20" s="77"/>
      <c r="GD20" s="74"/>
      <c r="GE20" s="74"/>
      <c r="GF20" s="74"/>
      <c r="GG20" s="74"/>
      <c r="GH20" s="74"/>
      <c r="GI20" s="74"/>
      <c r="GJ20" s="74"/>
      <c r="GK20" s="77"/>
      <c r="GL20" s="74"/>
      <c r="GM20" s="77"/>
      <c r="GN20" s="74"/>
      <c r="GO20" s="74"/>
      <c r="GP20" s="74"/>
      <c r="GQ20" s="74"/>
      <c r="GR20" s="74"/>
      <c r="GS20" s="79">
        <f t="shared" si="23"/>
        <v>0</v>
      </c>
      <c r="GT20" s="74"/>
      <c r="GU20" s="74"/>
      <c r="GV20" s="74"/>
      <c r="GW20" s="78"/>
      <c r="GX20" s="77">
        <v>0.1</v>
      </c>
      <c r="GY20" s="84">
        <f>0.02+0.04+0.06</f>
        <v>0.12</v>
      </c>
      <c r="GZ20" s="74"/>
      <c r="HA20" s="77"/>
      <c r="HB20" s="74"/>
      <c r="HC20" s="77">
        <v>0.3</v>
      </c>
      <c r="HD20" s="74"/>
      <c r="HE20" s="77">
        <v>0.3</v>
      </c>
      <c r="HF20" s="74"/>
      <c r="HG20" s="74"/>
      <c r="HH20" s="74"/>
      <c r="HI20" s="74"/>
      <c r="HJ20" s="74"/>
      <c r="HK20" s="74"/>
      <c r="HL20" s="74"/>
      <c r="HM20" s="77"/>
      <c r="HN20" s="74"/>
      <c r="HO20" s="77"/>
      <c r="HP20" s="74"/>
      <c r="HQ20" s="74"/>
      <c r="HR20" s="74"/>
      <c r="HS20" s="74"/>
      <c r="HT20" s="74"/>
      <c r="HU20" s="79">
        <f t="shared" si="24"/>
        <v>15.662000000000003</v>
      </c>
      <c r="HV20" s="80">
        <f t="shared" si="25"/>
        <v>15.662000000000003</v>
      </c>
      <c r="HW20" s="74"/>
      <c r="HX20" s="74"/>
      <c r="HY20" s="74"/>
      <c r="HZ20" s="78"/>
      <c r="IA20" s="77"/>
      <c r="IB20" s="77"/>
      <c r="IC20" s="74"/>
      <c r="ID20" s="77"/>
      <c r="IE20" s="74"/>
      <c r="IF20" s="77"/>
      <c r="IG20" s="74"/>
      <c r="IH20" s="77"/>
      <c r="II20" s="74"/>
      <c r="IJ20" s="74"/>
      <c r="IK20" s="74"/>
      <c r="IL20" s="74"/>
      <c r="IM20" s="74"/>
      <c r="IN20" s="74"/>
      <c r="IO20" s="74"/>
      <c r="IP20" s="77"/>
      <c r="IQ20" s="74"/>
      <c r="IR20" s="77"/>
      <c r="IS20" s="74"/>
      <c r="IT20" s="74"/>
      <c r="IU20" s="74"/>
      <c r="IV20" s="74"/>
      <c r="IW20" s="74"/>
      <c r="IX20" s="79">
        <f t="shared" si="26"/>
        <v>0</v>
      </c>
      <c r="IY20" s="74"/>
      <c r="IZ20" s="74"/>
      <c r="JA20" s="74"/>
      <c r="JB20" s="78"/>
      <c r="JC20" s="77">
        <v>0.1</v>
      </c>
      <c r="JD20" s="84">
        <f>0.02+0.04+0.06</f>
        <v>0.12</v>
      </c>
      <c r="JE20" s="74"/>
      <c r="JF20" s="77"/>
      <c r="JG20" s="74"/>
      <c r="JH20" s="77">
        <v>0.3</v>
      </c>
      <c r="JI20" s="74"/>
      <c r="JJ20" s="77">
        <v>0.3</v>
      </c>
      <c r="JK20" s="74"/>
      <c r="JL20" s="74"/>
      <c r="JM20" s="74"/>
      <c r="JN20" s="74"/>
      <c r="JO20" s="74"/>
      <c r="JP20" s="74"/>
      <c r="JQ20" s="74"/>
      <c r="JR20" s="77"/>
      <c r="JS20" s="74"/>
      <c r="JT20" s="77"/>
      <c r="JU20" s="74"/>
      <c r="JV20" s="74"/>
      <c r="JW20" s="74"/>
      <c r="JX20" s="74"/>
      <c r="JY20" s="74"/>
      <c r="JZ20" s="79">
        <f t="shared" si="27"/>
        <v>12.037600000000001</v>
      </c>
      <c r="KA20" s="74"/>
      <c r="KB20" s="74"/>
      <c r="KC20" s="74"/>
      <c r="KD20" s="78"/>
      <c r="KE20" s="77"/>
      <c r="KF20" s="77"/>
      <c r="KG20" s="74"/>
      <c r="KH20" s="77"/>
      <c r="KI20" s="74"/>
      <c r="KJ20" s="77"/>
      <c r="KK20" s="74"/>
      <c r="KL20" s="77"/>
      <c r="KM20" s="74"/>
      <c r="KN20" s="74"/>
      <c r="KO20" s="74"/>
      <c r="KP20" s="74"/>
      <c r="KQ20" s="74"/>
      <c r="KR20" s="74"/>
      <c r="KS20" s="74"/>
      <c r="KT20" s="77"/>
      <c r="KU20" s="74"/>
      <c r="KV20" s="77"/>
      <c r="KW20" s="74"/>
      <c r="KX20" s="74"/>
      <c r="KY20" s="74"/>
      <c r="KZ20" s="74"/>
      <c r="LA20" s="74"/>
      <c r="LB20" s="79">
        <f t="shared" si="28"/>
        <v>0</v>
      </c>
      <c r="LC20" s="80">
        <f t="shared" si="29"/>
        <v>12.037600000000001</v>
      </c>
      <c r="LD20" s="74"/>
      <c r="LE20" s="74"/>
      <c r="LF20" s="74"/>
      <c r="LG20" s="78"/>
      <c r="LH20" s="77"/>
      <c r="LI20" s="77"/>
      <c r="LJ20" s="74"/>
      <c r="LK20" s="77"/>
      <c r="LL20" s="74"/>
      <c r="LM20" s="77"/>
      <c r="LN20" s="74"/>
      <c r="LO20" s="77"/>
      <c r="LP20" s="74"/>
      <c r="LQ20" s="74"/>
      <c r="LR20" s="74"/>
      <c r="LS20" s="74"/>
      <c r="LT20" s="74"/>
      <c r="LU20" s="74"/>
      <c r="LV20" s="74"/>
      <c r="LW20" s="77"/>
      <c r="LX20" s="74"/>
      <c r="LY20" s="77"/>
      <c r="LZ20" s="74"/>
      <c r="MA20" s="74"/>
      <c r="MB20" s="74"/>
      <c r="MC20" s="74"/>
      <c r="MD20" s="74"/>
      <c r="ME20" s="79">
        <f t="shared" si="30"/>
        <v>0</v>
      </c>
      <c r="MF20" s="74"/>
      <c r="MG20" s="74"/>
      <c r="MH20" s="74"/>
      <c r="MI20" s="78"/>
      <c r="MJ20" s="77"/>
      <c r="MK20" s="77"/>
      <c r="ML20" s="74"/>
      <c r="MM20" s="77"/>
      <c r="MN20" s="74"/>
      <c r="MO20" s="77"/>
      <c r="MP20" s="74"/>
      <c r="MQ20" s="77"/>
      <c r="MR20" s="74"/>
      <c r="MS20" s="74"/>
      <c r="MT20" s="74"/>
      <c r="MU20" s="74"/>
      <c r="MV20" s="74"/>
      <c r="MW20" s="74"/>
      <c r="MX20" s="74"/>
      <c r="MY20" s="77"/>
      <c r="MZ20" s="74"/>
      <c r="NA20" s="77"/>
      <c r="NB20" s="74"/>
      <c r="NC20" s="74"/>
      <c r="ND20" s="74"/>
      <c r="NE20" s="74"/>
      <c r="NF20" s="74"/>
      <c r="NG20" s="79">
        <f t="shared" si="31"/>
        <v>0</v>
      </c>
      <c r="NH20" s="74"/>
      <c r="NI20" s="74"/>
      <c r="NJ20" s="74"/>
      <c r="NK20" s="78"/>
      <c r="NL20" s="77">
        <v>0.1</v>
      </c>
      <c r="NM20" s="84">
        <f>0.02+0.04+0.06</f>
        <v>0.12</v>
      </c>
      <c r="NN20" s="74"/>
      <c r="NO20" s="77"/>
      <c r="NP20" s="74"/>
      <c r="NQ20" s="77">
        <v>0.3</v>
      </c>
      <c r="NR20" s="74"/>
      <c r="NS20" s="77">
        <v>0.3</v>
      </c>
      <c r="NT20" s="74"/>
      <c r="NU20" s="74"/>
      <c r="NV20" s="74"/>
      <c r="NW20" s="74"/>
      <c r="NX20" s="74"/>
      <c r="NY20" s="74"/>
      <c r="NZ20" s="74"/>
      <c r="OA20" s="77"/>
      <c r="OB20" s="74"/>
      <c r="OC20" s="77"/>
      <c r="OD20" s="74"/>
      <c r="OE20" s="74"/>
      <c r="OF20" s="74"/>
      <c r="OG20" s="74"/>
      <c r="OH20" s="74"/>
      <c r="OI20" s="79">
        <f t="shared" si="32"/>
        <v>42.656399999999998</v>
      </c>
      <c r="OJ20" s="74"/>
      <c r="OK20" s="74"/>
      <c r="OL20" s="74"/>
      <c r="OM20" s="78"/>
      <c r="ON20" s="77">
        <v>0.1</v>
      </c>
      <c r="OO20" s="84">
        <f>0.02+0.04+0.06</f>
        <v>0.12</v>
      </c>
      <c r="OP20" s="74"/>
      <c r="OQ20" s="77"/>
      <c r="OR20" s="74"/>
      <c r="OS20" s="77">
        <v>0.3</v>
      </c>
      <c r="OT20" s="74"/>
      <c r="OU20" s="77">
        <v>0.3</v>
      </c>
      <c r="OV20" s="74"/>
      <c r="OW20" s="74"/>
      <c r="OX20" s="74"/>
      <c r="OY20" s="74"/>
      <c r="OZ20" s="74"/>
      <c r="PA20" s="74"/>
      <c r="PB20" s="74"/>
      <c r="PC20" s="77"/>
      <c r="PD20" s="74"/>
      <c r="PE20" s="77"/>
      <c r="PF20" s="74"/>
      <c r="PG20" s="74"/>
      <c r="PH20" s="74"/>
      <c r="PI20" s="74"/>
      <c r="PJ20" s="74"/>
      <c r="PK20" s="79">
        <f t="shared" si="33"/>
        <v>21.344600000000003</v>
      </c>
      <c r="PL20" s="74"/>
      <c r="PM20" s="74"/>
      <c r="PN20" s="74"/>
      <c r="PO20" s="78"/>
      <c r="PP20" s="77">
        <v>0.1</v>
      </c>
      <c r="PQ20" s="84">
        <f>0.02+0.04+0.06</f>
        <v>0.12</v>
      </c>
      <c r="PR20" s="74"/>
      <c r="PS20" s="77"/>
      <c r="PT20" s="74"/>
      <c r="PU20" s="77">
        <v>0.3</v>
      </c>
      <c r="PV20" s="74"/>
      <c r="PW20" s="77">
        <v>0.3</v>
      </c>
      <c r="PX20" s="74"/>
      <c r="PY20" s="74"/>
      <c r="PZ20" s="74"/>
      <c r="QA20" s="74"/>
      <c r="QB20" s="74"/>
      <c r="QC20" s="74"/>
      <c r="QD20" s="74"/>
      <c r="QE20" s="77"/>
      <c r="QF20" s="74"/>
      <c r="QG20" s="77"/>
      <c r="QH20" s="74"/>
      <c r="QI20" s="74"/>
      <c r="QJ20" s="74"/>
      <c r="QK20" s="74"/>
      <c r="QL20" s="74"/>
      <c r="QM20" s="79">
        <f t="shared" si="34"/>
        <v>25.542999999999999</v>
      </c>
      <c r="QN20" s="74"/>
      <c r="QO20" s="74"/>
      <c r="QP20" s="74"/>
      <c r="QQ20" s="78"/>
      <c r="QR20" s="77"/>
      <c r="QS20" s="77"/>
      <c r="QT20" s="74"/>
      <c r="QU20" s="77"/>
      <c r="QV20" s="74"/>
      <c r="QW20" s="77"/>
      <c r="QX20" s="74"/>
      <c r="QY20" s="77"/>
      <c r="QZ20" s="74"/>
      <c r="RA20" s="74"/>
      <c r="RB20" s="74"/>
      <c r="RC20" s="74"/>
      <c r="RD20" s="74"/>
      <c r="RE20" s="74"/>
      <c r="RF20" s="74"/>
      <c r="RG20" s="77"/>
      <c r="RH20" s="74"/>
      <c r="RI20" s="77"/>
      <c r="RJ20" s="74"/>
      <c r="RK20" s="74"/>
      <c r="RL20" s="74"/>
      <c r="RM20" s="74"/>
      <c r="RN20" s="74"/>
      <c r="RO20" s="79">
        <f t="shared" si="35"/>
        <v>0</v>
      </c>
      <c r="RP20" s="74"/>
      <c r="RQ20" s="74"/>
      <c r="RR20" s="74"/>
      <c r="RS20" s="78"/>
      <c r="RT20" s="77"/>
      <c r="RU20" s="77"/>
      <c r="RV20" s="74"/>
      <c r="RW20" s="77"/>
      <c r="RX20" s="74"/>
      <c r="RY20" s="77"/>
      <c r="RZ20" s="74"/>
      <c r="SA20" s="77"/>
      <c r="SB20" s="74"/>
      <c r="SC20" s="74"/>
      <c r="SD20" s="74"/>
      <c r="SE20" s="74"/>
      <c r="SF20" s="74"/>
      <c r="SG20" s="74"/>
      <c r="SH20" s="74"/>
      <c r="SI20" s="77"/>
      <c r="SJ20" s="74"/>
      <c r="SK20" s="77"/>
      <c r="SL20" s="74"/>
      <c r="SM20" s="74"/>
      <c r="SN20" s="74"/>
      <c r="SO20" s="74"/>
      <c r="SP20" s="74"/>
      <c r="SQ20" s="79">
        <f t="shared" si="36"/>
        <v>0</v>
      </c>
      <c r="SR20" s="80">
        <f t="shared" si="37"/>
        <v>89.544000000000011</v>
      </c>
      <c r="SS20" s="16">
        <f t="shared" si="38"/>
        <v>137.30075600000001</v>
      </c>
      <c r="ST20" s="88">
        <f t="shared" si="39"/>
        <v>30.125848311999999</v>
      </c>
      <c r="SU20" s="88">
        <f t="shared" si="40"/>
        <v>23.524324000000004</v>
      </c>
      <c r="SV20" s="88">
        <f t="shared" si="41"/>
        <v>18.080475200000002</v>
      </c>
      <c r="SW20" s="88">
        <f t="shared" si="42"/>
        <v>93.137848440000013</v>
      </c>
      <c r="SX20" s="91">
        <f t="shared" si="43"/>
        <v>39.111171590400005</v>
      </c>
      <c r="SY20" s="16">
        <f t="shared" si="48"/>
        <v>6.0251696623999997</v>
      </c>
      <c r="SZ20" s="16">
        <f t="shared" si="49"/>
        <v>7.230203594879999</v>
      </c>
      <c r="TA20" s="16">
        <f t="shared" si="50"/>
        <v>6.0251696623999997</v>
      </c>
      <c r="TB20" s="92">
        <f t="shared" si="51"/>
        <v>10.845305392319998</v>
      </c>
      <c r="TC20" s="16">
        <f t="shared" si="52"/>
        <v>4.7048648000000011</v>
      </c>
      <c r="TD20" s="16">
        <f t="shared" si="53"/>
        <v>5.6458377600000009</v>
      </c>
      <c r="TE20" s="16">
        <f t="shared" si="54"/>
        <v>4.7048648000000011</v>
      </c>
      <c r="TF20" s="92">
        <f t="shared" si="55"/>
        <v>8.4687566400000005</v>
      </c>
      <c r="TG20" s="16">
        <f t="shared" si="56"/>
        <v>3.6160950400000007</v>
      </c>
      <c r="TH20" s="16">
        <f t="shared" si="57"/>
        <v>4.3393140480000003</v>
      </c>
      <c r="TI20" s="16">
        <f t="shared" si="58"/>
        <v>3.6160950400000007</v>
      </c>
      <c r="TJ20" s="92">
        <f t="shared" si="59"/>
        <v>6.5089710720000005</v>
      </c>
      <c r="TK20" s="16">
        <f t="shared" si="60"/>
        <v>18.627569688000005</v>
      </c>
      <c r="TL20" s="16">
        <f t="shared" si="61"/>
        <v>22.353083625600004</v>
      </c>
      <c r="TM20" s="16">
        <f t="shared" si="62"/>
        <v>18.627569688000005</v>
      </c>
      <c r="TN20" s="92">
        <f t="shared" si="63"/>
        <v>33.529625438400004</v>
      </c>
      <c r="TO20" s="16">
        <f t="shared" si="44"/>
        <v>7.8222343180800014</v>
      </c>
      <c r="TP20" s="16">
        <f t="shared" si="45"/>
        <v>9.3866811816960016</v>
      </c>
      <c r="TQ20" s="16">
        <f t="shared" si="46"/>
        <v>7.8222343180800014</v>
      </c>
      <c r="TR20" s="92">
        <f t="shared" si="47"/>
        <v>14.080021772544001</v>
      </c>
    </row>
    <row r="21" spans="1:539">
      <c r="A21" s="178"/>
      <c r="B21" s="101" t="str">
        <f>+A20</f>
        <v>Hormonas</v>
      </c>
      <c r="C21" s="71" t="s">
        <v>192</v>
      </c>
      <c r="D21" s="87">
        <f>+IFERROR(INDEX(Productos[USD],MATCH(C21,Productos[Productos],0)),0)</f>
        <v>24.2</v>
      </c>
      <c r="E21" s="74"/>
      <c r="F21" s="74"/>
      <c r="G21" s="74"/>
      <c r="H21" s="78"/>
      <c r="I21" s="77"/>
      <c r="J21" s="77"/>
      <c r="K21" s="74"/>
      <c r="L21" s="77"/>
      <c r="M21" s="74"/>
      <c r="N21" s="77"/>
      <c r="O21" s="74"/>
      <c r="P21" s="77"/>
      <c r="Q21" s="74"/>
      <c r="R21" s="74"/>
      <c r="S21" s="74"/>
      <c r="T21" s="74"/>
      <c r="U21" s="74"/>
      <c r="V21" s="74"/>
      <c r="W21" s="74"/>
      <c r="X21" s="77"/>
      <c r="Y21" s="74"/>
      <c r="Z21" s="77"/>
      <c r="AA21" s="74"/>
      <c r="AB21" s="74"/>
      <c r="AC21" s="74"/>
      <c r="AD21" s="74"/>
      <c r="AE21" s="74"/>
      <c r="AF21" s="79">
        <f t="shared" si="16"/>
        <v>0</v>
      </c>
      <c r="AG21" s="74"/>
      <c r="AH21" s="74"/>
      <c r="AI21" s="74"/>
      <c r="AJ21" s="78"/>
      <c r="AK21" s="77"/>
      <c r="AL21" s="77"/>
      <c r="AM21" s="74"/>
      <c r="AN21" s="77"/>
      <c r="AO21" s="74"/>
      <c r="AP21" s="77"/>
      <c r="AQ21" s="74"/>
      <c r="AR21" s="77"/>
      <c r="AS21" s="74"/>
      <c r="AT21" s="74"/>
      <c r="AU21" s="74"/>
      <c r="AV21" s="74"/>
      <c r="AW21" s="74"/>
      <c r="AX21" s="74"/>
      <c r="AY21" s="74"/>
      <c r="AZ21" s="77">
        <v>2</v>
      </c>
      <c r="BA21" s="74"/>
      <c r="BB21" s="77"/>
      <c r="BC21" s="74"/>
      <c r="BD21" s="74"/>
      <c r="BE21" s="74"/>
      <c r="BF21" s="74"/>
      <c r="BG21" s="74"/>
      <c r="BH21" s="79">
        <f t="shared" si="17"/>
        <v>31.680000000000003</v>
      </c>
      <c r="BI21" s="74"/>
      <c r="BJ21" s="74"/>
      <c r="BK21" s="74"/>
      <c r="BL21" s="78"/>
      <c r="BM21" s="77"/>
      <c r="BN21" s="77"/>
      <c r="BO21" s="74"/>
      <c r="BP21" s="77"/>
      <c r="BQ21" s="74"/>
      <c r="BR21" s="77"/>
      <c r="BS21" s="74"/>
      <c r="BT21" s="77"/>
      <c r="BU21" s="74"/>
      <c r="BV21" s="74"/>
      <c r="BW21" s="74"/>
      <c r="BX21" s="74"/>
      <c r="BY21" s="74"/>
      <c r="BZ21" s="74"/>
      <c r="CA21" s="74"/>
      <c r="CB21" s="77"/>
      <c r="CC21" s="74"/>
      <c r="CD21" s="77"/>
      <c r="CE21" s="74"/>
      <c r="CF21" s="74"/>
      <c r="CG21" s="74"/>
      <c r="CH21" s="74"/>
      <c r="CI21" s="74"/>
      <c r="CJ21" s="79">
        <f t="shared" si="18"/>
        <v>0</v>
      </c>
      <c r="CK21" s="74"/>
      <c r="CL21" s="74"/>
      <c r="CM21" s="74"/>
      <c r="CN21" s="78"/>
      <c r="CO21" s="77"/>
      <c r="CP21" s="77"/>
      <c r="CQ21" s="74"/>
      <c r="CR21" s="77"/>
      <c r="CS21" s="74"/>
      <c r="CT21" s="77"/>
      <c r="CU21" s="74"/>
      <c r="CV21" s="77"/>
      <c r="CW21" s="74"/>
      <c r="CX21" s="74"/>
      <c r="CY21" s="74"/>
      <c r="CZ21" s="74"/>
      <c r="DA21" s="74"/>
      <c r="DB21" s="74"/>
      <c r="DC21" s="74"/>
      <c r="DD21" s="77"/>
      <c r="DE21" s="74"/>
      <c r="DF21" s="77"/>
      <c r="DG21" s="74"/>
      <c r="DH21" s="74"/>
      <c r="DI21" s="74"/>
      <c r="DJ21" s="74"/>
      <c r="DK21" s="74"/>
      <c r="DL21" s="79">
        <f t="shared" si="19"/>
        <v>0</v>
      </c>
      <c r="DM21" s="74"/>
      <c r="DN21" s="74"/>
      <c r="DO21" s="74"/>
      <c r="DP21" s="78"/>
      <c r="DQ21" s="77"/>
      <c r="DR21" s="77"/>
      <c r="DS21" s="74"/>
      <c r="DT21" s="77"/>
      <c r="DU21" s="74"/>
      <c r="DV21" s="77"/>
      <c r="DW21" s="74"/>
      <c r="DX21" s="77"/>
      <c r="DY21" s="74"/>
      <c r="DZ21" s="74"/>
      <c r="EA21" s="74"/>
      <c r="EB21" s="74"/>
      <c r="EC21" s="74"/>
      <c r="ED21" s="74"/>
      <c r="EE21" s="74"/>
      <c r="EF21" s="77"/>
      <c r="EG21" s="74"/>
      <c r="EH21" s="77"/>
      <c r="EI21" s="74"/>
      <c r="EJ21" s="74"/>
      <c r="EK21" s="74"/>
      <c r="EL21" s="74"/>
      <c r="EM21" s="74"/>
      <c r="EN21" s="79">
        <f t="shared" si="20"/>
        <v>0</v>
      </c>
      <c r="EO21" s="80">
        <f t="shared" si="21"/>
        <v>31.680000000000003</v>
      </c>
      <c r="EP21" s="74"/>
      <c r="EQ21" s="74"/>
      <c r="ER21" s="74"/>
      <c r="ES21" s="78"/>
      <c r="ET21" s="77"/>
      <c r="EU21" s="77"/>
      <c r="EV21" s="74"/>
      <c r="EW21" s="77"/>
      <c r="EX21" s="74"/>
      <c r="EY21" s="77"/>
      <c r="EZ21" s="74"/>
      <c r="FA21" s="77"/>
      <c r="FB21" s="74"/>
      <c r="FC21" s="74"/>
      <c r="FD21" s="74"/>
      <c r="FE21" s="74"/>
      <c r="FF21" s="74"/>
      <c r="FG21" s="74"/>
      <c r="FH21" s="74"/>
      <c r="FI21" s="77"/>
      <c r="FJ21" s="74"/>
      <c r="FK21" s="77"/>
      <c r="FL21" s="74"/>
      <c r="FM21" s="74"/>
      <c r="FN21" s="74"/>
      <c r="FO21" s="74"/>
      <c r="FP21" s="74"/>
      <c r="FQ21" s="79">
        <f t="shared" si="22"/>
        <v>0</v>
      </c>
      <c r="FR21" s="74"/>
      <c r="FS21" s="74"/>
      <c r="FT21" s="74"/>
      <c r="FU21" s="78"/>
      <c r="FV21" s="77"/>
      <c r="FW21" s="77"/>
      <c r="FX21" s="74"/>
      <c r="FY21" s="77"/>
      <c r="FZ21" s="74"/>
      <c r="GA21" s="77"/>
      <c r="GB21" s="74"/>
      <c r="GC21" s="77"/>
      <c r="GD21" s="74"/>
      <c r="GE21" s="74"/>
      <c r="GF21" s="74"/>
      <c r="GG21" s="74"/>
      <c r="GH21" s="74"/>
      <c r="GI21" s="74"/>
      <c r="GJ21" s="74"/>
      <c r="GK21" s="77">
        <v>2</v>
      </c>
      <c r="GL21" s="74"/>
      <c r="GM21" s="77"/>
      <c r="GN21" s="74"/>
      <c r="GO21" s="74"/>
      <c r="GP21" s="74"/>
      <c r="GQ21" s="74"/>
      <c r="GR21" s="74"/>
      <c r="GS21" s="79">
        <f t="shared" si="23"/>
        <v>19.600000000000001</v>
      </c>
      <c r="GT21" s="74"/>
      <c r="GU21" s="74"/>
      <c r="GV21" s="74"/>
      <c r="GW21" s="78"/>
      <c r="GX21" s="77"/>
      <c r="GY21" s="77"/>
      <c r="GZ21" s="74"/>
      <c r="HA21" s="77"/>
      <c r="HB21" s="74"/>
      <c r="HC21" s="77"/>
      <c r="HD21" s="74"/>
      <c r="HE21" s="77"/>
      <c r="HF21" s="74"/>
      <c r="HG21" s="74"/>
      <c r="HH21" s="74"/>
      <c r="HI21" s="74"/>
      <c r="HJ21" s="74"/>
      <c r="HK21" s="74"/>
      <c r="HL21" s="74"/>
      <c r="HM21" s="77"/>
      <c r="HN21" s="74"/>
      <c r="HO21" s="77"/>
      <c r="HP21" s="74"/>
      <c r="HQ21" s="74"/>
      <c r="HR21" s="74"/>
      <c r="HS21" s="74"/>
      <c r="HT21" s="74"/>
      <c r="HU21" s="79">
        <f t="shared" si="24"/>
        <v>0</v>
      </c>
      <c r="HV21" s="80">
        <f t="shared" si="25"/>
        <v>19.600000000000001</v>
      </c>
      <c r="HW21" s="74"/>
      <c r="HX21" s="74"/>
      <c r="HY21" s="74"/>
      <c r="HZ21" s="78"/>
      <c r="IA21" s="77"/>
      <c r="IB21" s="77"/>
      <c r="IC21" s="74"/>
      <c r="ID21" s="77"/>
      <c r="IE21" s="74"/>
      <c r="IF21" s="77"/>
      <c r="IG21" s="74"/>
      <c r="IH21" s="77"/>
      <c r="II21" s="74"/>
      <c r="IJ21" s="74"/>
      <c r="IK21" s="74"/>
      <c r="IL21" s="74"/>
      <c r="IM21" s="74"/>
      <c r="IN21" s="74"/>
      <c r="IO21" s="74"/>
      <c r="IP21" s="77"/>
      <c r="IQ21" s="74"/>
      <c r="IR21" s="77"/>
      <c r="IS21" s="74"/>
      <c r="IT21" s="74"/>
      <c r="IU21" s="74"/>
      <c r="IV21" s="74"/>
      <c r="IW21" s="74"/>
      <c r="IX21" s="79">
        <f t="shared" si="26"/>
        <v>0</v>
      </c>
      <c r="IY21" s="74"/>
      <c r="IZ21" s="74"/>
      <c r="JA21" s="74"/>
      <c r="JB21" s="78"/>
      <c r="JC21" s="77"/>
      <c r="JD21" s="77"/>
      <c r="JE21" s="74"/>
      <c r="JF21" s="77"/>
      <c r="JG21" s="74"/>
      <c r="JH21" s="77"/>
      <c r="JI21" s="74"/>
      <c r="JJ21" s="77"/>
      <c r="JK21" s="74"/>
      <c r="JL21" s="74"/>
      <c r="JM21" s="74"/>
      <c r="JN21" s="74"/>
      <c r="JO21" s="74"/>
      <c r="JP21" s="74"/>
      <c r="JQ21" s="74"/>
      <c r="JR21" s="77"/>
      <c r="JS21" s="74"/>
      <c r="JT21" s="77"/>
      <c r="JU21" s="74"/>
      <c r="JV21" s="74"/>
      <c r="JW21" s="74"/>
      <c r="JX21" s="74"/>
      <c r="JY21" s="74"/>
      <c r="JZ21" s="79">
        <f t="shared" si="27"/>
        <v>0</v>
      </c>
      <c r="KA21" s="74"/>
      <c r="KB21" s="74"/>
      <c r="KC21" s="74"/>
      <c r="KD21" s="78"/>
      <c r="KE21" s="77"/>
      <c r="KF21" s="77"/>
      <c r="KG21" s="74"/>
      <c r="KH21" s="77"/>
      <c r="KI21" s="74"/>
      <c r="KJ21" s="77"/>
      <c r="KK21" s="74"/>
      <c r="KL21" s="77"/>
      <c r="KM21" s="74"/>
      <c r="KN21" s="74"/>
      <c r="KO21" s="74"/>
      <c r="KP21" s="74"/>
      <c r="KQ21" s="74"/>
      <c r="KR21" s="74"/>
      <c r="KS21" s="74"/>
      <c r="KT21" s="77">
        <v>2</v>
      </c>
      <c r="KU21" s="74"/>
      <c r="KV21" s="77"/>
      <c r="KW21" s="74"/>
      <c r="KX21" s="74"/>
      <c r="KY21" s="74"/>
      <c r="KZ21" s="74"/>
      <c r="LA21" s="74"/>
      <c r="LB21" s="79">
        <f t="shared" si="28"/>
        <v>12.559999999999999</v>
      </c>
      <c r="LC21" s="80">
        <f t="shared" si="29"/>
        <v>12.559999999999999</v>
      </c>
      <c r="LD21" s="74"/>
      <c r="LE21" s="74"/>
      <c r="LF21" s="74"/>
      <c r="LG21" s="78"/>
      <c r="LH21" s="77"/>
      <c r="LI21" s="77"/>
      <c r="LJ21" s="74"/>
      <c r="LK21" s="77"/>
      <c r="LL21" s="74"/>
      <c r="LM21" s="77"/>
      <c r="LN21" s="74"/>
      <c r="LO21" s="77"/>
      <c r="LP21" s="74"/>
      <c r="LQ21" s="74"/>
      <c r="LR21" s="74"/>
      <c r="LS21" s="74"/>
      <c r="LT21" s="74"/>
      <c r="LU21" s="74"/>
      <c r="LV21" s="74"/>
      <c r="LW21" s="77">
        <v>2</v>
      </c>
      <c r="LX21" s="74"/>
      <c r="LY21" s="77"/>
      <c r="LZ21" s="74"/>
      <c r="MA21" s="74"/>
      <c r="MB21" s="74"/>
      <c r="MC21" s="74"/>
      <c r="MD21" s="74"/>
      <c r="ME21" s="79">
        <f t="shared" si="30"/>
        <v>55.260000000000005</v>
      </c>
      <c r="MF21" s="74"/>
      <c r="MG21" s="74"/>
      <c r="MH21" s="74"/>
      <c r="MI21" s="78"/>
      <c r="MJ21" s="77"/>
      <c r="MK21" s="77"/>
      <c r="ML21" s="74"/>
      <c r="MM21" s="77"/>
      <c r="MN21" s="74"/>
      <c r="MO21" s="77"/>
      <c r="MP21" s="74"/>
      <c r="MQ21" s="77"/>
      <c r="MR21" s="74"/>
      <c r="MS21" s="74"/>
      <c r="MT21" s="74"/>
      <c r="MU21" s="74"/>
      <c r="MV21" s="74"/>
      <c r="MW21" s="74"/>
      <c r="MX21" s="74"/>
      <c r="MY21" s="77">
        <v>2</v>
      </c>
      <c r="MZ21" s="74"/>
      <c r="NA21" s="77"/>
      <c r="NB21" s="74"/>
      <c r="NC21" s="74"/>
      <c r="ND21" s="74"/>
      <c r="NE21" s="74"/>
      <c r="NF21" s="74"/>
      <c r="NG21" s="79">
        <f t="shared" si="31"/>
        <v>110.35999999999999</v>
      </c>
      <c r="NH21" s="74"/>
      <c r="NI21" s="74"/>
      <c r="NJ21" s="74"/>
      <c r="NK21" s="78"/>
      <c r="NL21" s="77"/>
      <c r="NM21" s="77"/>
      <c r="NN21" s="74"/>
      <c r="NO21" s="77"/>
      <c r="NP21" s="74"/>
      <c r="NQ21" s="77"/>
      <c r="NR21" s="74"/>
      <c r="NS21" s="77"/>
      <c r="NT21" s="74"/>
      <c r="NU21" s="74"/>
      <c r="NV21" s="74"/>
      <c r="NW21" s="74"/>
      <c r="NX21" s="74"/>
      <c r="NY21" s="74"/>
      <c r="NZ21" s="74"/>
      <c r="OA21" s="77"/>
      <c r="OB21" s="74"/>
      <c r="OC21" s="77"/>
      <c r="OD21" s="74"/>
      <c r="OE21" s="74"/>
      <c r="OF21" s="74"/>
      <c r="OG21" s="74"/>
      <c r="OH21" s="74"/>
      <c r="OI21" s="79">
        <f t="shared" si="32"/>
        <v>0</v>
      </c>
      <c r="OJ21" s="74"/>
      <c r="OK21" s="74"/>
      <c r="OL21" s="74"/>
      <c r="OM21" s="78"/>
      <c r="ON21" s="77"/>
      <c r="OO21" s="77"/>
      <c r="OP21" s="74"/>
      <c r="OQ21" s="77"/>
      <c r="OR21" s="74"/>
      <c r="OS21" s="77"/>
      <c r="OT21" s="74"/>
      <c r="OU21" s="77"/>
      <c r="OV21" s="74"/>
      <c r="OW21" s="74"/>
      <c r="OX21" s="74"/>
      <c r="OY21" s="74"/>
      <c r="OZ21" s="74"/>
      <c r="PA21" s="74"/>
      <c r="PB21" s="74"/>
      <c r="PC21" s="77"/>
      <c r="PD21" s="74"/>
      <c r="PE21" s="77"/>
      <c r="PF21" s="74"/>
      <c r="PG21" s="74"/>
      <c r="PH21" s="74"/>
      <c r="PI21" s="74"/>
      <c r="PJ21" s="74"/>
      <c r="PK21" s="79">
        <f t="shared" si="33"/>
        <v>0</v>
      </c>
      <c r="PL21" s="74"/>
      <c r="PM21" s="74"/>
      <c r="PN21" s="74"/>
      <c r="PO21" s="78"/>
      <c r="PP21" s="77"/>
      <c r="PQ21" s="77"/>
      <c r="PR21" s="74"/>
      <c r="PS21" s="77"/>
      <c r="PT21" s="74"/>
      <c r="PU21" s="77"/>
      <c r="PV21" s="74"/>
      <c r="PW21" s="77"/>
      <c r="PX21" s="74"/>
      <c r="PY21" s="74"/>
      <c r="PZ21" s="74"/>
      <c r="QA21" s="74"/>
      <c r="QB21" s="74"/>
      <c r="QC21" s="74"/>
      <c r="QD21" s="74"/>
      <c r="QE21" s="77"/>
      <c r="QF21" s="74"/>
      <c r="QG21" s="77"/>
      <c r="QH21" s="74"/>
      <c r="QI21" s="74"/>
      <c r="QJ21" s="74"/>
      <c r="QK21" s="74"/>
      <c r="QL21" s="74"/>
      <c r="QM21" s="79">
        <f t="shared" si="34"/>
        <v>0</v>
      </c>
      <c r="QN21" s="74"/>
      <c r="QO21" s="74"/>
      <c r="QP21" s="74"/>
      <c r="QQ21" s="78"/>
      <c r="QR21" s="77"/>
      <c r="QS21" s="77"/>
      <c r="QT21" s="74"/>
      <c r="QU21" s="77"/>
      <c r="QV21" s="74"/>
      <c r="QW21" s="77"/>
      <c r="QX21" s="74"/>
      <c r="QY21" s="77"/>
      <c r="QZ21" s="74"/>
      <c r="RA21" s="74"/>
      <c r="RB21" s="74"/>
      <c r="RC21" s="74"/>
      <c r="RD21" s="74"/>
      <c r="RE21" s="74"/>
      <c r="RF21" s="74"/>
      <c r="RG21" s="77">
        <v>2</v>
      </c>
      <c r="RH21" s="74"/>
      <c r="RI21" s="77"/>
      <c r="RJ21" s="74"/>
      <c r="RK21" s="74"/>
      <c r="RL21" s="74"/>
      <c r="RM21" s="74"/>
      <c r="RN21" s="74"/>
      <c r="RO21" s="79">
        <f t="shared" si="35"/>
        <v>88.64</v>
      </c>
      <c r="RP21" s="74"/>
      <c r="RQ21" s="74"/>
      <c r="RR21" s="74"/>
      <c r="RS21" s="78"/>
      <c r="RT21" s="77"/>
      <c r="RU21" s="77"/>
      <c r="RV21" s="74"/>
      <c r="RW21" s="77"/>
      <c r="RX21" s="74"/>
      <c r="RY21" s="77"/>
      <c r="RZ21" s="74"/>
      <c r="SA21" s="77"/>
      <c r="SB21" s="74"/>
      <c r="SC21" s="74"/>
      <c r="SD21" s="74"/>
      <c r="SE21" s="74"/>
      <c r="SF21" s="74"/>
      <c r="SG21" s="74"/>
      <c r="SH21" s="74"/>
      <c r="SI21" s="77">
        <v>2</v>
      </c>
      <c r="SJ21" s="74"/>
      <c r="SK21" s="77"/>
      <c r="SL21" s="74"/>
      <c r="SM21" s="74"/>
      <c r="SN21" s="74"/>
      <c r="SO21" s="74"/>
      <c r="SP21" s="74"/>
      <c r="SQ21" s="79">
        <f t="shared" si="36"/>
        <v>25.44</v>
      </c>
      <c r="SR21" s="80">
        <f t="shared" si="37"/>
        <v>279.7</v>
      </c>
      <c r="SS21" s="16">
        <f t="shared" si="38"/>
        <v>343.53999999999996</v>
      </c>
      <c r="ST21" s="88">
        <f t="shared" si="39"/>
        <v>766.65600000000006</v>
      </c>
      <c r="SU21" s="88">
        <f t="shared" si="40"/>
        <v>474.32</v>
      </c>
      <c r="SV21" s="88">
        <f t="shared" si="41"/>
        <v>303.95199999999994</v>
      </c>
      <c r="SW21" s="88">
        <f t="shared" si="42"/>
        <v>4687.3524500000003</v>
      </c>
      <c r="SX21" s="91">
        <f t="shared" si="43"/>
        <v>1968.349592</v>
      </c>
      <c r="SY21" s="16">
        <f t="shared" si="48"/>
        <v>153.33120000000002</v>
      </c>
      <c r="SZ21" s="16">
        <f t="shared" si="49"/>
        <v>183.99744000000001</v>
      </c>
      <c r="TA21" s="16">
        <f t="shared" si="50"/>
        <v>153.33120000000002</v>
      </c>
      <c r="TB21" s="92">
        <f t="shared" si="51"/>
        <v>275.99616000000003</v>
      </c>
      <c r="TC21" s="16">
        <f t="shared" si="52"/>
        <v>94.864000000000004</v>
      </c>
      <c r="TD21" s="16">
        <f t="shared" si="53"/>
        <v>113.8368</v>
      </c>
      <c r="TE21" s="16">
        <f t="shared" si="54"/>
        <v>94.864000000000004</v>
      </c>
      <c r="TF21" s="92">
        <f t="shared" si="55"/>
        <v>170.7552</v>
      </c>
      <c r="TG21" s="16">
        <f t="shared" si="56"/>
        <v>60.790399999999991</v>
      </c>
      <c r="TH21" s="16">
        <f t="shared" si="57"/>
        <v>72.948479999999989</v>
      </c>
      <c r="TI21" s="16">
        <f t="shared" si="58"/>
        <v>60.790399999999991</v>
      </c>
      <c r="TJ21" s="92">
        <f t="shared" si="59"/>
        <v>109.42271999999997</v>
      </c>
      <c r="TK21" s="16">
        <f t="shared" si="60"/>
        <v>937.47049000000015</v>
      </c>
      <c r="TL21" s="16">
        <f t="shared" si="61"/>
        <v>1124.964588</v>
      </c>
      <c r="TM21" s="16">
        <f t="shared" si="62"/>
        <v>937.47049000000015</v>
      </c>
      <c r="TN21" s="92">
        <f t="shared" si="63"/>
        <v>1687.446882</v>
      </c>
      <c r="TO21" s="16">
        <f t="shared" si="44"/>
        <v>393.66991840000003</v>
      </c>
      <c r="TP21" s="16">
        <f t="shared" si="45"/>
        <v>472.40390207999997</v>
      </c>
      <c r="TQ21" s="16">
        <f t="shared" si="46"/>
        <v>393.66991840000003</v>
      </c>
      <c r="TR21" s="92">
        <f t="shared" si="47"/>
        <v>708.60585312000001</v>
      </c>
    </row>
    <row r="22" spans="1:539">
      <c r="A22" s="178" t="s">
        <v>206</v>
      </c>
      <c r="B22" s="101" t="str">
        <f>+A22</f>
        <v>Insecticidas</v>
      </c>
      <c r="C22" s="71" t="s">
        <v>193</v>
      </c>
      <c r="D22" s="87">
        <f>+IFERROR(INDEX(Productos[USD],MATCH(C22,Productos[Productos],0)),0)</f>
        <v>1.2</v>
      </c>
      <c r="E22" s="74"/>
      <c r="F22" s="74"/>
      <c r="G22" s="74"/>
      <c r="H22" s="78">
        <f>300/133.12/3</f>
        <v>0.75120192307692302</v>
      </c>
      <c r="I22" s="77"/>
      <c r="J22" s="77"/>
      <c r="K22" s="74"/>
      <c r="L22" s="77"/>
      <c r="M22" s="74"/>
      <c r="N22" s="77"/>
      <c r="O22" s="74"/>
      <c r="P22" s="78">
        <f>300/133.12/3</f>
        <v>0.75120192307692302</v>
      </c>
      <c r="Q22" s="74"/>
      <c r="R22" s="74"/>
      <c r="S22" s="74"/>
      <c r="T22" s="74"/>
      <c r="U22" s="74"/>
      <c r="V22" s="74"/>
      <c r="W22" s="74"/>
      <c r="X22" s="77"/>
      <c r="Y22" s="74"/>
      <c r="Z22" s="77"/>
      <c r="AA22" s="74"/>
      <c r="AB22" s="74"/>
      <c r="AC22" s="74"/>
      <c r="AD22" s="74"/>
      <c r="AE22" s="78">
        <f>300/133.12/3</f>
        <v>0.75120192307692302</v>
      </c>
      <c r="AF22" s="79">
        <f t="shared" si="16"/>
        <v>49.371995192307679</v>
      </c>
      <c r="AG22" s="74"/>
      <c r="AH22" s="74"/>
      <c r="AI22" s="74"/>
      <c r="AJ22" s="78">
        <f>300/133.12/3</f>
        <v>0.75120192307692302</v>
      </c>
      <c r="AK22" s="77"/>
      <c r="AL22" s="77"/>
      <c r="AM22" s="74"/>
      <c r="AN22" s="77"/>
      <c r="AO22" s="74"/>
      <c r="AP22" s="77"/>
      <c r="AQ22" s="74"/>
      <c r="AR22" s="78">
        <f>300/133.12/3</f>
        <v>0.75120192307692302</v>
      </c>
      <c r="AS22" s="74"/>
      <c r="AT22" s="74"/>
      <c r="AU22" s="74"/>
      <c r="AV22" s="74"/>
      <c r="AW22" s="74"/>
      <c r="AX22" s="74"/>
      <c r="AY22" s="74"/>
      <c r="AZ22" s="77"/>
      <c r="BA22" s="74"/>
      <c r="BB22" s="77"/>
      <c r="BC22" s="74"/>
      <c r="BD22" s="74"/>
      <c r="BE22" s="74"/>
      <c r="BF22" s="74"/>
      <c r="BG22" s="78">
        <f>300/133.12/3</f>
        <v>0.75120192307692302</v>
      </c>
      <c r="BH22" s="79">
        <f t="shared" si="17"/>
        <v>35.697115384615387</v>
      </c>
      <c r="BI22" s="74"/>
      <c r="BJ22" s="74"/>
      <c r="BK22" s="74"/>
      <c r="BL22" s="78">
        <f>300/133.12/3</f>
        <v>0.75120192307692302</v>
      </c>
      <c r="BM22" s="77"/>
      <c r="BN22" s="77"/>
      <c r="BO22" s="74"/>
      <c r="BP22" s="77"/>
      <c r="BQ22" s="74"/>
      <c r="BR22" s="77"/>
      <c r="BS22" s="74"/>
      <c r="BT22" s="78">
        <f>300/133.12/3</f>
        <v>0.75120192307692302</v>
      </c>
      <c r="BU22" s="74"/>
      <c r="BV22" s="74"/>
      <c r="BW22" s="74"/>
      <c r="BX22" s="74"/>
      <c r="BY22" s="74"/>
      <c r="BZ22" s="74"/>
      <c r="CA22" s="74"/>
      <c r="CB22" s="77"/>
      <c r="CC22" s="74"/>
      <c r="CD22" s="77"/>
      <c r="CE22" s="74"/>
      <c r="CF22" s="74"/>
      <c r="CG22" s="74"/>
      <c r="CH22" s="74"/>
      <c r="CI22" s="78">
        <f>300/133.12/3</f>
        <v>0.75120192307692302</v>
      </c>
      <c r="CJ22" s="79">
        <f t="shared" si="18"/>
        <v>44.003455528846153</v>
      </c>
      <c r="CK22" s="74"/>
      <c r="CL22" s="74"/>
      <c r="CM22" s="74"/>
      <c r="CN22" s="78">
        <f>300/133.12/3</f>
        <v>0.75120192307692302</v>
      </c>
      <c r="CO22" s="77"/>
      <c r="CP22" s="77"/>
      <c r="CQ22" s="74"/>
      <c r="CR22" s="77"/>
      <c r="CS22" s="74"/>
      <c r="CT22" s="77"/>
      <c r="CU22" s="74"/>
      <c r="CV22" s="78">
        <f>300/133.12/3</f>
        <v>0.75120192307692302</v>
      </c>
      <c r="CW22" s="74"/>
      <c r="CX22" s="74"/>
      <c r="CY22" s="74"/>
      <c r="CZ22" s="74"/>
      <c r="DA22" s="74"/>
      <c r="DB22" s="74"/>
      <c r="DC22" s="74"/>
      <c r="DD22" s="77"/>
      <c r="DE22" s="74"/>
      <c r="DF22" s="77"/>
      <c r="DG22" s="74"/>
      <c r="DH22" s="74"/>
      <c r="DI22" s="74"/>
      <c r="DJ22" s="74"/>
      <c r="DK22" s="78">
        <f>300/133.12/3</f>
        <v>0.75120192307692302</v>
      </c>
      <c r="DL22" s="79">
        <f t="shared" si="19"/>
        <v>13.025841346153845</v>
      </c>
      <c r="DM22" s="74"/>
      <c r="DN22" s="74"/>
      <c r="DO22" s="74"/>
      <c r="DP22" s="78">
        <f>300/133.12/3</f>
        <v>0.75120192307692302</v>
      </c>
      <c r="DQ22" s="77"/>
      <c r="DR22" s="77"/>
      <c r="DS22" s="74"/>
      <c r="DT22" s="77"/>
      <c r="DU22" s="74"/>
      <c r="DV22" s="77"/>
      <c r="DW22" s="74"/>
      <c r="DX22" s="78">
        <f>300/133.12/3</f>
        <v>0.75120192307692302</v>
      </c>
      <c r="DY22" s="74"/>
      <c r="DZ22" s="74"/>
      <c r="EA22" s="74"/>
      <c r="EB22" s="74"/>
      <c r="EC22" s="74"/>
      <c r="ED22" s="74"/>
      <c r="EE22" s="74"/>
      <c r="EF22" s="77"/>
      <c r="EG22" s="74"/>
      <c r="EH22" s="77"/>
      <c r="EI22" s="74"/>
      <c r="EJ22" s="74"/>
      <c r="EK22" s="74"/>
      <c r="EL22" s="74"/>
      <c r="EM22" s="78">
        <f>300/133.12/3</f>
        <v>0.75120192307692302</v>
      </c>
      <c r="EN22" s="79">
        <f t="shared" si="20"/>
        <v>6.73828125</v>
      </c>
      <c r="EO22" s="80">
        <f t="shared" si="21"/>
        <v>148.83668870192307</v>
      </c>
      <c r="EP22" s="74"/>
      <c r="EQ22" s="74"/>
      <c r="ER22" s="74"/>
      <c r="ES22" s="78">
        <f>300/133.12/3</f>
        <v>0.75120192307692302</v>
      </c>
      <c r="ET22" s="77"/>
      <c r="EU22" s="77"/>
      <c r="EV22" s="74"/>
      <c r="EW22" s="77"/>
      <c r="EX22" s="74"/>
      <c r="EY22" s="77"/>
      <c r="EZ22" s="74"/>
      <c r="FA22" s="78">
        <f>300/133.12/3</f>
        <v>0.75120192307692302</v>
      </c>
      <c r="FB22" s="74"/>
      <c r="FC22" s="74"/>
      <c r="FD22" s="74"/>
      <c r="FE22" s="74"/>
      <c r="FF22" s="74"/>
      <c r="FG22" s="74"/>
      <c r="FH22" s="74"/>
      <c r="FI22" s="77"/>
      <c r="FJ22" s="74"/>
      <c r="FK22" s="77"/>
      <c r="FL22" s="74"/>
      <c r="FM22" s="74"/>
      <c r="FN22" s="74"/>
      <c r="FO22" s="74"/>
      <c r="FP22" s="78">
        <f>300/133.12/3</f>
        <v>0.75120192307692302</v>
      </c>
      <c r="FQ22" s="79">
        <f t="shared" si="22"/>
        <v>25.69110576923077</v>
      </c>
      <c r="FR22" s="74"/>
      <c r="FS22" s="74"/>
      <c r="FT22" s="74"/>
      <c r="FU22" s="78">
        <f>300/133.12/3</f>
        <v>0.75120192307692302</v>
      </c>
      <c r="FV22" s="77"/>
      <c r="FW22" s="77"/>
      <c r="FX22" s="74"/>
      <c r="FY22" s="77"/>
      <c r="FZ22" s="74"/>
      <c r="GA22" s="77"/>
      <c r="GB22" s="74"/>
      <c r="GC22" s="78">
        <f>300/133.12/3</f>
        <v>0.75120192307692302</v>
      </c>
      <c r="GD22" s="74"/>
      <c r="GE22" s="74"/>
      <c r="GF22" s="74"/>
      <c r="GG22" s="74"/>
      <c r="GH22" s="74"/>
      <c r="GI22" s="74"/>
      <c r="GJ22" s="74"/>
      <c r="GK22" s="77"/>
      <c r="GL22" s="74"/>
      <c r="GM22" s="77"/>
      <c r="GN22" s="74"/>
      <c r="GO22" s="74"/>
      <c r="GP22" s="74"/>
      <c r="GQ22" s="74"/>
      <c r="GR22" s="78">
        <f>300/133.12/3</f>
        <v>0.75120192307692302</v>
      </c>
      <c r="GS22" s="79">
        <f t="shared" si="23"/>
        <v>22.08533653846154</v>
      </c>
      <c r="GT22" s="74"/>
      <c r="GU22" s="74"/>
      <c r="GV22" s="74"/>
      <c r="GW22" s="78">
        <f>300/133.12/3</f>
        <v>0.75120192307692302</v>
      </c>
      <c r="GX22" s="77"/>
      <c r="GY22" s="77"/>
      <c r="GZ22" s="74"/>
      <c r="HA22" s="77"/>
      <c r="HB22" s="74"/>
      <c r="HC22" s="77"/>
      <c r="HD22" s="74"/>
      <c r="HE22" s="78">
        <f>300/133.12/3</f>
        <v>0.75120192307692302</v>
      </c>
      <c r="HF22" s="74"/>
      <c r="HG22" s="74"/>
      <c r="HH22" s="74"/>
      <c r="HI22" s="74"/>
      <c r="HJ22" s="74"/>
      <c r="HK22" s="74"/>
      <c r="HL22" s="74"/>
      <c r="HM22" s="77"/>
      <c r="HN22" s="74"/>
      <c r="HO22" s="77"/>
      <c r="HP22" s="74"/>
      <c r="HQ22" s="74"/>
      <c r="HR22" s="74"/>
      <c r="HS22" s="74"/>
      <c r="HT22" s="78">
        <f>300/133.12/3</f>
        <v>0.75120192307692302</v>
      </c>
      <c r="HU22" s="79">
        <f t="shared" si="24"/>
        <v>43.043870192307693</v>
      </c>
      <c r="HV22" s="80">
        <f t="shared" si="25"/>
        <v>90.8203125</v>
      </c>
      <c r="HW22" s="74"/>
      <c r="HX22" s="74"/>
      <c r="HY22" s="74"/>
      <c r="HZ22" s="78">
        <f>300/133.12/3</f>
        <v>0.75120192307692302</v>
      </c>
      <c r="IA22" s="77"/>
      <c r="IB22" s="77"/>
      <c r="IC22" s="74"/>
      <c r="ID22" s="77"/>
      <c r="IE22" s="74"/>
      <c r="IF22" s="77"/>
      <c r="IG22" s="74"/>
      <c r="IH22" s="78">
        <f>300/133.12/3</f>
        <v>0.75120192307692302</v>
      </c>
      <c r="II22" s="74"/>
      <c r="IJ22" s="74"/>
      <c r="IK22" s="74"/>
      <c r="IL22" s="74"/>
      <c r="IM22" s="74"/>
      <c r="IN22" s="74"/>
      <c r="IO22" s="74"/>
      <c r="IP22" s="77"/>
      <c r="IQ22" s="74"/>
      <c r="IR22" s="77"/>
      <c r="IS22" s="74"/>
      <c r="IT22" s="74"/>
      <c r="IU22" s="74"/>
      <c r="IV22" s="74"/>
      <c r="IW22" s="78">
        <f>300/133.12/3</f>
        <v>0.75120192307692302</v>
      </c>
      <c r="IX22" s="79">
        <f t="shared" si="26"/>
        <v>13.115985576923077</v>
      </c>
      <c r="IY22" s="74"/>
      <c r="IZ22" s="74"/>
      <c r="JA22" s="74"/>
      <c r="JB22" s="78">
        <f>300/133.12/3</f>
        <v>0.75120192307692302</v>
      </c>
      <c r="JC22" s="77"/>
      <c r="JD22" s="77"/>
      <c r="JE22" s="74"/>
      <c r="JF22" s="77"/>
      <c r="JG22" s="74"/>
      <c r="JH22" s="77"/>
      <c r="JI22" s="74"/>
      <c r="JJ22" s="78">
        <f>300/133.12/3</f>
        <v>0.75120192307692302</v>
      </c>
      <c r="JK22" s="74"/>
      <c r="JL22" s="74"/>
      <c r="JM22" s="74"/>
      <c r="JN22" s="74"/>
      <c r="JO22" s="74"/>
      <c r="JP22" s="74"/>
      <c r="JQ22" s="74"/>
      <c r="JR22" s="77"/>
      <c r="JS22" s="74"/>
      <c r="JT22" s="77"/>
      <c r="JU22" s="74"/>
      <c r="JV22" s="74"/>
      <c r="JW22" s="74"/>
      <c r="JX22" s="74"/>
      <c r="JY22" s="78">
        <f>300/133.12/3</f>
        <v>0.75120192307692302</v>
      </c>
      <c r="JZ22" s="79">
        <f t="shared" si="27"/>
        <v>33.082932692307693</v>
      </c>
      <c r="KA22" s="74"/>
      <c r="KB22" s="74"/>
      <c r="KC22" s="74"/>
      <c r="KD22" s="78">
        <f>300/133.12/3</f>
        <v>0.75120192307692302</v>
      </c>
      <c r="KE22" s="77"/>
      <c r="KF22" s="77"/>
      <c r="KG22" s="74"/>
      <c r="KH22" s="77"/>
      <c r="KI22" s="74"/>
      <c r="KJ22" s="77"/>
      <c r="KK22" s="74"/>
      <c r="KL22" s="78">
        <f>300/133.12/3</f>
        <v>0.75120192307692302</v>
      </c>
      <c r="KM22" s="74"/>
      <c r="KN22" s="74"/>
      <c r="KO22" s="74"/>
      <c r="KP22" s="74"/>
      <c r="KQ22" s="74"/>
      <c r="KR22" s="74"/>
      <c r="KS22" s="74"/>
      <c r="KT22" s="77"/>
      <c r="KU22" s="74"/>
      <c r="KV22" s="77"/>
      <c r="KW22" s="74"/>
      <c r="KX22" s="74"/>
      <c r="KY22" s="74"/>
      <c r="KZ22" s="74"/>
      <c r="LA22" s="78">
        <f>300/133.12/3</f>
        <v>0.75120192307692302</v>
      </c>
      <c r="LB22" s="79">
        <f t="shared" si="28"/>
        <v>14.152644230769228</v>
      </c>
      <c r="LC22" s="80">
        <f t="shared" si="29"/>
        <v>60.3515625</v>
      </c>
      <c r="LD22" s="74"/>
      <c r="LE22" s="74"/>
      <c r="LF22" s="74"/>
      <c r="LG22" s="78"/>
      <c r="LH22" s="77"/>
      <c r="LI22" s="77"/>
      <c r="LJ22" s="74"/>
      <c r="LK22" s="77"/>
      <c r="LL22" s="74"/>
      <c r="LM22" s="77"/>
      <c r="LN22" s="74"/>
      <c r="LO22" s="77"/>
      <c r="LP22" s="74"/>
      <c r="LQ22" s="74"/>
      <c r="LR22" s="74"/>
      <c r="LS22" s="74"/>
      <c r="LT22" s="74"/>
      <c r="LU22" s="74"/>
      <c r="LV22" s="74"/>
      <c r="LW22" s="77"/>
      <c r="LX22" s="74"/>
      <c r="LY22" s="77"/>
      <c r="LZ22" s="74"/>
      <c r="MA22" s="74"/>
      <c r="MB22" s="74"/>
      <c r="MC22" s="74"/>
      <c r="MD22" s="74"/>
      <c r="ME22" s="79">
        <f t="shared" si="30"/>
        <v>0</v>
      </c>
      <c r="MF22" s="74"/>
      <c r="MG22" s="74"/>
      <c r="MH22" s="74"/>
      <c r="MI22" s="78"/>
      <c r="MJ22" s="77"/>
      <c r="MK22" s="77"/>
      <c r="ML22" s="74"/>
      <c r="MM22" s="77"/>
      <c r="MN22" s="74"/>
      <c r="MO22" s="77"/>
      <c r="MP22" s="74"/>
      <c r="MQ22" s="77"/>
      <c r="MR22" s="74"/>
      <c r="MS22" s="74"/>
      <c r="MT22" s="74"/>
      <c r="MU22" s="74"/>
      <c r="MV22" s="74"/>
      <c r="MW22" s="74"/>
      <c r="MX22" s="74"/>
      <c r="MY22" s="77"/>
      <c r="MZ22" s="74"/>
      <c r="NA22" s="77"/>
      <c r="NB22" s="74"/>
      <c r="NC22" s="74"/>
      <c r="ND22" s="74"/>
      <c r="NE22" s="74"/>
      <c r="NF22" s="74"/>
      <c r="NG22" s="79">
        <f t="shared" si="31"/>
        <v>0</v>
      </c>
      <c r="NH22" s="74"/>
      <c r="NI22" s="74"/>
      <c r="NJ22" s="74"/>
      <c r="NK22" s="78"/>
      <c r="NL22" s="77"/>
      <c r="NM22" s="77"/>
      <c r="NN22" s="74"/>
      <c r="NO22" s="77"/>
      <c r="NP22" s="74"/>
      <c r="NQ22" s="77"/>
      <c r="NR22" s="74"/>
      <c r="NS22" s="77"/>
      <c r="NT22" s="74"/>
      <c r="NU22" s="74"/>
      <c r="NV22" s="74"/>
      <c r="NW22" s="74"/>
      <c r="NX22" s="74"/>
      <c r="NY22" s="74"/>
      <c r="NZ22" s="74"/>
      <c r="OA22" s="77"/>
      <c r="OB22" s="74"/>
      <c r="OC22" s="77"/>
      <c r="OD22" s="74"/>
      <c r="OE22" s="74"/>
      <c r="OF22" s="74"/>
      <c r="OG22" s="74"/>
      <c r="OH22" s="74"/>
      <c r="OI22" s="79">
        <f t="shared" si="32"/>
        <v>0</v>
      </c>
      <c r="OJ22" s="74"/>
      <c r="OK22" s="74"/>
      <c r="OL22" s="74"/>
      <c r="OM22" s="78"/>
      <c r="ON22" s="77"/>
      <c r="OO22" s="77"/>
      <c r="OP22" s="74"/>
      <c r="OQ22" s="77"/>
      <c r="OR22" s="74"/>
      <c r="OS22" s="77"/>
      <c r="OT22" s="74"/>
      <c r="OU22" s="77"/>
      <c r="OV22" s="74"/>
      <c r="OW22" s="74"/>
      <c r="OX22" s="74"/>
      <c r="OY22" s="74"/>
      <c r="OZ22" s="74"/>
      <c r="PA22" s="74"/>
      <c r="PB22" s="74"/>
      <c r="PC22" s="77"/>
      <c r="PD22" s="74"/>
      <c r="PE22" s="77"/>
      <c r="PF22" s="74"/>
      <c r="PG22" s="74"/>
      <c r="PH22" s="74"/>
      <c r="PI22" s="74"/>
      <c r="PJ22" s="74"/>
      <c r="PK22" s="79">
        <f t="shared" si="33"/>
        <v>0</v>
      </c>
      <c r="PL22" s="74"/>
      <c r="PM22" s="74"/>
      <c r="PN22" s="74"/>
      <c r="PO22" s="78"/>
      <c r="PP22" s="77"/>
      <c r="PQ22" s="77"/>
      <c r="PR22" s="74"/>
      <c r="PS22" s="77"/>
      <c r="PT22" s="74"/>
      <c r="PU22" s="77"/>
      <c r="PV22" s="74"/>
      <c r="PW22" s="77"/>
      <c r="PX22" s="74"/>
      <c r="PY22" s="74"/>
      <c r="PZ22" s="74"/>
      <c r="QA22" s="74"/>
      <c r="QB22" s="74"/>
      <c r="QC22" s="74"/>
      <c r="QD22" s="74"/>
      <c r="QE22" s="77"/>
      <c r="QF22" s="74"/>
      <c r="QG22" s="77"/>
      <c r="QH22" s="74"/>
      <c r="QI22" s="74"/>
      <c r="QJ22" s="74"/>
      <c r="QK22" s="74"/>
      <c r="QL22" s="74"/>
      <c r="QM22" s="79">
        <f t="shared" si="34"/>
        <v>0</v>
      </c>
      <c r="QN22" s="74"/>
      <c r="QO22" s="74"/>
      <c r="QP22" s="74"/>
      <c r="QQ22" s="78"/>
      <c r="QR22" s="77"/>
      <c r="QS22" s="77"/>
      <c r="QT22" s="74"/>
      <c r="QU22" s="77"/>
      <c r="QV22" s="74"/>
      <c r="QW22" s="77"/>
      <c r="QX22" s="74"/>
      <c r="QY22" s="77"/>
      <c r="QZ22" s="74"/>
      <c r="RA22" s="74"/>
      <c r="RB22" s="74"/>
      <c r="RC22" s="74"/>
      <c r="RD22" s="74"/>
      <c r="RE22" s="74"/>
      <c r="RF22" s="74"/>
      <c r="RG22" s="77"/>
      <c r="RH22" s="74"/>
      <c r="RI22" s="77"/>
      <c r="RJ22" s="74"/>
      <c r="RK22" s="74"/>
      <c r="RL22" s="74"/>
      <c r="RM22" s="74"/>
      <c r="RN22" s="74"/>
      <c r="RO22" s="79">
        <f t="shared" si="35"/>
        <v>0</v>
      </c>
      <c r="RP22" s="74"/>
      <c r="RQ22" s="74"/>
      <c r="RR22" s="74"/>
      <c r="RS22" s="78"/>
      <c r="RT22" s="77"/>
      <c r="RU22" s="77"/>
      <c r="RV22" s="74"/>
      <c r="RW22" s="77"/>
      <c r="RX22" s="74"/>
      <c r="RY22" s="77"/>
      <c r="RZ22" s="74"/>
      <c r="SA22" s="77"/>
      <c r="SB22" s="74"/>
      <c r="SC22" s="74"/>
      <c r="SD22" s="74"/>
      <c r="SE22" s="74"/>
      <c r="SF22" s="74"/>
      <c r="SG22" s="74"/>
      <c r="SH22" s="74"/>
      <c r="SI22" s="77"/>
      <c r="SJ22" s="74"/>
      <c r="SK22" s="77"/>
      <c r="SL22" s="74"/>
      <c r="SM22" s="74"/>
      <c r="SN22" s="74"/>
      <c r="SO22" s="74"/>
      <c r="SP22" s="74"/>
      <c r="SQ22" s="79">
        <f t="shared" si="36"/>
        <v>0</v>
      </c>
      <c r="SR22" s="80">
        <f t="shared" si="37"/>
        <v>0</v>
      </c>
      <c r="SS22" s="16">
        <f t="shared" si="38"/>
        <v>300.00856370192309</v>
      </c>
      <c r="ST22" s="88">
        <f t="shared" si="39"/>
        <v>178.60402644230768</v>
      </c>
      <c r="SU22" s="88">
        <f t="shared" si="40"/>
        <v>108.984375</v>
      </c>
      <c r="SV22" s="88">
        <f t="shared" si="41"/>
        <v>72.421875</v>
      </c>
      <c r="SW22" s="88">
        <f t="shared" si="42"/>
        <v>0</v>
      </c>
      <c r="SX22" s="91">
        <f t="shared" si="43"/>
        <v>0</v>
      </c>
      <c r="SY22" s="16">
        <f t="shared" si="48"/>
        <v>35.720805288461541</v>
      </c>
      <c r="SZ22" s="16">
        <f t="shared" si="49"/>
        <v>42.864966346153842</v>
      </c>
      <c r="TA22" s="16">
        <f t="shared" si="50"/>
        <v>35.720805288461541</v>
      </c>
      <c r="TB22" s="92">
        <f t="shared" si="51"/>
        <v>64.297449519230767</v>
      </c>
      <c r="TC22" s="16">
        <f t="shared" si="52"/>
        <v>21.796875</v>
      </c>
      <c r="TD22" s="16">
        <f t="shared" si="53"/>
        <v>26.15625</v>
      </c>
      <c r="TE22" s="16">
        <f t="shared" si="54"/>
        <v>21.796875</v>
      </c>
      <c r="TF22" s="92">
        <f t="shared" si="55"/>
        <v>39.234375</v>
      </c>
      <c r="TG22" s="16">
        <f t="shared" si="56"/>
        <v>14.484375</v>
      </c>
      <c r="TH22" s="16">
        <f t="shared" si="57"/>
        <v>17.381249999999998</v>
      </c>
      <c r="TI22" s="16">
        <f t="shared" si="58"/>
        <v>14.484375</v>
      </c>
      <c r="TJ22" s="92">
        <f t="shared" si="59"/>
        <v>26.071874999999999</v>
      </c>
      <c r="TK22" s="16">
        <f t="shared" si="60"/>
        <v>0</v>
      </c>
      <c r="TL22" s="16">
        <f t="shared" si="61"/>
        <v>0</v>
      </c>
      <c r="TM22" s="16">
        <f t="shared" si="62"/>
        <v>0</v>
      </c>
      <c r="TN22" s="92">
        <f t="shared" si="63"/>
        <v>0</v>
      </c>
      <c r="TO22" s="16">
        <f t="shared" si="44"/>
        <v>0</v>
      </c>
      <c r="TP22" s="16">
        <f t="shared" si="45"/>
        <v>0</v>
      </c>
      <c r="TQ22" s="16">
        <f t="shared" si="46"/>
        <v>0</v>
      </c>
      <c r="TR22" s="92">
        <f t="shared" si="47"/>
        <v>0</v>
      </c>
    </row>
    <row r="23" spans="1:539">
      <c r="A23" s="178"/>
      <c r="B23" s="101" t="str">
        <f>+A22</f>
        <v>Insecticidas</v>
      </c>
      <c r="C23" s="71" t="s">
        <v>299</v>
      </c>
      <c r="D23" s="87">
        <f>+IFERROR(INDEX(Productos[USD],MATCH(C23,Productos[Productos],0)),0)</f>
        <v>40.5</v>
      </c>
      <c r="E23" s="74"/>
      <c r="F23" s="74"/>
      <c r="G23" s="74"/>
      <c r="H23" s="78"/>
      <c r="I23" s="77"/>
      <c r="J23" s="77">
        <f>0.3</f>
        <v>0.3</v>
      </c>
      <c r="K23" s="74"/>
      <c r="L23" s="77"/>
      <c r="M23" s="74"/>
      <c r="N23" s="77"/>
      <c r="O23" s="74"/>
      <c r="P23" s="77"/>
      <c r="Q23" s="74"/>
      <c r="R23" s="74"/>
      <c r="S23" s="74"/>
      <c r="T23" s="74"/>
      <c r="U23" s="74"/>
      <c r="V23" s="74"/>
      <c r="W23" s="74"/>
      <c r="X23" s="77"/>
      <c r="Y23" s="74"/>
      <c r="Z23" s="77"/>
      <c r="AA23" s="74"/>
      <c r="AB23" s="74"/>
      <c r="AC23" s="74"/>
      <c r="AD23" s="74"/>
      <c r="AE23" s="74"/>
      <c r="AF23" s="79">
        <f t="shared" si="16"/>
        <v>6.5723999999999982</v>
      </c>
      <c r="AG23" s="74"/>
      <c r="AH23" s="74"/>
      <c r="AI23" s="74"/>
      <c r="AJ23" s="78"/>
      <c r="AK23" s="77"/>
      <c r="AL23" s="77">
        <f>0.3</f>
        <v>0.3</v>
      </c>
      <c r="AM23" s="74"/>
      <c r="AN23" s="77"/>
      <c r="AO23" s="74"/>
      <c r="AP23" s="77"/>
      <c r="AQ23" s="74"/>
      <c r="AR23" s="77"/>
      <c r="AS23" s="74"/>
      <c r="AT23" s="74"/>
      <c r="AU23" s="74"/>
      <c r="AV23" s="74"/>
      <c r="AW23" s="74"/>
      <c r="AX23" s="74"/>
      <c r="AY23" s="74"/>
      <c r="AZ23" s="77"/>
      <c r="BA23" s="74"/>
      <c r="BB23" s="77"/>
      <c r="BC23" s="74"/>
      <c r="BD23" s="74"/>
      <c r="BE23" s="74"/>
      <c r="BF23" s="74"/>
      <c r="BG23" s="74"/>
      <c r="BH23" s="79">
        <f t="shared" si="17"/>
        <v>4.7520000000000007</v>
      </c>
      <c r="BI23" s="74"/>
      <c r="BJ23" s="74"/>
      <c r="BK23" s="74"/>
      <c r="BL23" s="78"/>
      <c r="BM23" s="77"/>
      <c r="BN23" s="77">
        <f>0.3</f>
        <v>0.3</v>
      </c>
      <c r="BO23" s="74"/>
      <c r="BP23" s="77"/>
      <c r="BQ23" s="74"/>
      <c r="BR23" s="77"/>
      <c r="BS23" s="74"/>
      <c r="BT23" s="77"/>
      <c r="BU23" s="74"/>
      <c r="BV23" s="74"/>
      <c r="BW23" s="74"/>
      <c r="BX23" s="74"/>
      <c r="BY23" s="74"/>
      <c r="BZ23" s="74"/>
      <c r="CA23" s="74"/>
      <c r="CB23" s="77"/>
      <c r="CC23" s="74"/>
      <c r="CD23" s="77"/>
      <c r="CE23" s="74"/>
      <c r="CF23" s="74"/>
      <c r="CG23" s="74"/>
      <c r="CH23" s="74"/>
      <c r="CI23" s="74"/>
      <c r="CJ23" s="79">
        <f t="shared" si="18"/>
        <v>5.8577399999999997</v>
      </c>
      <c r="CK23" s="74"/>
      <c r="CL23" s="74"/>
      <c r="CM23" s="74"/>
      <c r="CN23" s="78"/>
      <c r="CO23" s="77"/>
      <c r="CP23" s="77">
        <f>0.3</f>
        <v>0.3</v>
      </c>
      <c r="CQ23" s="74"/>
      <c r="CR23" s="77"/>
      <c r="CS23" s="74"/>
      <c r="CT23" s="77"/>
      <c r="CU23" s="74"/>
      <c r="CV23" s="77"/>
      <c r="CW23" s="74"/>
      <c r="CX23" s="74"/>
      <c r="CY23" s="74"/>
      <c r="CZ23" s="74"/>
      <c r="DA23" s="74"/>
      <c r="DB23" s="74"/>
      <c r="DC23" s="74"/>
      <c r="DD23" s="77"/>
      <c r="DE23" s="74"/>
      <c r="DF23" s="77"/>
      <c r="DG23" s="74"/>
      <c r="DH23" s="74"/>
      <c r="DI23" s="74"/>
      <c r="DJ23" s="74"/>
      <c r="DK23" s="74"/>
      <c r="DL23" s="79">
        <f t="shared" si="19"/>
        <v>1.7339999999999998</v>
      </c>
      <c r="DM23" s="74"/>
      <c r="DN23" s="74"/>
      <c r="DO23" s="74"/>
      <c r="DP23" s="78"/>
      <c r="DQ23" s="77"/>
      <c r="DR23" s="77">
        <f>0.3</f>
        <v>0.3</v>
      </c>
      <c r="DS23" s="74"/>
      <c r="DT23" s="77"/>
      <c r="DU23" s="74"/>
      <c r="DV23" s="77"/>
      <c r="DW23" s="74"/>
      <c r="DX23" s="77"/>
      <c r="DY23" s="74"/>
      <c r="DZ23" s="74"/>
      <c r="EA23" s="74"/>
      <c r="EB23" s="74"/>
      <c r="EC23" s="74"/>
      <c r="ED23" s="74"/>
      <c r="EE23" s="74"/>
      <c r="EF23" s="77"/>
      <c r="EG23" s="74"/>
      <c r="EH23" s="77"/>
      <c r="EI23" s="74"/>
      <c r="EJ23" s="74"/>
      <c r="EK23" s="74"/>
      <c r="EL23" s="74"/>
      <c r="EM23" s="74"/>
      <c r="EN23" s="79">
        <f t="shared" si="20"/>
        <v>0.89700000000000002</v>
      </c>
      <c r="EO23" s="80">
        <f t="shared" si="21"/>
        <v>19.813139999999994</v>
      </c>
      <c r="EP23" s="74"/>
      <c r="EQ23" s="74"/>
      <c r="ER23" s="74"/>
      <c r="ES23" s="78"/>
      <c r="ET23" s="77"/>
      <c r="EU23" s="77">
        <f>0.3</f>
        <v>0.3</v>
      </c>
      <c r="EV23" s="74"/>
      <c r="EW23" s="77"/>
      <c r="EX23" s="74"/>
      <c r="EY23" s="77"/>
      <c r="EZ23" s="74"/>
      <c r="FA23" s="77"/>
      <c r="FB23" s="74"/>
      <c r="FC23" s="74"/>
      <c r="FD23" s="74"/>
      <c r="FE23" s="74"/>
      <c r="FF23" s="74"/>
      <c r="FG23" s="74"/>
      <c r="FH23" s="74"/>
      <c r="FI23" s="77"/>
      <c r="FJ23" s="74"/>
      <c r="FK23" s="77"/>
      <c r="FL23" s="74"/>
      <c r="FM23" s="74"/>
      <c r="FN23" s="74"/>
      <c r="FO23" s="74"/>
      <c r="FP23" s="74"/>
      <c r="FQ23" s="79">
        <f t="shared" si="22"/>
        <v>3.42</v>
      </c>
      <c r="FR23" s="74"/>
      <c r="FS23" s="74"/>
      <c r="FT23" s="74"/>
      <c r="FU23" s="78"/>
      <c r="FV23" s="77"/>
      <c r="FW23" s="77">
        <f>0.3</f>
        <v>0.3</v>
      </c>
      <c r="FX23" s="74"/>
      <c r="FY23" s="77"/>
      <c r="FZ23" s="74"/>
      <c r="GA23" s="77"/>
      <c r="GB23" s="74"/>
      <c r="GC23" s="77"/>
      <c r="GD23" s="74"/>
      <c r="GE23" s="74"/>
      <c r="GF23" s="74"/>
      <c r="GG23" s="74"/>
      <c r="GH23" s="74"/>
      <c r="GI23" s="74"/>
      <c r="GJ23" s="74"/>
      <c r="GK23" s="77"/>
      <c r="GL23" s="74"/>
      <c r="GM23" s="77"/>
      <c r="GN23" s="74"/>
      <c r="GO23" s="74"/>
      <c r="GP23" s="74"/>
      <c r="GQ23" s="74"/>
      <c r="GR23" s="74"/>
      <c r="GS23" s="79">
        <f t="shared" si="23"/>
        <v>2.94</v>
      </c>
      <c r="GT23" s="74"/>
      <c r="GU23" s="74"/>
      <c r="GV23" s="74"/>
      <c r="GW23" s="78"/>
      <c r="GX23" s="77"/>
      <c r="GY23" s="77">
        <f>0.3</f>
        <v>0.3</v>
      </c>
      <c r="GZ23" s="74"/>
      <c r="HA23" s="77"/>
      <c r="HB23" s="74"/>
      <c r="HC23" s="77"/>
      <c r="HD23" s="74"/>
      <c r="HE23" s="77"/>
      <c r="HF23" s="74"/>
      <c r="HG23" s="74"/>
      <c r="HH23" s="74"/>
      <c r="HI23" s="74"/>
      <c r="HJ23" s="74"/>
      <c r="HK23" s="74"/>
      <c r="HL23" s="74"/>
      <c r="HM23" s="77"/>
      <c r="HN23" s="74"/>
      <c r="HO23" s="77"/>
      <c r="HP23" s="74"/>
      <c r="HQ23" s="74"/>
      <c r="HR23" s="74"/>
      <c r="HS23" s="74"/>
      <c r="HT23" s="74"/>
      <c r="HU23" s="79">
        <f t="shared" si="24"/>
        <v>5.73</v>
      </c>
      <c r="HV23" s="80">
        <f t="shared" si="25"/>
        <v>12.09</v>
      </c>
      <c r="HW23" s="74"/>
      <c r="HX23" s="74"/>
      <c r="HY23" s="74"/>
      <c r="HZ23" s="78"/>
      <c r="IA23" s="77"/>
      <c r="IB23" s="77">
        <f>0.3</f>
        <v>0.3</v>
      </c>
      <c r="IC23" s="74"/>
      <c r="ID23" s="77"/>
      <c r="IE23" s="74"/>
      <c r="IF23" s="77"/>
      <c r="IG23" s="74"/>
      <c r="IH23" s="77"/>
      <c r="II23" s="74"/>
      <c r="IJ23" s="74"/>
      <c r="IK23" s="74"/>
      <c r="IL23" s="74"/>
      <c r="IM23" s="74"/>
      <c r="IN23" s="74"/>
      <c r="IO23" s="74"/>
      <c r="IP23" s="77"/>
      <c r="IQ23" s="74"/>
      <c r="IR23" s="77"/>
      <c r="IS23" s="74"/>
      <c r="IT23" s="74"/>
      <c r="IU23" s="74"/>
      <c r="IV23" s="74"/>
      <c r="IW23" s="74"/>
      <c r="IX23" s="79">
        <f t="shared" si="26"/>
        <v>1.746</v>
      </c>
      <c r="IY23" s="74"/>
      <c r="IZ23" s="74"/>
      <c r="JA23" s="74"/>
      <c r="JB23" s="78"/>
      <c r="JC23" s="77"/>
      <c r="JD23" s="77">
        <f>0.3</f>
        <v>0.3</v>
      </c>
      <c r="JE23" s="74"/>
      <c r="JF23" s="77"/>
      <c r="JG23" s="74"/>
      <c r="JH23" s="77"/>
      <c r="JI23" s="74"/>
      <c r="JJ23" s="77"/>
      <c r="JK23" s="74"/>
      <c r="JL23" s="74"/>
      <c r="JM23" s="74"/>
      <c r="JN23" s="74"/>
      <c r="JO23" s="74"/>
      <c r="JP23" s="74"/>
      <c r="JQ23" s="74"/>
      <c r="JR23" s="77"/>
      <c r="JS23" s="74"/>
      <c r="JT23" s="77"/>
      <c r="JU23" s="74"/>
      <c r="JV23" s="74"/>
      <c r="JW23" s="74"/>
      <c r="JX23" s="74"/>
      <c r="JY23" s="74"/>
      <c r="JZ23" s="79">
        <f t="shared" si="27"/>
        <v>4.4039999999999999</v>
      </c>
      <c r="KA23" s="74"/>
      <c r="KB23" s="74"/>
      <c r="KC23" s="74"/>
      <c r="KD23" s="78"/>
      <c r="KE23" s="77"/>
      <c r="KF23" s="77">
        <f>0.3</f>
        <v>0.3</v>
      </c>
      <c r="KG23" s="74"/>
      <c r="KH23" s="77"/>
      <c r="KI23" s="74"/>
      <c r="KJ23" s="77"/>
      <c r="KK23" s="74"/>
      <c r="KL23" s="77"/>
      <c r="KM23" s="74"/>
      <c r="KN23" s="74"/>
      <c r="KO23" s="74"/>
      <c r="KP23" s="74"/>
      <c r="KQ23" s="74"/>
      <c r="KR23" s="74"/>
      <c r="KS23" s="74"/>
      <c r="KT23" s="77"/>
      <c r="KU23" s="74"/>
      <c r="KV23" s="77"/>
      <c r="KW23" s="74"/>
      <c r="KX23" s="74"/>
      <c r="KY23" s="74"/>
      <c r="KZ23" s="74"/>
      <c r="LA23" s="74"/>
      <c r="LB23" s="79">
        <f t="shared" si="28"/>
        <v>1.8839999999999997</v>
      </c>
      <c r="LC23" s="80">
        <f t="shared" si="29"/>
        <v>8.0340000000000007</v>
      </c>
      <c r="LD23" s="74"/>
      <c r="LE23" s="74"/>
      <c r="LF23" s="74"/>
      <c r="LG23" s="78"/>
      <c r="LH23" s="77"/>
      <c r="LI23" s="77">
        <f>0.3</f>
        <v>0.3</v>
      </c>
      <c r="LJ23" s="74"/>
      <c r="LK23" s="77"/>
      <c r="LL23" s="74"/>
      <c r="LM23" s="77"/>
      <c r="LN23" s="74"/>
      <c r="LO23" s="77"/>
      <c r="LP23" s="74"/>
      <c r="LQ23" s="74"/>
      <c r="LR23" s="74"/>
      <c r="LS23" s="74"/>
      <c r="LT23" s="74"/>
      <c r="LU23" s="74"/>
      <c r="LV23" s="74"/>
      <c r="LW23" s="77"/>
      <c r="LX23" s="74"/>
      <c r="LY23" s="77"/>
      <c r="LZ23" s="74"/>
      <c r="MA23" s="74"/>
      <c r="MB23" s="74"/>
      <c r="MC23" s="74"/>
      <c r="MD23" s="74"/>
      <c r="ME23" s="79">
        <f t="shared" si="30"/>
        <v>8.2889999999999997</v>
      </c>
      <c r="MF23" s="74"/>
      <c r="MG23" s="74"/>
      <c r="MH23" s="74"/>
      <c r="MI23" s="78"/>
      <c r="MJ23" s="77"/>
      <c r="MK23" s="77">
        <f>0.3</f>
        <v>0.3</v>
      </c>
      <c r="ML23" s="74"/>
      <c r="MM23" s="77"/>
      <c r="MN23" s="74"/>
      <c r="MO23" s="77"/>
      <c r="MP23" s="74"/>
      <c r="MQ23" s="77"/>
      <c r="MR23" s="74"/>
      <c r="MS23" s="74"/>
      <c r="MT23" s="74"/>
      <c r="MU23" s="74"/>
      <c r="MV23" s="74"/>
      <c r="MW23" s="74"/>
      <c r="MX23" s="74"/>
      <c r="MY23" s="77"/>
      <c r="MZ23" s="74"/>
      <c r="NA23" s="77"/>
      <c r="NB23" s="74"/>
      <c r="NC23" s="74"/>
      <c r="ND23" s="74"/>
      <c r="NE23" s="74"/>
      <c r="NF23" s="74"/>
      <c r="NG23" s="79">
        <f t="shared" si="31"/>
        <v>16.553999999999998</v>
      </c>
      <c r="NH23" s="74"/>
      <c r="NI23" s="74"/>
      <c r="NJ23" s="74"/>
      <c r="NK23" s="78"/>
      <c r="NL23" s="77"/>
      <c r="NM23" s="77">
        <f>0.3</f>
        <v>0.3</v>
      </c>
      <c r="NN23" s="74"/>
      <c r="NO23" s="77"/>
      <c r="NP23" s="74"/>
      <c r="NQ23" s="77"/>
      <c r="NR23" s="74"/>
      <c r="NS23" s="77"/>
      <c r="NT23" s="74"/>
      <c r="NU23" s="74"/>
      <c r="NV23" s="74"/>
      <c r="NW23" s="74"/>
      <c r="NX23" s="74"/>
      <c r="NY23" s="74"/>
      <c r="NZ23" s="74"/>
      <c r="OA23" s="77"/>
      <c r="OB23" s="74"/>
      <c r="OC23" s="77"/>
      <c r="OD23" s="74"/>
      <c r="OE23" s="74"/>
      <c r="OF23" s="74"/>
      <c r="OG23" s="74"/>
      <c r="OH23" s="74"/>
      <c r="OI23" s="79">
        <f t="shared" si="32"/>
        <v>15.605999999999998</v>
      </c>
      <c r="OJ23" s="74"/>
      <c r="OK23" s="74"/>
      <c r="OL23" s="74"/>
      <c r="OM23" s="78"/>
      <c r="ON23" s="77"/>
      <c r="OO23" s="77">
        <f>0.3</f>
        <v>0.3</v>
      </c>
      <c r="OP23" s="74"/>
      <c r="OQ23" s="77"/>
      <c r="OR23" s="74"/>
      <c r="OS23" s="77"/>
      <c r="OT23" s="74"/>
      <c r="OU23" s="77"/>
      <c r="OV23" s="74"/>
      <c r="OW23" s="74"/>
      <c r="OX23" s="74"/>
      <c r="OY23" s="74"/>
      <c r="OZ23" s="74"/>
      <c r="PA23" s="74"/>
      <c r="PB23" s="74"/>
      <c r="PC23" s="77"/>
      <c r="PD23" s="74"/>
      <c r="PE23" s="77"/>
      <c r="PF23" s="74"/>
      <c r="PG23" s="74"/>
      <c r="PH23" s="74"/>
      <c r="PI23" s="74"/>
      <c r="PJ23" s="74"/>
      <c r="PK23" s="79">
        <f t="shared" si="33"/>
        <v>7.8090000000000002</v>
      </c>
      <c r="PL23" s="74"/>
      <c r="PM23" s="74"/>
      <c r="PN23" s="74"/>
      <c r="PO23" s="78"/>
      <c r="PP23" s="77"/>
      <c r="PQ23" s="77">
        <f>0.3</f>
        <v>0.3</v>
      </c>
      <c r="PR23" s="74"/>
      <c r="PS23" s="77"/>
      <c r="PT23" s="74"/>
      <c r="PU23" s="77"/>
      <c r="PV23" s="74"/>
      <c r="PW23" s="77"/>
      <c r="PX23" s="74"/>
      <c r="PY23" s="74"/>
      <c r="PZ23" s="74"/>
      <c r="QA23" s="74"/>
      <c r="QB23" s="74"/>
      <c r="QC23" s="74"/>
      <c r="QD23" s="74"/>
      <c r="QE23" s="77"/>
      <c r="QF23" s="74"/>
      <c r="QG23" s="77"/>
      <c r="QH23" s="74"/>
      <c r="QI23" s="74"/>
      <c r="QJ23" s="74"/>
      <c r="QK23" s="74"/>
      <c r="QL23" s="74"/>
      <c r="QM23" s="79">
        <f t="shared" si="34"/>
        <v>9.3449999999999989</v>
      </c>
      <c r="QN23" s="74"/>
      <c r="QO23" s="74"/>
      <c r="QP23" s="74"/>
      <c r="QQ23" s="78"/>
      <c r="QR23" s="77"/>
      <c r="QS23" s="77">
        <f>0.3</f>
        <v>0.3</v>
      </c>
      <c r="QT23" s="74"/>
      <c r="QU23" s="77"/>
      <c r="QV23" s="74"/>
      <c r="QW23" s="77"/>
      <c r="QX23" s="74"/>
      <c r="QY23" s="77"/>
      <c r="QZ23" s="74"/>
      <c r="RA23" s="74"/>
      <c r="RB23" s="74"/>
      <c r="RC23" s="74"/>
      <c r="RD23" s="74"/>
      <c r="RE23" s="74"/>
      <c r="RF23" s="74"/>
      <c r="RG23" s="77"/>
      <c r="RH23" s="74"/>
      <c r="RI23" s="77"/>
      <c r="RJ23" s="74"/>
      <c r="RK23" s="74"/>
      <c r="RL23" s="74"/>
      <c r="RM23" s="74"/>
      <c r="RN23" s="74"/>
      <c r="RO23" s="79">
        <f t="shared" si="35"/>
        <v>13.295999999999999</v>
      </c>
      <c r="RP23" s="74"/>
      <c r="RQ23" s="74"/>
      <c r="RR23" s="74"/>
      <c r="RS23" s="78"/>
      <c r="RT23" s="77"/>
      <c r="RU23" s="77">
        <f>0.3</f>
        <v>0.3</v>
      </c>
      <c r="RV23" s="74"/>
      <c r="RW23" s="77"/>
      <c r="RX23" s="74"/>
      <c r="RY23" s="77"/>
      <c r="RZ23" s="74"/>
      <c r="SA23" s="77"/>
      <c r="SB23" s="74"/>
      <c r="SC23" s="74"/>
      <c r="SD23" s="74"/>
      <c r="SE23" s="74"/>
      <c r="SF23" s="74"/>
      <c r="SG23" s="74"/>
      <c r="SH23" s="74"/>
      <c r="SI23" s="77"/>
      <c r="SJ23" s="74"/>
      <c r="SK23" s="77"/>
      <c r="SL23" s="74"/>
      <c r="SM23" s="74"/>
      <c r="SN23" s="74"/>
      <c r="SO23" s="74"/>
      <c r="SP23" s="74"/>
      <c r="SQ23" s="79">
        <f t="shared" si="36"/>
        <v>3.8159999999999998</v>
      </c>
      <c r="SR23" s="80">
        <f t="shared" si="37"/>
        <v>74.715000000000003</v>
      </c>
      <c r="SS23" s="16">
        <f t="shared" si="38"/>
        <v>114.65214</v>
      </c>
      <c r="ST23" s="88">
        <f t="shared" si="39"/>
        <v>802.4321699999997</v>
      </c>
      <c r="SU23" s="88">
        <f t="shared" si="40"/>
        <v>489.64499999999998</v>
      </c>
      <c r="SV23" s="88">
        <f t="shared" si="41"/>
        <v>325.37700000000001</v>
      </c>
      <c r="SW23" s="88">
        <f t="shared" si="42"/>
        <v>2095.4755687500001</v>
      </c>
      <c r="SX23" s="91">
        <f t="shared" si="43"/>
        <v>879.948441</v>
      </c>
      <c r="SY23" s="16">
        <f t="shared" si="48"/>
        <v>160.48643399999995</v>
      </c>
      <c r="SZ23" s="16">
        <f t="shared" si="49"/>
        <v>192.58372079999992</v>
      </c>
      <c r="TA23" s="16">
        <f t="shared" si="50"/>
        <v>160.48643399999995</v>
      </c>
      <c r="TB23" s="92">
        <f t="shared" si="51"/>
        <v>288.87558119999989</v>
      </c>
      <c r="TC23" s="16">
        <f t="shared" si="52"/>
        <v>97.929000000000002</v>
      </c>
      <c r="TD23" s="16">
        <f t="shared" si="53"/>
        <v>117.51479999999999</v>
      </c>
      <c r="TE23" s="16">
        <f t="shared" si="54"/>
        <v>97.929000000000002</v>
      </c>
      <c r="TF23" s="92">
        <f t="shared" si="55"/>
        <v>176.2722</v>
      </c>
      <c r="TG23" s="16">
        <f t="shared" si="56"/>
        <v>65.075400000000002</v>
      </c>
      <c r="TH23" s="16">
        <f t="shared" si="57"/>
        <v>78.090479999999999</v>
      </c>
      <c r="TI23" s="16">
        <f t="shared" si="58"/>
        <v>65.075400000000002</v>
      </c>
      <c r="TJ23" s="92">
        <f t="shared" si="59"/>
        <v>117.13571999999999</v>
      </c>
      <c r="TK23" s="16">
        <f t="shared" si="60"/>
        <v>419.09511375000005</v>
      </c>
      <c r="TL23" s="16">
        <f t="shared" si="61"/>
        <v>502.91413649999998</v>
      </c>
      <c r="TM23" s="16">
        <f t="shared" si="62"/>
        <v>419.09511375000005</v>
      </c>
      <c r="TN23" s="92">
        <f t="shared" si="63"/>
        <v>754.37120475000006</v>
      </c>
      <c r="TO23" s="16">
        <f t="shared" si="44"/>
        <v>175.98968820000002</v>
      </c>
      <c r="TP23" s="16">
        <f t="shared" si="45"/>
        <v>211.18762583999998</v>
      </c>
      <c r="TQ23" s="16">
        <f t="shared" si="46"/>
        <v>175.98968820000002</v>
      </c>
      <c r="TR23" s="92">
        <f t="shared" si="47"/>
        <v>316.78143876000001</v>
      </c>
    </row>
    <row r="24" spans="1:539">
      <c r="A24" s="178"/>
      <c r="B24" s="101" t="str">
        <f>+A22</f>
        <v>Insecticidas</v>
      </c>
      <c r="C24" s="71" t="s">
        <v>300</v>
      </c>
      <c r="D24" s="87">
        <f>+IFERROR(INDEX(Productos[USD],MATCH(C24,Productos[Productos],0)),0)</f>
        <v>100.98</v>
      </c>
      <c r="E24" s="74"/>
      <c r="F24" s="74"/>
      <c r="G24" s="74"/>
      <c r="H24" s="78"/>
      <c r="I24" s="77"/>
      <c r="J24" s="77"/>
      <c r="K24" s="74"/>
      <c r="L24" s="77"/>
      <c r="M24" s="74"/>
      <c r="N24" s="77"/>
      <c r="O24" s="74"/>
      <c r="P24" s="77">
        <v>0.15</v>
      </c>
      <c r="Q24" s="74"/>
      <c r="R24" s="74"/>
      <c r="S24" s="74"/>
      <c r="T24" s="74"/>
      <c r="U24" s="74"/>
      <c r="V24" s="74"/>
      <c r="W24" s="74"/>
      <c r="X24" s="77"/>
      <c r="Y24" s="74"/>
      <c r="Z24" s="77"/>
      <c r="AA24" s="74"/>
      <c r="AB24" s="74"/>
      <c r="AC24" s="74"/>
      <c r="AD24" s="74"/>
      <c r="AE24" s="74"/>
      <c r="AF24" s="79">
        <f t="shared" si="16"/>
        <v>3.2861999999999991</v>
      </c>
      <c r="AG24" s="74"/>
      <c r="AH24" s="74"/>
      <c r="AI24" s="74"/>
      <c r="AJ24" s="78"/>
      <c r="AK24" s="77"/>
      <c r="AL24" s="77"/>
      <c r="AM24" s="74"/>
      <c r="AN24" s="77"/>
      <c r="AO24" s="74"/>
      <c r="AP24" s="77"/>
      <c r="AQ24" s="74"/>
      <c r="AR24" s="77">
        <v>0.15</v>
      </c>
      <c r="AS24" s="74"/>
      <c r="AT24" s="74"/>
      <c r="AU24" s="74"/>
      <c r="AV24" s="74"/>
      <c r="AW24" s="74"/>
      <c r="AX24" s="74"/>
      <c r="AY24" s="74"/>
      <c r="AZ24" s="77"/>
      <c r="BA24" s="74"/>
      <c r="BB24" s="77"/>
      <c r="BC24" s="74"/>
      <c r="BD24" s="74"/>
      <c r="BE24" s="74"/>
      <c r="BF24" s="74"/>
      <c r="BG24" s="74"/>
      <c r="BH24" s="79">
        <f t="shared" si="17"/>
        <v>2.3760000000000003</v>
      </c>
      <c r="BI24" s="74"/>
      <c r="BJ24" s="74"/>
      <c r="BK24" s="74"/>
      <c r="BL24" s="78"/>
      <c r="BM24" s="77"/>
      <c r="BN24" s="77"/>
      <c r="BO24" s="74"/>
      <c r="BP24" s="77"/>
      <c r="BQ24" s="74"/>
      <c r="BR24" s="77"/>
      <c r="BS24" s="74"/>
      <c r="BT24" s="77">
        <v>0.15</v>
      </c>
      <c r="BU24" s="74"/>
      <c r="BV24" s="74"/>
      <c r="BW24" s="74"/>
      <c r="BX24" s="74"/>
      <c r="BY24" s="74"/>
      <c r="BZ24" s="74"/>
      <c r="CA24" s="74"/>
      <c r="CB24" s="77"/>
      <c r="CC24" s="74"/>
      <c r="CD24" s="77"/>
      <c r="CE24" s="74"/>
      <c r="CF24" s="74"/>
      <c r="CG24" s="74"/>
      <c r="CH24" s="74"/>
      <c r="CI24" s="74"/>
      <c r="CJ24" s="79">
        <f t="shared" si="18"/>
        <v>2.9288699999999999</v>
      </c>
      <c r="CK24" s="74"/>
      <c r="CL24" s="74"/>
      <c r="CM24" s="74"/>
      <c r="CN24" s="78"/>
      <c r="CO24" s="77"/>
      <c r="CP24" s="77"/>
      <c r="CQ24" s="74"/>
      <c r="CR24" s="77"/>
      <c r="CS24" s="74"/>
      <c r="CT24" s="77"/>
      <c r="CU24" s="74"/>
      <c r="CV24" s="77">
        <v>0.15</v>
      </c>
      <c r="CW24" s="74"/>
      <c r="CX24" s="74"/>
      <c r="CY24" s="74"/>
      <c r="CZ24" s="74"/>
      <c r="DA24" s="74"/>
      <c r="DB24" s="74"/>
      <c r="DC24" s="74"/>
      <c r="DD24" s="77"/>
      <c r="DE24" s="74"/>
      <c r="DF24" s="77"/>
      <c r="DG24" s="74"/>
      <c r="DH24" s="74"/>
      <c r="DI24" s="74"/>
      <c r="DJ24" s="74"/>
      <c r="DK24" s="74"/>
      <c r="DL24" s="79">
        <f t="shared" si="19"/>
        <v>0.86699999999999988</v>
      </c>
      <c r="DM24" s="74"/>
      <c r="DN24" s="74"/>
      <c r="DO24" s="74"/>
      <c r="DP24" s="78"/>
      <c r="DQ24" s="77"/>
      <c r="DR24" s="77"/>
      <c r="DS24" s="74"/>
      <c r="DT24" s="77"/>
      <c r="DU24" s="74"/>
      <c r="DV24" s="77"/>
      <c r="DW24" s="74"/>
      <c r="DX24" s="77">
        <v>0.15</v>
      </c>
      <c r="DY24" s="74"/>
      <c r="DZ24" s="74"/>
      <c r="EA24" s="74"/>
      <c r="EB24" s="74"/>
      <c r="EC24" s="74"/>
      <c r="ED24" s="74"/>
      <c r="EE24" s="74"/>
      <c r="EF24" s="77"/>
      <c r="EG24" s="74"/>
      <c r="EH24" s="77"/>
      <c r="EI24" s="74"/>
      <c r="EJ24" s="74"/>
      <c r="EK24" s="74"/>
      <c r="EL24" s="74"/>
      <c r="EM24" s="74"/>
      <c r="EN24" s="79">
        <f t="shared" si="20"/>
        <v>0.44850000000000001</v>
      </c>
      <c r="EO24" s="80">
        <f t="shared" si="21"/>
        <v>9.9065699999999968</v>
      </c>
      <c r="EP24" s="74"/>
      <c r="EQ24" s="74"/>
      <c r="ER24" s="74"/>
      <c r="ES24" s="78"/>
      <c r="ET24" s="77"/>
      <c r="EU24" s="77"/>
      <c r="EV24" s="74"/>
      <c r="EW24" s="77"/>
      <c r="EX24" s="74"/>
      <c r="EY24" s="77"/>
      <c r="EZ24" s="74"/>
      <c r="FA24" s="77">
        <v>0.15</v>
      </c>
      <c r="FB24" s="74"/>
      <c r="FC24" s="74"/>
      <c r="FD24" s="74"/>
      <c r="FE24" s="74"/>
      <c r="FF24" s="74"/>
      <c r="FG24" s="74"/>
      <c r="FH24" s="74"/>
      <c r="FI24" s="77"/>
      <c r="FJ24" s="74"/>
      <c r="FK24" s="77"/>
      <c r="FL24" s="74"/>
      <c r="FM24" s="74"/>
      <c r="FN24" s="74"/>
      <c r="FO24" s="74"/>
      <c r="FP24" s="74"/>
      <c r="FQ24" s="79">
        <f t="shared" si="22"/>
        <v>1.71</v>
      </c>
      <c r="FR24" s="74"/>
      <c r="FS24" s="74"/>
      <c r="FT24" s="74"/>
      <c r="FU24" s="78"/>
      <c r="FV24" s="77"/>
      <c r="FW24" s="77"/>
      <c r="FX24" s="74"/>
      <c r="FY24" s="77"/>
      <c r="FZ24" s="74"/>
      <c r="GA24" s="77"/>
      <c r="GB24" s="74"/>
      <c r="GC24" s="77">
        <v>0.15</v>
      </c>
      <c r="GD24" s="74"/>
      <c r="GE24" s="74"/>
      <c r="GF24" s="74"/>
      <c r="GG24" s="74"/>
      <c r="GH24" s="74"/>
      <c r="GI24" s="74"/>
      <c r="GJ24" s="74"/>
      <c r="GK24" s="77"/>
      <c r="GL24" s="74"/>
      <c r="GM24" s="77"/>
      <c r="GN24" s="74"/>
      <c r="GO24" s="74"/>
      <c r="GP24" s="74"/>
      <c r="GQ24" s="74"/>
      <c r="GR24" s="74"/>
      <c r="GS24" s="79">
        <f t="shared" si="23"/>
        <v>1.47</v>
      </c>
      <c r="GT24" s="74"/>
      <c r="GU24" s="74"/>
      <c r="GV24" s="74"/>
      <c r="GW24" s="78"/>
      <c r="GX24" s="77"/>
      <c r="GY24" s="77"/>
      <c r="GZ24" s="74"/>
      <c r="HA24" s="77"/>
      <c r="HB24" s="74"/>
      <c r="HC24" s="77"/>
      <c r="HD24" s="74"/>
      <c r="HE24" s="77">
        <v>0.15</v>
      </c>
      <c r="HF24" s="74"/>
      <c r="HG24" s="74"/>
      <c r="HH24" s="74"/>
      <c r="HI24" s="74"/>
      <c r="HJ24" s="74"/>
      <c r="HK24" s="74"/>
      <c r="HL24" s="74"/>
      <c r="HM24" s="77"/>
      <c r="HN24" s="74"/>
      <c r="HO24" s="77"/>
      <c r="HP24" s="74"/>
      <c r="HQ24" s="74"/>
      <c r="HR24" s="74"/>
      <c r="HS24" s="74"/>
      <c r="HT24" s="74"/>
      <c r="HU24" s="79">
        <f t="shared" si="24"/>
        <v>2.8650000000000002</v>
      </c>
      <c r="HV24" s="80">
        <f t="shared" si="25"/>
        <v>6.0449999999999999</v>
      </c>
      <c r="HW24" s="74"/>
      <c r="HX24" s="74"/>
      <c r="HY24" s="74"/>
      <c r="HZ24" s="78"/>
      <c r="IA24" s="77"/>
      <c r="IB24" s="77"/>
      <c r="IC24" s="74"/>
      <c r="ID24" s="77"/>
      <c r="IE24" s="74"/>
      <c r="IF24" s="77"/>
      <c r="IG24" s="74"/>
      <c r="IH24" s="77">
        <v>0.15</v>
      </c>
      <c r="II24" s="74"/>
      <c r="IJ24" s="74"/>
      <c r="IK24" s="74"/>
      <c r="IL24" s="74"/>
      <c r="IM24" s="74"/>
      <c r="IN24" s="74"/>
      <c r="IO24" s="74"/>
      <c r="IP24" s="77"/>
      <c r="IQ24" s="74"/>
      <c r="IR24" s="77"/>
      <c r="IS24" s="74"/>
      <c r="IT24" s="74"/>
      <c r="IU24" s="74"/>
      <c r="IV24" s="74"/>
      <c r="IW24" s="74"/>
      <c r="IX24" s="79">
        <f t="shared" si="26"/>
        <v>0.873</v>
      </c>
      <c r="IY24" s="74"/>
      <c r="IZ24" s="74"/>
      <c r="JA24" s="74"/>
      <c r="JB24" s="78"/>
      <c r="JC24" s="77"/>
      <c r="JD24" s="77"/>
      <c r="JE24" s="74"/>
      <c r="JF24" s="77"/>
      <c r="JG24" s="74"/>
      <c r="JH24" s="77"/>
      <c r="JI24" s="74"/>
      <c r="JJ24" s="77">
        <v>0.15</v>
      </c>
      <c r="JK24" s="74"/>
      <c r="JL24" s="74"/>
      <c r="JM24" s="74"/>
      <c r="JN24" s="74"/>
      <c r="JO24" s="74"/>
      <c r="JP24" s="74"/>
      <c r="JQ24" s="74"/>
      <c r="JR24" s="77"/>
      <c r="JS24" s="74"/>
      <c r="JT24" s="77"/>
      <c r="JU24" s="74"/>
      <c r="JV24" s="74"/>
      <c r="JW24" s="74"/>
      <c r="JX24" s="74"/>
      <c r="JY24" s="74"/>
      <c r="JZ24" s="79">
        <f t="shared" si="27"/>
        <v>2.202</v>
      </c>
      <c r="KA24" s="74"/>
      <c r="KB24" s="74"/>
      <c r="KC24" s="74"/>
      <c r="KD24" s="78"/>
      <c r="KE24" s="77"/>
      <c r="KF24" s="77"/>
      <c r="KG24" s="74"/>
      <c r="KH24" s="77"/>
      <c r="KI24" s="74"/>
      <c r="KJ24" s="77"/>
      <c r="KK24" s="74"/>
      <c r="KL24" s="77">
        <v>0.15</v>
      </c>
      <c r="KM24" s="74"/>
      <c r="KN24" s="74"/>
      <c r="KO24" s="74"/>
      <c r="KP24" s="74"/>
      <c r="KQ24" s="74"/>
      <c r="KR24" s="74"/>
      <c r="KS24" s="74"/>
      <c r="KT24" s="77"/>
      <c r="KU24" s="74"/>
      <c r="KV24" s="77"/>
      <c r="KW24" s="74"/>
      <c r="KX24" s="74"/>
      <c r="KY24" s="74"/>
      <c r="KZ24" s="74"/>
      <c r="LA24" s="74"/>
      <c r="LB24" s="79">
        <f t="shared" si="28"/>
        <v>0.94199999999999984</v>
      </c>
      <c r="LC24" s="80">
        <f t="shared" si="29"/>
        <v>4.0170000000000003</v>
      </c>
      <c r="LD24" s="74"/>
      <c r="LE24" s="74"/>
      <c r="LF24" s="74"/>
      <c r="LG24" s="78"/>
      <c r="LH24" s="77"/>
      <c r="LI24" s="77"/>
      <c r="LJ24" s="74"/>
      <c r="LK24" s="77"/>
      <c r="LL24" s="74"/>
      <c r="LM24" s="77"/>
      <c r="LN24" s="74"/>
      <c r="LO24" s="77">
        <v>0.15</v>
      </c>
      <c r="LP24" s="74"/>
      <c r="LQ24" s="74"/>
      <c r="LR24" s="74"/>
      <c r="LS24" s="74"/>
      <c r="LT24" s="74"/>
      <c r="LU24" s="74"/>
      <c r="LV24" s="74"/>
      <c r="LW24" s="77"/>
      <c r="LX24" s="74"/>
      <c r="LY24" s="77"/>
      <c r="LZ24" s="74"/>
      <c r="MA24" s="74"/>
      <c r="MB24" s="74"/>
      <c r="MC24" s="74"/>
      <c r="MD24" s="74"/>
      <c r="ME24" s="79">
        <f t="shared" si="30"/>
        <v>4.1444999999999999</v>
      </c>
      <c r="MF24" s="74"/>
      <c r="MG24" s="74"/>
      <c r="MH24" s="74"/>
      <c r="MI24" s="78"/>
      <c r="MJ24" s="77"/>
      <c r="MK24" s="77"/>
      <c r="ML24" s="74"/>
      <c r="MM24" s="77"/>
      <c r="MN24" s="74"/>
      <c r="MO24" s="77"/>
      <c r="MP24" s="74"/>
      <c r="MQ24" s="77">
        <v>0.15</v>
      </c>
      <c r="MR24" s="74"/>
      <c r="MS24" s="74"/>
      <c r="MT24" s="74"/>
      <c r="MU24" s="74"/>
      <c r="MV24" s="74"/>
      <c r="MW24" s="74"/>
      <c r="MX24" s="74"/>
      <c r="MY24" s="77"/>
      <c r="MZ24" s="74"/>
      <c r="NA24" s="77"/>
      <c r="NB24" s="74"/>
      <c r="NC24" s="74"/>
      <c r="ND24" s="74"/>
      <c r="NE24" s="74"/>
      <c r="NF24" s="74"/>
      <c r="NG24" s="79">
        <f t="shared" si="31"/>
        <v>8.2769999999999992</v>
      </c>
      <c r="NH24" s="74"/>
      <c r="NI24" s="74"/>
      <c r="NJ24" s="74"/>
      <c r="NK24" s="78"/>
      <c r="NL24" s="77"/>
      <c r="NM24" s="77"/>
      <c r="NN24" s="74"/>
      <c r="NO24" s="77"/>
      <c r="NP24" s="74"/>
      <c r="NQ24" s="77"/>
      <c r="NR24" s="74"/>
      <c r="NS24" s="77">
        <v>0.15</v>
      </c>
      <c r="NT24" s="74"/>
      <c r="NU24" s="74"/>
      <c r="NV24" s="74"/>
      <c r="NW24" s="74"/>
      <c r="NX24" s="74"/>
      <c r="NY24" s="74"/>
      <c r="NZ24" s="74"/>
      <c r="OA24" s="77"/>
      <c r="OB24" s="74"/>
      <c r="OC24" s="77"/>
      <c r="OD24" s="74"/>
      <c r="OE24" s="74"/>
      <c r="OF24" s="74"/>
      <c r="OG24" s="74"/>
      <c r="OH24" s="74"/>
      <c r="OI24" s="79">
        <f t="shared" si="32"/>
        <v>7.802999999999999</v>
      </c>
      <c r="OJ24" s="74"/>
      <c r="OK24" s="74"/>
      <c r="OL24" s="74"/>
      <c r="OM24" s="78"/>
      <c r="ON24" s="77"/>
      <c r="OO24" s="77"/>
      <c r="OP24" s="74"/>
      <c r="OQ24" s="77"/>
      <c r="OR24" s="74"/>
      <c r="OS24" s="77"/>
      <c r="OT24" s="74"/>
      <c r="OU24" s="77">
        <v>0.15</v>
      </c>
      <c r="OV24" s="74"/>
      <c r="OW24" s="74"/>
      <c r="OX24" s="74"/>
      <c r="OY24" s="74"/>
      <c r="OZ24" s="74"/>
      <c r="PA24" s="74"/>
      <c r="PB24" s="74"/>
      <c r="PC24" s="77"/>
      <c r="PD24" s="74"/>
      <c r="PE24" s="77"/>
      <c r="PF24" s="74"/>
      <c r="PG24" s="74"/>
      <c r="PH24" s="74"/>
      <c r="PI24" s="74"/>
      <c r="PJ24" s="74"/>
      <c r="PK24" s="79">
        <f t="shared" si="33"/>
        <v>3.9045000000000001</v>
      </c>
      <c r="PL24" s="74"/>
      <c r="PM24" s="74"/>
      <c r="PN24" s="74"/>
      <c r="PO24" s="78"/>
      <c r="PP24" s="77"/>
      <c r="PQ24" s="77"/>
      <c r="PR24" s="74"/>
      <c r="PS24" s="77"/>
      <c r="PT24" s="74"/>
      <c r="PU24" s="77"/>
      <c r="PV24" s="74"/>
      <c r="PW24" s="77">
        <v>0.15</v>
      </c>
      <c r="PX24" s="74"/>
      <c r="PY24" s="74"/>
      <c r="PZ24" s="74"/>
      <c r="QA24" s="74"/>
      <c r="QB24" s="74"/>
      <c r="QC24" s="74"/>
      <c r="QD24" s="74"/>
      <c r="QE24" s="77"/>
      <c r="QF24" s="74"/>
      <c r="QG24" s="77"/>
      <c r="QH24" s="74"/>
      <c r="QI24" s="74"/>
      <c r="QJ24" s="74"/>
      <c r="QK24" s="74"/>
      <c r="QL24" s="74"/>
      <c r="QM24" s="79">
        <f t="shared" si="34"/>
        <v>4.6724999999999994</v>
      </c>
      <c r="QN24" s="74"/>
      <c r="QO24" s="74"/>
      <c r="QP24" s="74"/>
      <c r="QQ24" s="78"/>
      <c r="QR24" s="77"/>
      <c r="QS24" s="77"/>
      <c r="QT24" s="74"/>
      <c r="QU24" s="77"/>
      <c r="QV24" s="74"/>
      <c r="QW24" s="77"/>
      <c r="QX24" s="74"/>
      <c r="QY24" s="77">
        <v>0.15</v>
      </c>
      <c r="QZ24" s="74"/>
      <c r="RA24" s="74"/>
      <c r="RB24" s="74"/>
      <c r="RC24" s="74"/>
      <c r="RD24" s="74"/>
      <c r="RE24" s="74"/>
      <c r="RF24" s="74"/>
      <c r="RG24" s="77"/>
      <c r="RH24" s="74"/>
      <c r="RI24" s="77"/>
      <c r="RJ24" s="74"/>
      <c r="RK24" s="74"/>
      <c r="RL24" s="74"/>
      <c r="RM24" s="74"/>
      <c r="RN24" s="74"/>
      <c r="RO24" s="79">
        <f t="shared" si="35"/>
        <v>6.6479999999999997</v>
      </c>
      <c r="RP24" s="74"/>
      <c r="RQ24" s="74"/>
      <c r="RR24" s="74"/>
      <c r="RS24" s="78"/>
      <c r="RT24" s="77"/>
      <c r="RU24" s="77"/>
      <c r="RV24" s="74"/>
      <c r="RW24" s="77"/>
      <c r="RX24" s="74"/>
      <c r="RY24" s="77"/>
      <c r="RZ24" s="74"/>
      <c r="SA24" s="77">
        <v>0.15</v>
      </c>
      <c r="SB24" s="74"/>
      <c r="SC24" s="74"/>
      <c r="SD24" s="74"/>
      <c r="SE24" s="74"/>
      <c r="SF24" s="74"/>
      <c r="SG24" s="74"/>
      <c r="SH24" s="74"/>
      <c r="SI24" s="77"/>
      <c r="SJ24" s="74"/>
      <c r="SK24" s="77"/>
      <c r="SL24" s="74"/>
      <c r="SM24" s="74"/>
      <c r="SN24" s="74"/>
      <c r="SO24" s="74"/>
      <c r="SP24" s="74"/>
      <c r="SQ24" s="79">
        <f t="shared" si="36"/>
        <v>1.9079999999999999</v>
      </c>
      <c r="SR24" s="80">
        <f t="shared" si="37"/>
        <v>37.357500000000002</v>
      </c>
      <c r="SS24" s="16">
        <f t="shared" si="38"/>
        <v>57.326070000000001</v>
      </c>
      <c r="ST24" s="88">
        <f t="shared" si="39"/>
        <v>1000.3654385999997</v>
      </c>
      <c r="SU24" s="88">
        <f t="shared" si="40"/>
        <v>610.42410000000007</v>
      </c>
      <c r="SV24" s="88">
        <f t="shared" si="41"/>
        <v>405.63666000000006</v>
      </c>
      <c r="SW24" s="88">
        <f t="shared" si="42"/>
        <v>2612.3595423750003</v>
      </c>
      <c r="SX24" s="91">
        <f t="shared" si="43"/>
        <v>1097.0023897800002</v>
      </c>
      <c r="SY24" s="16">
        <f t="shared" si="48"/>
        <v>200.07308771999996</v>
      </c>
      <c r="SZ24" s="16">
        <f t="shared" si="49"/>
        <v>240.08770526399994</v>
      </c>
      <c r="TA24" s="16">
        <f t="shared" si="50"/>
        <v>200.07308771999996</v>
      </c>
      <c r="TB24" s="92">
        <f t="shared" si="51"/>
        <v>360.13155789599989</v>
      </c>
      <c r="TC24" s="16">
        <f t="shared" si="52"/>
        <v>122.08482000000002</v>
      </c>
      <c r="TD24" s="16">
        <f t="shared" si="53"/>
        <v>146.50178400000001</v>
      </c>
      <c r="TE24" s="16">
        <f t="shared" si="54"/>
        <v>122.08482000000002</v>
      </c>
      <c r="TF24" s="92">
        <f t="shared" si="55"/>
        <v>219.75267600000001</v>
      </c>
      <c r="TG24" s="16">
        <f t="shared" si="56"/>
        <v>81.127332000000024</v>
      </c>
      <c r="TH24" s="16">
        <f t="shared" si="57"/>
        <v>97.352798400000012</v>
      </c>
      <c r="TI24" s="16">
        <f t="shared" si="58"/>
        <v>81.127332000000024</v>
      </c>
      <c r="TJ24" s="92">
        <f t="shared" si="59"/>
        <v>146.0291976</v>
      </c>
      <c r="TK24" s="16">
        <f t="shared" si="60"/>
        <v>522.47190847500008</v>
      </c>
      <c r="TL24" s="16">
        <f t="shared" si="61"/>
        <v>626.96629017000009</v>
      </c>
      <c r="TM24" s="16">
        <f t="shared" si="62"/>
        <v>522.47190847500008</v>
      </c>
      <c r="TN24" s="92">
        <f t="shared" si="63"/>
        <v>940.44943525500003</v>
      </c>
      <c r="TO24" s="16">
        <f t="shared" si="44"/>
        <v>219.40047795600003</v>
      </c>
      <c r="TP24" s="16">
        <f t="shared" si="45"/>
        <v>263.28057354720005</v>
      </c>
      <c r="TQ24" s="16">
        <f t="shared" si="46"/>
        <v>219.40047795600003</v>
      </c>
      <c r="TR24" s="92">
        <f t="shared" si="47"/>
        <v>394.92086032080005</v>
      </c>
    </row>
    <row r="25" spans="1:539">
      <c r="A25" s="178"/>
      <c r="B25" s="101" t="str">
        <f>+A22</f>
        <v>Insecticidas</v>
      </c>
      <c r="C25" s="71" t="s">
        <v>301</v>
      </c>
      <c r="D25" s="87">
        <f>+IFERROR(INDEX(Productos[USD],MATCH(C25,Productos[Productos],0)),0)</f>
        <v>19.966999999999999</v>
      </c>
      <c r="E25" s="74"/>
      <c r="F25" s="74"/>
      <c r="G25" s="74"/>
      <c r="H25" s="78"/>
      <c r="I25" s="77"/>
      <c r="J25" s="77"/>
      <c r="K25" s="74"/>
      <c r="L25" s="77"/>
      <c r="M25" s="74"/>
      <c r="N25" s="77">
        <v>0.8</v>
      </c>
      <c r="O25" s="74"/>
      <c r="P25" s="84"/>
      <c r="Q25" s="74"/>
      <c r="R25" s="74"/>
      <c r="S25" s="74"/>
      <c r="T25" s="74"/>
      <c r="U25" s="74"/>
      <c r="V25" s="74"/>
      <c r="W25" s="74"/>
      <c r="X25" s="77"/>
      <c r="Y25" s="74"/>
      <c r="Z25" s="77"/>
      <c r="AA25" s="74"/>
      <c r="AB25" s="74"/>
      <c r="AC25" s="74"/>
      <c r="AD25" s="74"/>
      <c r="AE25" s="74"/>
      <c r="AF25" s="79">
        <f t="shared" si="16"/>
        <v>17.526399999999995</v>
      </c>
      <c r="AG25" s="74"/>
      <c r="AH25" s="74"/>
      <c r="AI25" s="74"/>
      <c r="AJ25" s="78"/>
      <c r="AK25" s="77"/>
      <c r="AL25" s="77"/>
      <c r="AM25" s="74"/>
      <c r="AN25" s="77"/>
      <c r="AO25" s="74"/>
      <c r="AP25" s="77">
        <v>0.8</v>
      </c>
      <c r="AQ25" s="74"/>
      <c r="AR25" s="84"/>
      <c r="AS25" s="74"/>
      <c r="AT25" s="74"/>
      <c r="AU25" s="74"/>
      <c r="AV25" s="74"/>
      <c r="AW25" s="74"/>
      <c r="AX25" s="74"/>
      <c r="AY25" s="74"/>
      <c r="AZ25" s="77"/>
      <c r="BA25" s="74"/>
      <c r="BB25" s="77"/>
      <c r="BC25" s="74"/>
      <c r="BD25" s="74"/>
      <c r="BE25" s="74"/>
      <c r="BF25" s="74"/>
      <c r="BG25" s="74"/>
      <c r="BH25" s="79">
        <f t="shared" si="17"/>
        <v>12.672000000000002</v>
      </c>
      <c r="BI25" s="74"/>
      <c r="BJ25" s="74"/>
      <c r="BK25" s="74"/>
      <c r="BL25" s="78"/>
      <c r="BM25" s="77"/>
      <c r="BN25" s="77"/>
      <c r="BO25" s="74"/>
      <c r="BP25" s="77"/>
      <c r="BQ25" s="74"/>
      <c r="BR25" s="77">
        <v>0.8</v>
      </c>
      <c r="BS25" s="74"/>
      <c r="BT25" s="84"/>
      <c r="BU25" s="74"/>
      <c r="BV25" s="74"/>
      <c r="BW25" s="74"/>
      <c r="BX25" s="74"/>
      <c r="BY25" s="74"/>
      <c r="BZ25" s="74"/>
      <c r="CA25" s="74"/>
      <c r="CB25" s="77"/>
      <c r="CC25" s="74"/>
      <c r="CD25" s="77"/>
      <c r="CE25" s="74"/>
      <c r="CF25" s="74"/>
      <c r="CG25" s="74"/>
      <c r="CH25" s="74"/>
      <c r="CI25" s="74"/>
      <c r="CJ25" s="79">
        <f t="shared" si="18"/>
        <v>15.620640000000002</v>
      </c>
      <c r="CK25" s="74"/>
      <c r="CL25" s="74"/>
      <c r="CM25" s="74"/>
      <c r="CN25" s="78"/>
      <c r="CO25" s="77"/>
      <c r="CP25" s="77"/>
      <c r="CQ25" s="74"/>
      <c r="CR25" s="77"/>
      <c r="CS25" s="74"/>
      <c r="CT25" s="77">
        <v>0.8</v>
      </c>
      <c r="CU25" s="74"/>
      <c r="CV25" s="84"/>
      <c r="CW25" s="74"/>
      <c r="CX25" s="74"/>
      <c r="CY25" s="74"/>
      <c r="CZ25" s="74"/>
      <c r="DA25" s="74"/>
      <c r="DB25" s="74"/>
      <c r="DC25" s="74"/>
      <c r="DD25" s="77"/>
      <c r="DE25" s="74"/>
      <c r="DF25" s="77"/>
      <c r="DG25" s="74"/>
      <c r="DH25" s="74"/>
      <c r="DI25" s="74"/>
      <c r="DJ25" s="74"/>
      <c r="DK25" s="74"/>
      <c r="DL25" s="79">
        <f t="shared" si="19"/>
        <v>4.6239999999999997</v>
      </c>
      <c r="DM25" s="74"/>
      <c r="DN25" s="74"/>
      <c r="DO25" s="74"/>
      <c r="DP25" s="78"/>
      <c r="DQ25" s="77"/>
      <c r="DR25" s="77"/>
      <c r="DS25" s="74"/>
      <c r="DT25" s="77"/>
      <c r="DU25" s="74"/>
      <c r="DV25" s="77">
        <v>0.8</v>
      </c>
      <c r="DW25" s="74"/>
      <c r="DX25" s="84"/>
      <c r="DY25" s="74"/>
      <c r="DZ25" s="74"/>
      <c r="EA25" s="74"/>
      <c r="EB25" s="74"/>
      <c r="EC25" s="74"/>
      <c r="ED25" s="74"/>
      <c r="EE25" s="74"/>
      <c r="EF25" s="77"/>
      <c r="EG25" s="74"/>
      <c r="EH25" s="77"/>
      <c r="EI25" s="74"/>
      <c r="EJ25" s="74"/>
      <c r="EK25" s="74"/>
      <c r="EL25" s="74"/>
      <c r="EM25" s="74"/>
      <c r="EN25" s="79">
        <f t="shared" si="20"/>
        <v>2.3920000000000003</v>
      </c>
      <c r="EO25" s="80">
        <f t="shared" si="21"/>
        <v>52.835040000000006</v>
      </c>
      <c r="EP25" s="74"/>
      <c r="EQ25" s="74"/>
      <c r="ER25" s="74"/>
      <c r="ES25" s="78"/>
      <c r="ET25" s="77"/>
      <c r="EU25" s="77"/>
      <c r="EV25" s="74"/>
      <c r="EW25" s="77"/>
      <c r="EX25" s="74"/>
      <c r="EY25" s="77">
        <v>0.8</v>
      </c>
      <c r="EZ25" s="74"/>
      <c r="FA25" s="84"/>
      <c r="FB25" s="74"/>
      <c r="FC25" s="74"/>
      <c r="FD25" s="74"/>
      <c r="FE25" s="74"/>
      <c r="FF25" s="74"/>
      <c r="FG25" s="74"/>
      <c r="FH25" s="74"/>
      <c r="FI25" s="77"/>
      <c r="FJ25" s="74"/>
      <c r="FK25" s="77"/>
      <c r="FL25" s="74"/>
      <c r="FM25" s="74"/>
      <c r="FN25" s="74"/>
      <c r="FO25" s="74"/>
      <c r="FP25" s="74"/>
      <c r="FQ25" s="79">
        <f t="shared" si="22"/>
        <v>9.120000000000001</v>
      </c>
      <c r="FR25" s="74"/>
      <c r="FS25" s="74"/>
      <c r="FT25" s="74"/>
      <c r="FU25" s="78"/>
      <c r="FV25" s="77"/>
      <c r="FW25" s="77"/>
      <c r="FX25" s="74"/>
      <c r="FY25" s="77"/>
      <c r="FZ25" s="74"/>
      <c r="GA25" s="77">
        <v>0.8</v>
      </c>
      <c r="GB25" s="74"/>
      <c r="GC25" s="84"/>
      <c r="GD25" s="74"/>
      <c r="GE25" s="74"/>
      <c r="GF25" s="74"/>
      <c r="GG25" s="74"/>
      <c r="GH25" s="74"/>
      <c r="GI25" s="74"/>
      <c r="GJ25" s="74"/>
      <c r="GK25" s="77"/>
      <c r="GL25" s="74"/>
      <c r="GM25" s="77"/>
      <c r="GN25" s="74"/>
      <c r="GO25" s="74"/>
      <c r="GP25" s="74"/>
      <c r="GQ25" s="74"/>
      <c r="GR25" s="74"/>
      <c r="GS25" s="79">
        <f t="shared" si="23"/>
        <v>7.8400000000000007</v>
      </c>
      <c r="GT25" s="74"/>
      <c r="GU25" s="74"/>
      <c r="GV25" s="74"/>
      <c r="GW25" s="78"/>
      <c r="GX25" s="77"/>
      <c r="GY25" s="77"/>
      <c r="GZ25" s="74"/>
      <c r="HA25" s="77"/>
      <c r="HB25" s="74"/>
      <c r="HC25" s="77">
        <v>0.8</v>
      </c>
      <c r="HD25" s="74"/>
      <c r="HE25" s="84"/>
      <c r="HF25" s="74"/>
      <c r="HG25" s="74"/>
      <c r="HH25" s="74"/>
      <c r="HI25" s="74"/>
      <c r="HJ25" s="74"/>
      <c r="HK25" s="74"/>
      <c r="HL25" s="74"/>
      <c r="HM25" s="77"/>
      <c r="HN25" s="74"/>
      <c r="HO25" s="77"/>
      <c r="HP25" s="74"/>
      <c r="HQ25" s="74"/>
      <c r="HR25" s="74"/>
      <c r="HS25" s="74"/>
      <c r="HT25" s="74"/>
      <c r="HU25" s="79">
        <f t="shared" si="24"/>
        <v>15.280000000000001</v>
      </c>
      <c r="HV25" s="80">
        <f t="shared" si="25"/>
        <v>32.24</v>
      </c>
      <c r="HW25" s="74"/>
      <c r="HX25" s="74"/>
      <c r="HY25" s="74"/>
      <c r="HZ25" s="78"/>
      <c r="IA25" s="77"/>
      <c r="IB25" s="77"/>
      <c r="IC25" s="74"/>
      <c r="ID25" s="77"/>
      <c r="IE25" s="74"/>
      <c r="IF25" s="77">
        <v>0.8</v>
      </c>
      <c r="IG25" s="74"/>
      <c r="IH25" s="84"/>
      <c r="II25" s="74"/>
      <c r="IJ25" s="74"/>
      <c r="IK25" s="74"/>
      <c r="IL25" s="74"/>
      <c r="IM25" s="74"/>
      <c r="IN25" s="74"/>
      <c r="IO25" s="74"/>
      <c r="IP25" s="77"/>
      <c r="IQ25" s="74"/>
      <c r="IR25" s="77"/>
      <c r="IS25" s="74"/>
      <c r="IT25" s="74"/>
      <c r="IU25" s="74"/>
      <c r="IV25" s="74"/>
      <c r="IW25" s="74"/>
      <c r="IX25" s="79">
        <f t="shared" si="26"/>
        <v>4.6560000000000006</v>
      </c>
      <c r="IY25" s="74"/>
      <c r="IZ25" s="74"/>
      <c r="JA25" s="74"/>
      <c r="JB25" s="78"/>
      <c r="JC25" s="77"/>
      <c r="JD25" s="77"/>
      <c r="JE25" s="74"/>
      <c r="JF25" s="77"/>
      <c r="JG25" s="74"/>
      <c r="JH25" s="77">
        <v>0.8</v>
      </c>
      <c r="JI25" s="74"/>
      <c r="JJ25" s="84"/>
      <c r="JK25" s="74"/>
      <c r="JL25" s="74"/>
      <c r="JM25" s="74"/>
      <c r="JN25" s="74"/>
      <c r="JO25" s="74"/>
      <c r="JP25" s="74"/>
      <c r="JQ25" s="74"/>
      <c r="JR25" s="77"/>
      <c r="JS25" s="74"/>
      <c r="JT25" s="77"/>
      <c r="JU25" s="74"/>
      <c r="JV25" s="74"/>
      <c r="JW25" s="74"/>
      <c r="JX25" s="74"/>
      <c r="JY25" s="74"/>
      <c r="JZ25" s="79">
        <f t="shared" si="27"/>
        <v>11.744</v>
      </c>
      <c r="KA25" s="74"/>
      <c r="KB25" s="74"/>
      <c r="KC25" s="74"/>
      <c r="KD25" s="78"/>
      <c r="KE25" s="77"/>
      <c r="KF25" s="77"/>
      <c r="KG25" s="74"/>
      <c r="KH25" s="77"/>
      <c r="KI25" s="74"/>
      <c r="KJ25" s="77">
        <v>0.8</v>
      </c>
      <c r="KK25" s="74"/>
      <c r="KL25" s="84"/>
      <c r="KM25" s="74"/>
      <c r="KN25" s="74"/>
      <c r="KO25" s="74"/>
      <c r="KP25" s="74"/>
      <c r="KQ25" s="74"/>
      <c r="KR25" s="74"/>
      <c r="KS25" s="74"/>
      <c r="KT25" s="77"/>
      <c r="KU25" s="74"/>
      <c r="KV25" s="77"/>
      <c r="KW25" s="74"/>
      <c r="KX25" s="74"/>
      <c r="KY25" s="74"/>
      <c r="KZ25" s="74"/>
      <c r="LA25" s="74"/>
      <c r="LB25" s="79">
        <f t="shared" si="28"/>
        <v>5.024</v>
      </c>
      <c r="LC25" s="80">
        <f t="shared" si="29"/>
        <v>21.423999999999999</v>
      </c>
      <c r="LD25" s="74"/>
      <c r="LE25" s="74"/>
      <c r="LF25" s="74"/>
      <c r="LG25" s="78"/>
      <c r="LH25" s="77"/>
      <c r="LI25" s="77"/>
      <c r="LJ25" s="74"/>
      <c r="LK25" s="77"/>
      <c r="LL25" s="74"/>
      <c r="LM25" s="77">
        <v>0.8</v>
      </c>
      <c r="LN25" s="74"/>
      <c r="LO25" s="84"/>
      <c r="LP25" s="74"/>
      <c r="LQ25" s="74"/>
      <c r="LR25" s="74"/>
      <c r="LS25" s="74"/>
      <c r="LT25" s="74"/>
      <c r="LU25" s="74"/>
      <c r="LV25" s="74"/>
      <c r="LW25" s="77"/>
      <c r="LX25" s="74"/>
      <c r="LY25" s="77"/>
      <c r="LZ25" s="74"/>
      <c r="MA25" s="74"/>
      <c r="MB25" s="74"/>
      <c r="MC25" s="74"/>
      <c r="MD25" s="74"/>
      <c r="ME25" s="79">
        <f t="shared" si="30"/>
        <v>22.104000000000003</v>
      </c>
      <c r="MF25" s="74"/>
      <c r="MG25" s="74"/>
      <c r="MH25" s="74"/>
      <c r="MI25" s="78"/>
      <c r="MJ25" s="77"/>
      <c r="MK25" s="77"/>
      <c r="ML25" s="74"/>
      <c r="MM25" s="77"/>
      <c r="MN25" s="74"/>
      <c r="MO25" s="77">
        <v>0.8</v>
      </c>
      <c r="MP25" s="74"/>
      <c r="MQ25" s="84"/>
      <c r="MR25" s="74"/>
      <c r="MS25" s="74"/>
      <c r="MT25" s="74"/>
      <c r="MU25" s="74"/>
      <c r="MV25" s="74"/>
      <c r="MW25" s="74"/>
      <c r="MX25" s="74"/>
      <c r="MY25" s="77"/>
      <c r="MZ25" s="74"/>
      <c r="NA25" s="77"/>
      <c r="NB25" s="74"/>
      <c r="NC25" s="74"/>
      <c r="ND25" s="74"/>
      <c r="NE25" s="74"/>
      <c r="NF25" s="74"/>
      <c r="NG25" s="79">
        <f t="shared" si="31"/>
        <v>44.143999999999998</v>
      </c>
      <c r="NH25" s="74"/>
      <c r="NI25" s="74"/>
      <c r="NJ25" s="74"/>
      <c r="NK25" s="78"/>
      <c r="NL25" s="77"/>
      <c r="NM25" s="77"/>
      <c r="NN25" s="74"/>
      <c r="NO25" s="77"/>
      <c r="NP25" s="74"/>
      <c r="NQ25" s="77">
        <v>0.8</v>
      </c>
      <c r="NR25" s="74"/>
      <c r="NS25" s="84"/>
      <c r="NT25" s="74"/>
      <c r="NU25" s="74"/>
      <c r="NV25" s="74"/>
      <c r="NW25" s="74"/>
      <c r="NX25" s="74"/>
      <c r="NY25" s="74"/>
      <c r="NZ25" s="74"/>
      <c r="OA25" s="77"/>
      <c r="OB25" s="74"/>
      <c r="OC25" s="77"/>
      <c r="OD25" s="74"/>
      <c r="OE25" s="74"/>
      <c r="OF25" s="74"/>
      <c r="OG25" s="74"/>
      <c r="OH25" s="74"/>
      <c r="OI25" s="79">
        <f t="shared" si="32"/>
        <v>41.616</v>
      </c>
      <c r="OJ25" s="74"/>
      <c r="OK25" s="74"/>
      <c r="OL25" s="74"/>
      <c r="OM25" s="78"/>
      <c r="ON25" s="77"/>
      <c r="OO25" s="77"/>
      <c r="OP25" s="74"/>
      <c r="OQ25" s="77"/>
      <c r="OR25" s="74"/>
      <c r="OS25" s="77">
        <v>0.8</v>
      </c>
      <c r="OT25" s="74"/>
      <c r="OU25" s="84"/>
      <c r="OV25" s="74"/>
      <c r="OW25" s="74"/>
      <c r="OX25" s="74"/>
      <c r="OY25" s="74"/>
      <c r="OZ25" s="74"/>
      <c r="PA25" s="74"/>
      <c r="PB25" s="74"/>
      <c r="PC25" s="77"/>
      <c r="PD25" s="74"/>
      <c r="PE25" s="77"/>
      <c r="PF25" s="74"/>
      <c r="PG25" s="74"/>
      <c r="PH25" s="74"/>
      <c r="PI25" s="74"/>
      <c r="PJ25" s="74"/>
      <c r="PK25" s="79">
        <f t="shared" si="33"/>
        <v>20.824000000000002</v>
      </c>
      <c r="PL25" s="74"/>
      <c r="PM25" s="74"/>
      <c r="PN25" s="74"/>
      <c r="PO25" s="78"/>
      <c r="PP25" s="77"/>
      <c r="PQ25" s="77"/>
      <c r="PR25" s="74"/>
      <c r="PS25" s="77"/>
      <c r="PT25" s="74"/>
      <c r="PU25" s="77">
        <v>0.8</v>
      </c>
      <c r="PV25" s="74"/>
      <c r="PW25" s="84"/>
      <c r="PX25" s="74"/>
      <c r="PY25" s="74"/>
      <c r="PZ25" s="74"/>
      <c r="QA25" s="74"/>
      <c r="QB25" s="74"/>
      <c r="QC25" s="74"/>
      <c r="QD25" s="74"/>
      <c r="QE25" s="77"/>
      <c r="QF25" s="74"/>
      <c r="QG25" s="77"/>
      <c r="QH25" s="74"/>
      <c r="QI25" s="74"/>
      <c r="QJ25" s="74"/>
      <c r="QK25" s="74"/>
      <c r="QL25" s="74"/>
      <c r="QM25" s="79">
        <f t="shared" si="34"/>
        <v>24.92</v>
      </c>
      <c r="QN25" s="74"/>
      <c r="QO25" s="74"/>
      <c r="QP25" s="74"/>
      <c r="QQ25" s="78"/>
      <c r="QR25" s="77"/>
      <c r="QS25" s="77"/>
      <c r="QT25" s="74"/>
      <c r="QU25" s="77"/>
      <c r="QV25" s="74"/>
      <c r="QW25" s="77">
        <v>0.8</v>
      </c>
      <c r="QX25" s="74"/>
      <c r="QY25" s="84"/>
      <c r="QZ25" s="74"/>
      <c r="RA25" s="74"/>
      <c r="RB25" s="74"/>
      <c r="RC25" s="74"/>
      <c r="RD25" s="74"/>
      <c r="RE25" s="74"/>
      <c r="RF25" s="74"/>
      <c r="RG25" s="77"/>
      <c r="RH25" s="74"/>
      <c r="RI25" s="77"/>
      <c r="RJ25" s="74"/>
      <c r="RK25" s="74"/>
      <c r="RL25" s="74"/>
      <c r="RM25" s="74"/>
      <c r="RN25" s="74"/>
      <c r="RO25" s="79">
        <f t="shared" si="35"/>
        <v>35.456000000000003</v>
      </c>
      <c r="RP25" s="74"/>
      <c r="RQ25" s="74"/>
      <c r="RR25" s="74"/>
      <c r="RS25" s="78"/>
      <c r="RT25" s="77"/>
      <c r="RU25" s="77"/>
      <c r="RV25" s="74"/>
      <c r="RW25" s="77"/>
      <c r="RX25" s="74"/>
      <c r="RY25" s="77">
        <v>0.8</v>
      </c>
      <c r="RZ25" s="74"/>
      <c r="SA25" s="84"/>
      <c r="SB25" s="74"/>
      <c r="SC25" s="74"/>
      <c r="SD25" s="74"/>
      <c r="SE25" s="74"/>
      <c r="SF25" s="74"/>
      <c r="SG25" s="74"/>
      <c r="SH25" s="74"/>
      <c r="SI25" s="77"/>
      <c r="SJ25" s="74"/>
      <c r="SK25" s="77"/>
      <c r="SL25" s="74"/>
      <c r="SM25" s="74"/>
      <c r="SN25" s="74"/>
      <c r="SO25" s="74"/>
      <c r="SP25" s="74"/>
      <c r="SQ25" s="79">
        <f t="shared" si="36"/>
        <v>10.176000000000002</v>
      </c>
      <c r="SR25" s="80">
        <f t="shared" si="37"/>
        <v>199.24</v>
      </c>
      <c r="SS25" s="16">
        <f t="shared" si="38"/>
        <v>305.73904000000005</v>
      </c>
      <c r="ST25" s="88">
        <f t="shared" si="39"/>
        <v>1054.9572436800001</v>
      </c>
      <c r="SU25" s="88">
        <f t="shared" si="40"/>
        <v>643.73608000000002</v>
      </c>
      <c r="SV25" s="88">
        <f t="shared" si="41"/>
        <v>427.77300799999995</v>
      </c>
      <c r="SW25" s="88">
        <f t="shared" si="42"/>
        <v>2754.9208678999998</v>
      </c>
      <c r="SX25" s="91">
        <f t="shared" si="43"/>
        <v>1156.8678532639999</v>
      </c>
      <c r="SY25" s="16">
        <f t="shared" si="48"/>
        <v>210.99144873600005</v>
      </c>
      <c r="SZ25" s="16">
        <f t="shared" si="49"/>
        <v>253.18973848320002</v>
      </c>
      <c r="TA25" s="16">
        <f t="shared" si="50"/>
        <v>210.99144873600005</v>
      </c>
      <c r="TB25" s="92">
        <f t="shared" si="51"/>
        <v>379.78460772480003</v>
      </c>
      <c r="TC25" s="16">
        <f t="shared" si="52"/>
        <v>128.74721600000001</v>
      </c>
      <c r="TD25" s="16">
        <f t="shared" si="53"/>
        <v>154.49665920000001</v>
      </c>
      <c r="TE25" s="16">
        <f t="shared" si="54"/>
        <v>128.74721600000001</v>
      </c>
      <c r="TF25" s="92">
        <f t="shared" si="55"/>
        <v>231.74498879999999</v>
      </c>
      <c r="TG25" s="16">
        <f t="shared" si="56"/>
        <v>85.554601599999998</v>
      </c>
      <c r="TH25" s="16">
        <f t="shared" si="57"/>
        <v>102.66552191999999</v>
      </c>
      <c r="TI25" s="16">
        <f t="shared" si="58"/>
        <v>85.554601599999998</v>
      </c>
      <c r="TJ25" s="92">
        <f t="shared" si="59"/>
        <v>153.99828287999998</v>
      </c>
      <c r="TK25" s="16">
        <f t="shared" si="60"/>
        <v>550.98417357999995</v>
      </c>
      <c r="TL25" s="16">
        <f t="shared" si="61"/>
        <v>661.18100829599996</v>
      </c>
      <c r="TM25" s="16">
        <f t="shared" si="62"/>
        <v>550.98417357999995</v>
      </c>
      <c r="TN25" s="92">
        <f t="shared" si="63"/>
        <v>991.77151244399988</v>
      </c>
      <c r="TO25" s="16">
        <f t="shared" si="44"/>
        <v>231.3735706528</v>
      </c>
      <c r="TP25" s="16">
        <f t="shared" si="45"/>
        <v>277.64828478335994</v>
      </c>
      <c r="TQ25" s="16">
        <f t="shared" si="46"/>
        <v>231.3735706528</v>
      </c>
      <c r="TR25" s="92">
        <f t="shared" si="47"/>
        <v>416.47242717503997</v>
      </c>
    </row>
    <row r="26" spans="1:539">
      <c r="A26" s="178"/>
      <c r="B26" s="101" t="str">
        <f>+A22</f>
        <v>Insecticidas</v>
      </c>
      <c r="C26" s="71" t="s">
        <v>194</v>
      </c>
      <c r="D26" s="148">
        <f>+IFERROR(INDEX(Productos[USD],MATCH(C26,Productos[Productos],0)),0)</f>
        <v>2.02</v>
      </c>
      <c r="E26" s="74"/>
      <c r="F26" s="74"/>
      <c r="G26" s="74"/>
      <c r="H26" s="78">
        <f>700/133.12/3</f>
        <v>1.7528044871794872</v>
      </c>
      <c r="I26" s="77"/>
      <c r="J26" s="77"/>
      <c r="K26" s="74"/>
      <c r="L26" s="77"/>
      <c r="M26" s="74"/>
      <c r="N26" s="77"/>
      <c r="O26" s="74"/>
      <c r="P26" s="78">
        <f>700/133.12/3</f>
        <v>1.7528044871794872</v>
      </c>
      <c r="Q26" s="74"/>
      <c r="R26" s="74"/>
      <c r="S26" s="74"/>
      <c r="T26" s="74"/>
      <c r="U26" s="74"/>
      <c r="V26" s="74"/>
      <c r="W26" s="74"/>
      <c r="X26" s="77"/>
      <c r="Y26" s="74"/>
      <c r="Z26" s="77"/>
      <c r="AA26" s="74"/>
      <c r="AB26" s="74"/>
      <c r="AC26" s="74"/>
      <c r="AD26" s="74"/>
      <c r="AE26" s="78">
        <f>700/133.12/3</f>
        <v>1.7528044871794872</v>
      </c>
      <c r="AF26" s="79">
        <f t="shared" si="16"/>
        <v>115.20132211538458</v>
      </c>
      <c r="AG26" s="74"/>
      <c r="AH26" s="74"/>
      <c r="AI26" s="74"/>
      <c r="AJ26" s="78">
        <f>700/133.12/3</f>
        <v>1.7528044871794872</v>
      </c>
      <c r="AK26" s="77"/>
      <c r="AL26" s="77"/>
      <c r="AM26" s="74"/>
      <c r="AN26" s="77"/>
      <c r="AO26" s="74"/>
      <c r="AP26" s="77"/>
      <c r="AQ26" s="74"/>
      <c r="AR26" s="78">
        <f>700/133.12/3</f>
        <v>1.7528044871794872</v>
      </c>
      <c r="AS26" s="74"/>
      <c r="AT26" s="74"/>
      <c r="AU26" s="74"/>
      <c r="AV26" s="74"/>
      <c r="AW26" s="74"/>
      <c r="AX26" s="74"/>
      <c r="AY26" s="74"/>
      <c r="AZ26" s="77"/>
      <c r="BA26" s="74"/>
      <c r="BB26" s="77"/>
      <c r="BC26" s="74"/>
      <c r="BD26" s="74"/>
      <c r="BE26" s="74"/>
      <c r="BF26" s="74"/>
      <c r="BG26" s="78">
        <f>700/133.12/3</f>
        <v>1.7528044871794872</v>
      </c>
      <c r="BH26" s="79">
        <f t="shared" si="17"/>
        <v>83.293269230769241</v>
      </c>
      <c r="BI26" s="74"/>
      <c r="BJ26" s="74"/>
      <c r="BK26" s="74"/>
      <c r="BL26" s="78">
        <f>700/133.12/3</f>
        <v>1.7528044871794872</v>
      </c>
      <c r="BM26" s="77"/>
      <c r="BN26" s="77"/>
      <c r="BO26" s="74"/>
      <c r="BP26" s="77"/>
      <c r="BQ26" s="74"/>
      <c r="BR26" s="77"/>
      <c r="BS26" s="74"/>
      <c r="BT26" s="78">
        <f>700/133.12/3</f>
        <v>1.7528044871794872</v>
      </c>
      <c r="BU26" s="74"/>
      <c r="BV26" s="74"/>
      <c r="BW26" s="74"/>
      <c r="BX26" s="74"/>
      <c r="BY26" s="74"/>
      <c r="BZ26" s="74"/>
      <c r="CA26" s="74"/>
      <c r="CB26" s="77"/>
      <c r="CC26" s="74"/>
      <c r="CD26" s="77"/>
      <c r="CE26" s="74"/>
      <c r="CF26" s="74"/>
      <c r="CG26" s="74"/>
      <c r="CH26" s="74"/>
      <c r="CI26" s="78">
        <f>700/133.12/3</f>
        <v>1.7528044871794872</v>
      </c>
      <c r="CJ26" s="79">
        <f t="shared" si="18"/>
        <v>102.67472956730769</v>
      </c>
      <c r="CK26" s="74"/>
      <c r="CL26" s="74"/>
      <c r="CM26" s="74"/>
      <c r="CN26" s="78">
        <f>700/133.12/3</f>
        <v>1.7528044871794872</v>
      </c>
      <c r="CO26" s="77"/>
      <c r="CP26" s="77"/>
      <c r="CQ26" s="74"/>
      <c r="CR26" s="77"/>
      <c r="CS26" s="74"/>
      <c r="CT26" s="77"/>
      <c r="CU26" s="74"/>
      <c r="CV26" s="78">
        <f>700/133.12/3</f>
        <v>1.7528044871794872</v>
      </c>
      <c r="CW26" s="74"/>
      <c r="CX26" s="74"/>
      <c r="CY26" s="74"/>
      <c r="CZ26" s="74"/>
      <c r="DA26" s="74"/>
      <c r="DB26" s="74"/>
      <c r="DC26" s="74"/>
      <c r="DD26" s="77"/>
      <c r="DE26" s="74"/>
      <c r="DF26" s="77"/>
      <c r="DG26" s="74"/>
      <c r="DH26" s="74"/>
      <c r="DI26" s="74"/>
      <c r="DJ26" s="74"/>
      <c r="DK26" s="78">
        <f>700/133.12/3</f>
        <v>1.7528044871794872</v>
      </c>
      <c r="DL26" s="79">
        <f t="shared" si="19"/>
        <v>30.393629807692307</v>
      </c>
      <c r="DM26" s="74"/>
      <c r="DN26" s="74"/>
      <c r="DO26" s="74"/>
      <c r="DP26" s="78">
        <f>700/133.12/3</f>
        <v>1.7528044871794872</v>
      </c>
      <c r="DQ26" s="77"/>
      <c r="DR26" s="77"/>
      <c r="DS26" s="74"/>
      <c r="DT26" s="77"/>
      <c r="DU26" s="74"/>
      <c r="DV26" s="77"/>
      <c r="DW26" s="74"/>
      <c r="DX26" s="78">
        <f>700/133.12/3</f>
        <v>1.7528044871794872</v>
      </c>
      <c r="DY26" s="74"/>
      <c r="DZ26" s="74"/>
      <c r="EA26" s="74"/>
      <c r="EB26" s="74"/>
      <c r="EC26" s="74"/>
      <c r="ED26" s="74"/>
      <c r="EE26" s="74"/>
      <c r="EF26" s="77"/>
      <c r="EG26" s="74"/>
      <c r="EH26" s="77"/>
      <c r="EI26" s="74"/>
      <c r="EJ26" s="74"/>
      <c r="EK26" s="74"/>
      <c r="EL26" s="74"/>
      <c r="EM26" s="78">
        <f>700/133.12/3</f>
        <v>1.7528044871794872</v>
      </c>
      <c r="EN26" s="79">
        <f t="shared" si="20"/>
        <v>15.722656250000002</v>
      </c>
      <c r="EO26" s="80">
        <f>+AF26+BH26+CJ26+DL26+EN26-163</f>
        <v>184.28560697115381</v>
      </c>
      <c r="EP26" s="74"/>
      <c r="EQ26" s="74"/>
      <c r="ER26" s="74"/>
      <c r="ES26" s="78">
        <f>700/133.12/3</f>
        <v>1.7528044871794872</v>
      </c>
      <c r="ET26" s="77"/>
      <c r="EU26" s="77"/>
      <c r="EV26" s="74"/>
      <c r="EW26" s="77"/>
      <c r="EX26" s="74"/>
      <c r="EY26" s="77"/>
      <c r="EZ26" s="74"/>
      <c r="FA26" s="78">
        <f>700/133.12/3</f>
        <v>1.7528044871794872</v>
      </c>
      <c r="FB26" s="74"/>
      <c r="FC26" s="74"/>
      <c r="FD26" s="74"/>
      <c r="FE26" s="74"/>
      <c r="FF26" s="74"/>
      <c r="FG26" s="74"/>
      <c r="FH26" s="74"/>
      <c r="FI26" s="77"/>
      <c r="FJ26" s="74"/>
      <c r="FK26" s="77"/>
      <c r="FL26" s="74"/>
      <c r="FM26" s="74"/>
      <c r="FN26" s="74"/>
      <c r="FO26" s="74"/>
      <c r="FP26" s="78">
        <f>700/133.12/3</f>
        <v>1.7528044871794872</v>
      </c>
      <c r="FQ26" s="79">
        <f t="shared" si="22"/>
        <v>59.945913461538467</v>
      </c>
      <c r="FR26" s="74"/>
      <c r="FS26" s="74"/>
      <c r="FT26" s="74"/>
      <c r="FU26" s="78">
        <f>700/133.12/3</f>
        <v>1.7528044871794872</v>
      </c>
      <c r="FV26" s="77"/>
      <c r="FW26" s="77"/>
      <c r="FX26" s="74"/>
      <c r="FY26" s="77"/>
      <c r="FZ26" s="74"/>
      <c r="GA26" s="77"/>
      <c r="GB26" s="74"/>
      <c r="GC26" s="78">
        <f>700/133.12/3</f>
        <v>1.7528044871794872</v>
      </c>
      <c r="GD26" s="74"/>
      <c r="GE26" s="74"/>
      <c r="GF26" s="74"/>
      <c r="GG26" s="74"/>
      <c r="GH26" s="74"/>
      <c r="GI26" s="74"/>
      <c r="GJ26" s="74"/>
      <c r="GK26" s="77"/>
      <c r="GL26" s="74"/>
      <c r="GM26" s="77"/>
      <c r="GN26" s="74"/>
      <c r="GO26" s="74"/>
      <c r="GP26" s="74"/>
      <c r="GQ26" s="74"/>
      <c r="GR26" s="78">
        <f>700/133.12/3</f>
        <v>1.7528044871794872</v>
      </c>
      <c r="GS26" s="79">
        <f t="shared" si="23"/>
        <v>51.532451923076927</v>
      </c>
      <c r="GT26" s="74"/>
      <c r="GU26" s="74"/>
      <c r="GV26" s="74"/>
      <c r="GW26" s="78">
        <f>700/133.12/3</f>
        <v>1.7528044871794872</v>
      </c>
      <c r="GX26" s="77"/>
      <c r="GY26" s="77"/>
      <c r="GZ26" s="74"/>
      <c r="HA26" s="77"/>
      <c r="HB26" s="74"/>
      <c r="HC26" s="77"/>
      <c r="HD26" s="74"/>
      <c r="HE26" s="78">
        <f>700/133.12/3</f>
        <v>1.7528044871794872</v>
      </c>
      <c r="HF26" s="74"/>
      <c r="HG26" s="74"/>
      <c r="HH26" s="74"/>
      <c r="HI26" s="74"/>
      <c r="HJ26" s="74"/>
      <c r="HK26" s="74"/>
      <c r="HL26" s="74"/>
      <c r="HM26" s="77"/>
      <c r="HN26" s="74"/>
      <c r="HO26" s="77"/>
      <c r="HP26" s="74"/>
      <c r="HQ26" s="74"/>
      <c r="HR26" s="74"/>
      <c r="HS26" s="74"/>
      <c r="HT26" s="78">
        <f>700/133.12/3</f>
        <v>1.7528044871794872</v>
      </c>
      <c r="HU26" s="79">
        <f t="shared" si="24"/>
        <v>100.43569711538463</v>
      </c>
      <c r="HV26" s="80">
        <f>+FQ26+GS26+HU26-100</f>
        <v>111.9140625</v>
      </c>
      <c r="HW26" s="74"/>
      <c r="HX26" s="74"/>
      <c r="HY26" s="74"/>
      <c r="HZ26" s="78">
        <f>700/133.12/3</f>
        <v>1.7528044871794872</v>
      </c>
      <c r="IA26" s="77"/>
      <c r="IB26" s="77"/>
      <c r="IC26" s="74"/>
      <c r="ID26" s="77"/>
      <c r="IE26" s="74"/>
      <c r="IF26" s="77"/>
      <c r="IG26" s="74"/>
      <c r="IH26" s="78">
        <f>700/133.12/3</f>
        <v>1.7528044871794872</v>
      </c>
      <c r="II26" s="74"/>
      <c r="IJ26" s="74"/>
      <c r="IK26" s="74"/>
      <c r="IL26" s="74"/>
      <c r="IM26" s="74"/>
      <c r="IN26" s="74"/>
      <c r="IO26" s="74"/>
      <c r="IP26" s="77"/>
      <c r="IQ26" s="74"/>
      <c r="IR26" s="77"/>
      <c r="IS26" s="74"/>
      <c r="IT26" s="74"/>
      <c r="IU26" s="74"/>
      <c r="IV26" s="74"/>
      <c r="IW26" s="78">
        <f>700/133.12/3</f>
        <v>1.7528044871794872</v>
      </c>
      <c r="IX26" s="79">
        <f t="shared" si="26"/>
        <v>30.603966346153847</v>
      </c>
      <c r="IY26" s="74"/>
      <c r="IZ26" s="74"/>
      <c r="JA26" s="74"/>
      <c r="JB26" s="78">
        <f>700/133.12/3</f>
        <v>1.7528044871794872</v>
      </c>
      <c r="JC26" s="77"/>
      <c r="JD26" s="77"/>
      <c r="JE26" s="74"/>
      <c r="JF26" s="77"/>
      <c r="JG26" s="74"/>
      <c r="JH26" s="77"/>
      <c r="JI26" s="74"/>
      <c r="JJ26" s="78">
        <f>700/133.12/3</f>
        <v>1.7528044871794872</v>
      </c>
      <c r="JK26" s="74"/>
      <c r="JL26" s="74"/>
      <c r="JM26" s="74"/>
      <c r="JN26" s="74"/>
      <c r="JO26" s="74"/>
      <c r="JP26" s="74"/>
      <c r="JQ26" s="74"/>
      <c r="JR26" s="77"/>
      <c r="JS26" s="74"/>
      <c r="JT26" s="77"/>
      <c r="JU26" s="74"/>
      <c r="JV26" s="74"/>
      <c r="JW26" s="74"/>
      <c r="JX26" s="74"/>
      <c r="JY26" s="78">
        <f>700/133.12/3</f>
        <v>1.7528044871794872</v>
      </c>
      <c r="JZ26" s="79">
        <f t="shared" si="27"/>
        <v>77.193509615384613</v>
      </c>
      <c r="KA26" s="74"/>
      <c r="KB26" s="74"/>
      <c r="KC26" s="74"/>
      <c r="KD26" s="78">
        <f>700/133.12/3</f>
        <v>1.7528044871794872</v>
      </c>
      <c r="KE26" s="77"/>
      <c r="KF26" s="77"/>
      <c r="KG26" s="74"/>
      <c r="KH26" s="77"/>
      <c r="KI26" s="74"/>
      <c r="KJ26" s="77"/>
      <c r="KK26" s="74"/>
      <c r="KL26" s="78">
        <f>700/133.12/3</f>
        <v>1.7528044871794872</v>
      </c>
      <c r="KM26" s="74"/>
      <c r="KN26" s="74"/>
      <c r="KO26" s="74"/>
      <c r="KP26" s="74"/>
      <c r="KQ26" s="74"/>
      <c r="KR26" s="74"/>
      <c r="KS26" s="74"/>
      <c r="KT26" s="77"/>
      <c r="KU26" s="74"/>
      <c r="KV26" s="77"/>
      <c r="KW26" s="74"/>
      <c r="KX26" s="74"/>
      <c r="KY26" s="74"/>
      <c r="KZ26" s="74"/>
      <c r="LA26" s="78">
        <f>700/133.12/3</f>
        <v>1.7528044871794872</v>
      </c>
      <c r="LB26" s="79">
        <f t="shared" si="28"/>
        <v>33.022836538461533</v>
      </c>
      <c r="LC26" s="80">
        <f>+IX26+JZ26+LB26-68</f>
        <v>72.8203125</v>
      </c>
      <c r="LD26" s="74"/>
      <c r="LE26" s="74"/>
      <c r="LF26" s="74"/>
      <c r="LG26" s="78">
        <f>1000/249/3</f>
        <v>1.3386880856760375</v>
      </c>
      <c r="LH26" s="77"/>
      <c r="LI26" s="77"/>
      <c r="LJ26" s="74"/>
      <c r="LK26" s="77"/>
      <c r="LL26" s="74"/>
      <c r="LM26" s="77"/>
      <c r="LN26" s="74"/>
      <c r="LO26" s="78">
        <f>1000/249/3</f>
        <v>1.3386880856760375</v>
      </c>
      <c r="LP26" s="74"/>
      <c r="LQ26" s="74"/>
      <c r="LR26" s="74"/>
      <c r="LS26" s="74"/>
      <c r="LT26" s="74"/>
      <c r="LU26" s="74"/>
      <c r="LV26" s="74"/>
      <c r="LW26" s="77"/>
      <c r="LX26" s="74"/>
      <c r="LY26" s="77"/>
      <c r="LZ26" s="74"/>
      <c r="MA26" s="74"/>
      <c r="MB26" s="74"/>
      <c r="MC26" s="74"/>
      <c r="MD26" s="78">
        <f>1000/249/3</f>
        <v>1.3386880856760375</v>
      </c>
      <c r="ME26" s="79">
        <f t="shared" si="30"/>
        <v>110.96385542168676</v>
      </c>
      <c r="MF26" s="74"/>
      <c r="MG26" s="74"/>
      <c r="MH26" s="74"/>
      <c r="MI26" s="78">
        <f>1000/249/3</f>
        <v>1.3386880856760375</v>
      </c>
      <c r="MJ26" s="77"/>
      <c r="MK26" s="77"/>
      <c r="ML26" s="74"/>
      <c r="MM26" s="77"/>
      <c r="MN26" s="74"/>
      <c r="MO26" s="77"/>
      <c r="MP26" s="74"/>
      <c r="MQ26" s="78">
        <f>1000/249/3</f>
        <v>1.3386880856760375</v>
      </c>
      <c r="MR26" s="74"/>
      <c r="MS26" s="74"/>
      <c r="MT26" s="74"/>
      <c r="MU26" s="74"/>
      <c r="MV26" s="74"/>
      <c r="MW26" s="74"/>
      <c r="MX26" s="74"/>
      <c r="MY26" s="77"/>
      <c r="MZ26" s="74"/>
      <c r="NA26" s="77"/>
      <c r="NB26" s="74"/>
      <c r="NC26" s="74"/>
      <c r="ND26" s="74"/>
      <c r="NE26" s="74"/>
      <c r="NF26" s="78">
        <f>1000/249/3</f>
        <v>1.3386880856760375</v>
      </c>
      <c r="NG26" s="79">
        <f t="shared" si="31"/>
        <v>221.60642570281124</v>
      </c>
      <c r="NH26" s="74"/>
      <c r="NI26" s="74"/>
      <c r="NJ26" s="74"/>
      <c r="NK26" s="78">
        <f>1000/249/3</f>
        <v>1.3386880856760375</v>
      </c>
      <c r="NL26" s="77"/>
      <c r="NM26" s="77"/>
      <c r="NN26" s="74"/>
      <c r="NO26" s="77"/>
      <c r="NP26" s="74"/>
      <c r="NQ26" s="77"/>
      <c r="NR26" s="74"/>
      <c r="NS26" s="78">
        <f>1000/249/3</f>
        <v>1.3386880856760375</v>
      </c>
      <c r="NT26" s="74"/>
      <c r="NU26" s="74"/>
      <c r="NV26" s="74"/>
      <c r="NW26" s="74"/>
      <c r="NX26" s="74"/>
      <c r="NY26" s="74"/>
      <c r="NZ26" s="74"/>
      <c r="OA26" s="77"/>
      <c r="OB26" s="74"/>
      <c r="OC26" s="77"/>
      <c r="OD26" s="74"/>
      <c r="OE26" s="74"/>
      <c r="OF26" s="74"/>
      <c r="OG26" s="74"/>
      <c r="OH26" s="78">
        <f>1000/249/3</f>
        <v>1.3386880856760375</v>
      </c>
      <c r="OI26" s="79">
        <f t="shared" si="32"/>
        <v>208.9156626506024</v>
      </c>
      <c r="OJ26" s="74"/>
      <c r="OK26" s="74"/>
      <c r="OL26" s="74"/>
      <c r="OM26" s="78">
        <f>1000/249/3</f>
        <v>1.3386880856760375</v>
      </c>
      <c r="ON26" s="77"/>
      <c r="OO26" s="77"/>
      <c r="OP26" s="74"/>
      <c r="OQ26" s="77"/>
      <c r="OR26" s="74"/>
      <c r="OS26" s="77"/>
      <c r="OT26" s="74"/>
      <c r="OU26" s="78">
        <f>1000/249/3</f>
        <v>1.3386880856760375</v>
      </c>
      <c r="OV26" s="74"/>
      <c r="OW26" s="74"/>
      <c r="OX26" s="74"/>
      <c r="OY26" s="74"/>
      <c r="OZ26" s="74"/>
      <c r="PA26" s="74"/>
      <c r="PB26" s="74"/>
      <c r="PC26" s="77"/>
      <c r="PD26" s="74"/>
      <c r="PE26" s="77"/>
      <c r="PF26" s="74"/>
      <c r="PG26" s="74"/>
      <c r="PH26" s="74"/>
      <c r="PI26" s="74"/>
      <c r="PJ26" s="78">
        <f>1000/249/3</f>
        <v>1.3386880856760375</v>
      </c>
      <c r="PK26" s="79">
        <f t="shared" si="33"/>
        <v>104.53815261044177</v>
      </c>
      <c r="PL26" s="74"/>
      <c r="PM26" s="74"/>
      <c r="PN26" s="74"/>
      <c r="PO26" s="78">
        <f>1000/249/3</f>
        <v>1.3386880856760375</v>
      </c>
      <c r="PP26" s="77"/>
      <c r="PQ26" s="77"/>
      <c r="PR26" s="74"/>
      <c r="PS26" s="77"/>
      <c r="PT26" s="74"/>
      <c r="PU26" s="77"/>
      <c r="PV26" s="74"/>
      <c r="PW26" s="78">
        <f>1000/249/3</f>
        <v>1.3386880856760375</v>
      </c>
      <c r="PX26" s="74"/>
      <c r="PY26" s="74"/>
      <c r="PZ26" s="74"/>
      <c r="QA26" s="74"/>
      <c r="QB26" s="74"/>
      <c r="QC26" s="74"/>
      <c r="QD26" s="74"/>
      <c r="QE26" s="77"/>
      <c r="QF26" s="74"/>
      <c r="QG26" s="77"/>
      <c r="QH26" s="74"/>
      <c r="QI26" s="74"/>
      <c r="QJ26" s="74"/>
      <c r="QK26" s="74"/>
      <c r="QL26" s="78">
        <f>1000/249/3</f>
        <v>1.3386880856760375</v>
      </c>
      <c r="QM26" s="79">
        <f t="shared" si="34"/>
        <v>125.10040160642571</v>
      </c>
      <c r="QN26" s="74"/>
      <c r="QO26" s="74"/>
      <c r="QP26" s="74"/>
      <c r="QQ26" s="78">
        <f>1000/249/3</f>
        <v>1.3386880856760375</v>
      </c>
      <c r="QR26" s="77"/>
      <c r="QS26" s="77"/>
      <c r="QT26" s="74"/>
      <c r="QU26" s="77"/>
      <c r="QV26" s="74"/>
      <c r="QW26" s="77"/>
      <c r="QX26" s="74"/>
      <c r="QY26" s="78">
        <f>1000/249/3</f>
        <v>1.3386880856760375</v>
      </c>
      <c r="QZ26" s="74"/>
      <c r="RA26" s="74"/>
      <c r="RB26" s="74"/>
      <c r="RC26" s="74"/>
      <c r="RD26" s="74"/>
      <c r="RE26" s="74"/>
      <c r="RF26" s="74"/>
      <c r="RG26" s="77"/>
      <c r="RH26" s="74"/>
      <c r="RI26" s="77"/>
      <c r="RJ26" s="74"/>
      <c r="RK26" s="74"/>
      <c r="RL26" s="74"/>
      <c r="RM26" s="74"/>
      <c r="RN26" s="78">
        <f>1000/249/3</f>
        <v>1.3386880856760375</v>
      </c>
      <c r="RO26" s="79">
        <f t="shared" si="35"/>
        <v>177.99196787148594</v>
      </c>
      <c r="RP26" s="74"/>
      <c r="RQ26" s="74"/>
      <c r="RR26" s="74"/>
      <c r="RS26" s="78">
        <f>1000/249/3</f>
        <v>1.3386880856760375</v>
      </c>
      <c r="RT26" s="77"/>
      <c r="RU26" s="77"/>
      <c r="RV26" s="74"/>
      <c r="RW26" s="77"/>
      <c r="RX26" s="74"/>
      <c r="RY26" s="77"/>
      <c r="RZ26" s="74"/>
      <c r="SA26" s="78">
        <f>1000/249/3</f>
        <v>1.3386880856760375</v>
      </c>
      <c r="SB26" s="74"/>
      <c r="SC26" s="74"/>
      <c r="SD26" s="74"/>
      <c r="SE26" s="74"/>
      <c r="SF26" s="74"/>
      <c r="SG26" s="74"/>
      <c r="SH26" s="74"/>
      <c r="SI26" s="77"/>
      <c r="SJ26" s="74"/>
      <c r="SK26" s="77"/>
      <c r="SL26" s="74"/>
      <c r="SM26" s="74"/>
      <c r="SN26" s="74"/>
      <c r="SO26" s="74"/>
      <c r="SP26" s="78">
        <f>1000/249/3</f>
        <v>1.3386880856760375</v>
      </c>
      <c r="SQ26" s="79">
        <f t="shared" si="36"/>
        <v>51.084337349397593</v>
      </c>
      <c r="SR26" s="80">
        <f>+ME26+NG26+OI26+PK26+QM26+RO26+SQ26-300</f>
        <v>700.2008032128515</v>
      </c>
      <c r="SS26" s="16">
        <f t="shared" si="38"/>
        <v>1069.2207851840053</v>
      </c>
      <c r="ST26" s="88">
        <f t="shared" si="39"/>
        <v>372.25692608173068</v>
      </c>
      <c r="SU26" s="88">
        <f t="shared" si="40"/>
        <v>226.06640625</v>
      </c>
      <c r="SV26" s="88">
        <f t="shared" si="41"/>
        <v>147.09703125000001</v>
      </c>
      <c r="SW26" s="88">
        <f t="shared" si="42"/>
        <v>979.47589357429729</v>
      </c>
      <c r="SX26" s="91">
        <f t="shared" si="43"/>
        <v>411.30915502008037</v>
      </c>
      <c r="SY26" s="16">
        <f t="shared" si="48"/>
        <v>74.451385216346139</v>
      </c>
      <c r="SZ26" s="16">
        <f t="shared" si="49"/>
        <v>89.341662259615362</v>
      </c>
      <c r="TA26" s="16">
        <f t="shared" si="50"/>
        <v>74.451385216346139</v>
      </c>
      <c r="TB26" s="92">
        <f t="shared" si="51"/>
        <v>134.01249338942304</v>
      </c>
      <c r="TC26" s="16">
        <f t="shared" si="52"/>
        <v>45.213281250000001</v>
      </c>
      <c r="TD26" s="16">
        <f t="shared" si="53"/>
        <v>54.255937499999995</v>
      </c>
      <c r="TE26" s="16">
        <f t="shared" si="54"/>
        <v>45.213281250000001</v>
      </c>
      <c r="TF26" s="92">
        <f t="shared" si="55"/>
        <v>81.383906249999995</v>
      </c>
      <c r="TG26" s="16">
        <f t="shared" si="56"/>
        <v>29.419406250000005</v>
      </c>
      <c r="TH26" s="16">
        <f t="shared" si="57"/>
        <v>35.303287500000003</v>
      </c>
      <c r="TI26" s="16">
        <f t="shared" si="58"/>
        <v>29.419406250000005</v>
      </c>
      <c r="TJ26" s="92">
        <f t="shared" si="59"/>
        <v>52.954931250000001</v>
      </c>
      <c r="TK26" s="16">
        <f t="shared" si="60"/>
        <v>195.89517871485947</v>
      </c>
      <c r="TL26" s="16">
        <f t="shared" si="61"/>
        <v>235.07421445783135</v>
      </c>
      <c r="TM26" s="16">
        <f t="shared" si="62"/>
        <v>195.89517871485947</v>
      </c>
      <c r="TN26" s="92">
        <f t="shared" si="63"/>
        <v>352.61132168674703</v>
      </c>
      <c r="TO26" s="16">
        <f t="shared" si="44"/>
        <v>82.261831004016074</v>
      </c>
      <c r="TP26" s="16">
        <f t="shared" si="45"/>
        <v>98.714197204819286</v>
      </c>
      <c r="TQ26" s="16">
        <f t="shared" si="46"/>
        <v>82.261831004016074</v>
      </c>
      <c r="TR26" s="92">
        <f t="shared" si="47"/>
        <v>148.07129580722892</v>
      </c>
    </row>
    <row r="27" spans="1:539">
      <c r="A27" s="178"/>
      <c r="B27" s="101" t="str">
        <f>+A22</f>
        <v>Insecticidas</v>
      </c>
      <c r="C27" s="71" t="s">
        <v>195</v>
      </c>
      <c r="D27" s="87">
        <f>+IFERROR(INDEX(Productos[USD],MATCH(C27,Productos[Productos],0)),0)</f>
        <v>0</v>
      </c>
      <c r="E27" s="74"/>
      <c r="F27" s="74"/>
      <c r="G27" s="74"/>
      <c r="H27" s="78"/>
      <c r="I27" s="77"/>
      <c r="J27" s="77"/>
      <c r="K27" s="74"/>
      <c r="L27" s="77"/>
      <c r="M27" s="74"/>
      <c r="N27" s="77"/>
      <c r="O27" s="74"/>
      <c r="P27" s="77"/>
      <c r="Q27" s="74"/>
      <c r="R27" s="74"/>
      <c r="S27" s="74"/>
      <c r="T27" s="74"/>
      <c r="U27" s="74"/>
      <c r="V27" s="74"/>
      <c r="W27" s="74"/>
      <c r="X27" s="77"/>
      <c r="Y27" s="74"/>
      <c r="Z27" s="77"/>
      <c r="AA27" s="74"/>
      <c r="AB27" s="74"/>
      <c r="AC27" s="74"/>
      <c r="AD27" s="74"/>
      <c r="AE27" s="74"/>
      <c r="AF27" s="79">
        <f t="shared" si="16"/>
        <v>0</v>
      </c>
      <c r="AG27" s="74"/>
      <c r="AH27" s="74"/>
      <c r="AI27" s="74"/>
      <c r="AJ27" s="78"/>
      <c r="AK27" s="77"/>
      <c r="AL27" s="77"/>
      <c r="AM27" s="74"/>
      <c r="AN27" s="77"/>
      <c r="AO27" s="74"/>
      <c r="AP27" s="77"/>
      <c r="AQ27" s="74"/>
      <c r="AR27" s="77"/>
      <c r="AS27" s="74"/>
      <c r="AT27" s="74"/>
      <c r="AU27" s="74"/>
      <c r="AV27" s="74"/>
      <c r="AW27" s="74"/>
      <c r="AX27" s="74"/>
      <c r="AY27" s="74"/>
      <c r="AZ27" s="77"/>
      <c r="BA27" s="74"/>
      <c r="BB27" s="77"/>
      <c r="BC27" s="74"/>
      <c r="BD27" s="74"/>
      <c r="BE27" s="74"/>
      <c r="BF27" s="74"/>
      <c r="BG27" s="74"/>
      <c r="BH27" s="79">
        <f t="shared" si="17"/>
        <v>0</v>
      </c>
      <c r="BI27" s="74"/>
      <c r="BJ27" s="74"/>
      <c r="BK27" s="74"/>
      <c r="BL27" s="78"/>
      <c r="BM27" s="77"/>
      <c r="BN27" s="77"/>
      <c r="BO27" s="74"/>
      <c r="BP27" s="77"/>
      <c r="BQ27" s="74"/>
      <c r="BR27" s="77"/>
      <c r="BS27" s="74"/>
      <c r="BT27" s="77"/>
      <c r="BU27" s="74"/>
      <c r="BV27" s="74"/>
      <c r="BW27" s="74"/>
      <c r="BX27" s="74"/>
      <c r="BY27" s="74"/>
      <c r="BZ27" s="74"/>
      <c r="CA27" s="74"/>
      <c r="CB27" s="77"/>
      <c r="CC27" s="74"/>
      <c r="CD27" s="77"/>
      <c r="CE27" s="74"/>
      <c r="CF27" s="74"/>
      <c r="CG27" s="74"/>
      <c r="CH27" s="74"/>
      <c r="CI27" s="74"/>
      <c r="CJ27" s="79">
        <f t="shared" si="18"/>
        <v>0</v>
      </c>
      <c r="CK27" s="74"/>
      <c r="CL27" s="74"/>
      <c r="CM27" s="74"/>
      <c r="CN27" s="78"/>
      <c r="CO27" s="77"/>
      <c r="CP27" s="77"/>
      <c r="CQ27" s="74"/>
      <c r="CR27" s="77"/>
      <c r="CS27" s="74"/>
      <c r="CT27" s="77"/>
      <c r="CU27" s="74"/>
      <c r="CV27" s="77"/>
      <c r="CW27" s="74"/>
      <c r="CX27" s="74"/>
      <c r="CY27" s="74"/>
      <c r="CZ27" s="74"/>
      <c r="DA27" s="74"/>
      <c r="DB27" s="74"/>
      <c r="DC27" s="74"/>
      <c r="DD27" s="77"/>
      <c r="DE27" s="74"/>
      <c r="DF27" s="77"/>
      <c r="DG27" s="74"/>
      <c r="DH27" s="74"/>
      <c r="DI27" s="74"/>
      <c r="DJ27" s="74"/>
      <c r="DK27" s="74"/>
      <c r="DL27" s="79">
        <f t="shared" si="19"/>
        <v>0</v>
      </c>
      <c r="DM27" s="74"/>
      <c r="DN27" s="74"/>
      <c r="DO27" s="74"/>
      <c r="DP27" s="78"/>
      <c r="DQ27" s="77"/>
      <c r="DR27" s="77"/>
      <c r="DS27" s="74"/>
      <c r="DT27" s="77"/>
      <c r="DU27" s="74"/>
      <c r="DV27" s="77"/>
      <c r="DW27" s="74"/>
      <c r="DX27" s="77"/>
      <c r="DY27" s="74"/>
      <c r="DZ27" s="74"/>
      <c r="EA27" s="74"/>
      <c r="EB27" s="74"/>
      <c r="EC27" s="74"/>
      <c r="ED27" s="74"/>
      <c r="EE27" s="74"/>
      <c r="EF27" s="77"/>
      <c r="EG27" s="74"/>
      <c r="EH27" s="77"/>
      <c r="EI27" s="74"/>
      <c r="EJ27" s="74"/>
      <c r="EK27" s="74"/>
      <c r="EL27" s="74"/>
      <c r="EM27" s="74"/>
      <c r="EN27" s="79">
        <f t="shared" si="20"/>
        <v>0</v>
      </c>
      <c r="EO27" s="80">
        <f t="shared" si="21"/>
        <v>0</v>
      </c>
      <c r="EP27" s="74"/>
      <c r="EQ27" s="74"/>
      <c r="ER27" s="74"/>
      <c r="ES27" s="78"/>
      <c r="ET27" s="77"/>
      <c r="EU27" s="77"/>
      <c r="EV27" s="74"/>
      <c r="EW27" s="77"/>
      <c r="EX27" s="74"/>
      <c r="EY27" s="77"/>
      <c r="EZ27" s="74"/>
      <c r="FA27" s="77"/>
      <c r="FB27" s="74"/>
      <c r="FC27" s="74"/>
      <c r="FD27" s="74"/>
      <c r="FE27" s="74"/>
      <c r="FF27" s="74"/>
      <c r="FG27" s="74"/>
      <c r="FH27" s="74"/>
      <c r="FI27" s="77"/>
      <c r="FJ27" s="74"/>
      <c r="FK27" s="77"/>
      <c r="FL27" s="74"/>
      <c r="FM27" s="74"/>
      <c r="FN27" s="74"/>
      <c r="FO27" s="74"/>
      <c r="FP27" s="74"/>
      <c r="FQ27" s="79">
        <f t="shared" si="22"/>
        <v>0</v>
      </c>
      <c r="FR27" s="74"/>
      <c r="FS27" s="74"/>
      <c r="FT27" s="74"/>
      <c r="FU27" s="78"/>
      <c r="FV27" s="77"/>
      <c r="FW27" s="77"/>
      <c r="FX27" s="74"/>
      <c r="FY27" s="77"/>
      <c r="FZ27" s="74"/>
      <c r="GA27" s="77"/>
      <c r="GB27" s="74"/>
      <c r="GC27" s="77"/>
      <c r="GD27" s="74"/>
      <c r="GE27" s="74"/>
      <c r="GF27" s="74"/>
      <c r="GG27" s="74"/>
      <c r="GH27" s="74"/>
      <c r="GI27" s="74"/>
      <c r="GJ27" s="74"/>
      <c r="GK27" s="77"/>
      <c r="GL27" s="74"/>
      <c r="GM27" s="77"/>
      <c r="GN27" s="74"/>
      <c r="GO27" s="74"/>
      <c r="GP27" s="74"/>
      <c r="GQ27" s="74"/>
      <c r="GR27" s="74"/>
      <c r="GS27" s="79">
        <f t="shared" si="23"/>
        <v>0</v>
      </c>
      <c r="GT27" s="74"/>
      <c r="GU27" s="74"/>
      <c r="GV27" s="74"/>
      <c r="GW27" s="78"/>
      <c r="GX27" s="77"/>
      <c r="GY27" s="77"/>
      <c r="GZ27" s="74"/>
      <c r="HA27" s="77"/>
      <c r="HB27" s="74"/>
      <c r="HC27" s="77"/>
      <c r="HD27" s="74"/>
      <c r="HE27" s="77"/>
      <c r="HF27" s="74"/>
      <c r="HG27" s="74"/>
      <c r="HH27" s="74"/>
      <c r="HI27" s="74"/>
      <c r="HJ27" s="74"/>
      <c r="HK27" s="74"/>
      <c r="HL27" s="74"/>
      <c r="HM27" s="77"/>
      <c r="HN27" s="74"/>
      <c r="HO27" s="77"/>
      <c r="HP27" s="74"/>
      <c r="HQ27" s="74"/>
      <c r="HR27" s="74"/>
      <c r="HS27" s="74"/>
      <c r="HT27" s="74"/>
      <c r="HU27" s="79">
        <f t="shared" si="24"/>
        <v>0</v>
      </c>
      <c r="HV27" s="80">
        <f t="shared" si="25"/>
        <v>0</v>
      </c>
      <c r="HW27" s="74"/>
      <c r="HX27" s="74"/>
      <c r="HY27" s="74"/>
      <c r="HZ27" s="78"/>
      <c r="IA27" s="77"/>
      <c r="IB27" s="77"/>
      <c r="IC27" s="74"/>
      <c r="ID27" s="77"/>
      <c r="IE27" s="74"/>
      <c r="IF27" s="77"/>
      <c r="IG27" s="74"/>
      <c r="IH27" s="77"/>
      <c r="II27" s="74"/>
      <c r="IJ27" s="74"/>
      <c r="IK27" s="74"/>
      <c r="IL27" s="74"/>
      <c r="IM27" s="74"/>
      <c r="IN27" s="74"/>
      <c r="IO27" s="74"/>
      <c r="IP27" s="77"/>
      <c r="IQ27" s="74"/>
      <c r="IR27" s="77"/>
      <c r="IS27" s="74"/>
      <c r="IT27" s="74"/>
      <c r="IU27" s="74"/>
      <c r="IV27" s="74"/>
      <c r="IW27" s="74"/>
      <c r="IX27" s="79">
        <f t="shared" si="26"/>
        <v>0</v>
      </c>
      <c r="IY27" s="74"/>
      <c r="IZ27" s="74"/>
      <c r="JA27" s="74"/>
      <c r="JB27" s="78"/>
      <c r="JC27" s="77"/>
      <c r="JD27" s="77"/>
      <c r="JE27" s="74"/>
      <c r="JF27" s="77"/>
      <c r="JG27" s="74"/>
      <c r="JH27" s="77"/>
      <c r="JI27" s="74"/>
      <c r="JJ27" s="77"/>
      <c r="JK27" s="74"/>
      <c r="JL27" s="74"/>
      <c r="JM27" s="74"/>
      <c r="JN27" s="74"/>
      <c r="JO27" s="74"/>
      <c r="JP27" s="74"/>
      <c r="JQ27" s="74"/>
      <c r="JR27" s="77"/>
      <c r="JS27" s="74"/>
      <c r="JT27" s="77"/>
      <c r="JU27" s="74"/>
      <c r="JV27" s="74"/>
      <c r="JW27" s="74"/>
      <c r="JX27" s="74"/>
      <c r="JY27" s="74"/>
      <c r="JZ27" s="79">
        <f t="shared" si="27"/>
        <v>0</v>
      </c>
      <c r="KA27" s="74"/>
      <c r="KB27" s="74"/>
      <c r="KC27" s="74"/>
      <c r="KD27" s="78"/>
      <c r="KE27" s="77"/>
      <c r="KF27" s="77"/>
      <c r="KG27" s="74"/>
      <c r="KH27" s="77"/>
      <c r="KI27" s="74"/>
      <c r="KJ27" s="77"/>
      <c r="KK27" s="74"/>
      <c r="KL27" s="77"/>
      <c r="KM27" s="74"/>
      <c r="KN27" s="74"/>
      <c r="KO27" s="74"/>
      <c r="KP27" s="74"/>
      <c r="KQ27" s="74"/>
      <c r="KR27" s="74"/>
      <c r="KS27" s="74"/>
      <c r="KT27" s="77"/>
      <c r="KU27" s="74"/>
      <c r="KV27" s="77"/>
      <c r="KW27" s="74"/>
      <c r="KX27" s="74"/>
      <c r="KY27" s="74"/>
      <c r="KZ27" s="74"/>
      <c r="LA27" s="74"/>
      <c r="LB27" s="79">
        <f t="shared" si="28"/>
        <v>0</v>
      </c>
      <c r="LC27" s="80">
        <f t="shared" si="29"/>
        <v>0</v>
      </c>
      <c r="LD27" s="74"/>
      <c r="LE27" s="74"/>
      <c r="LF27" s="74"/>
      <c r="LG27" s="78"/>
      <c r="LH27" s="77"/>
      <c r="LI27" s="77"/>
      <c r="LJ27" s="74"/>
      <c r="LK27" s="77"/>
      <c r="LL27" s="74"/>
      <c r="LM27" s="77"/>
      <c r="LN27" s="74"/>
      <c r="LO27" s="77"/>
      <c r="LP27" s="74"/>
      <c r="LQ27" s="74"/>
      <c r="LR27" s="74"/>
      <c r="LS27" s="74"/>
      <c r="LT27" s="74"/>
      <c r="LU27" s="74"/>
      <c r="LV27" s="74"/>
      <c r="LW27" s="77"/>
      <c r="LX27" s="74"/>
      <c r="LY27" s="77"/>
      <c r="LZ27" s="74"/>
      <c r="MA27" s="74"/>
      <c r="MB27" s="74"/>
      <c r="MC27" s="74"/>
      <c r="MD27" s="74"/>
      <c r="ME27" s="79">
        <f t="shared" si="30"/>
        <v>0</v>
      </c>
      <c r="MF27" s="74"/>
      <c r="MG27" s="74"/>
      <c r="MH27" s="74"/>
      <c r="MI27" s="78"/>
      <c r="MJ27" s="77"/>
      <c r="MK27" s="77"/>
      <c r="ML27" s="74"/>
      <c r="MM27" s="77"/>
      <c r="MN27" s="74"/>
      <c r="MO27" s="77"/>
      <c r="MP27" s="74"/>
      <c r="MQ27" s="77"/>
      <c r="MR27" s="74"/>
      <c r="MS27" s="74"/>
      <c r="MT27" s="74"/>
      <c r="MU27" s="74"/>
      <c r="MV27" s="74"/>
      <c r="MW27" s="74"/>
      <c r="MX27" s="74"/>
      <c r="MY27" s="77"/>
      <c r="MZ27" s="74"/>
      <c r="NA27" s="77"/>
      <c r="NB27" s="74"/>
      <c r="NC27" s="74"/>
      <c r="ND27" s="74"/>
      <c r="NE27" s="74"/>
      <c r="NF27" s="74"/>
      <c r="NG27" s="79">
        <f t="shared" si="31"/>
        <v>0</v>
      </c>
      <c r="NH27" s="74"/>
      <c r="NI27" s="74"/>
      <c r="NJ27" s="74"/>
      <c r="NK27" s="78"/>
      <c r="NL27" s="77"/>
      <c r="NM27" s="77"/>
      <c r="NN27" s="74"/>
      <c r="NO27" s="77"/>
      <c r="NP27" s="74"/>
      <c r="NQ27" s="77"/>
      <c r="NR27" s="74"/>
      <c r="NS27" s="77"/>
      <c r="NT27" s="74"/>
      <c r="NU27" s="74"/>
      <c r="NV27" s="74"/>
      <c r="NW27" s="74"/>
      <c r="NX27" s="74"/>
      <c r="NY27" s="74"/>
      <c r="NZ27" s="74"/>
      <c r="OA27" s="77"/>
      <c r="OB27" s="74"/>
      <c r="OC27" s="77"/>
      <c r="OD27" s="74"/>
      <c r="OE27" s="74"/>
      <c r="OF27" s="74"/>
      <c r="OG27" s="74"/>
      <c r="OH27" s="74"/>
      <c r="OI27" s="79">
        <f t="shared" si="32"/>
        <v>0</v>
      </c>
      <c r="OJ27" s="74"/>
      <c r="OK27" s="74"/>
      <c r="OL27" s="74"/>
      <c r="OM27" s="78"/>
      <c r="ON27" s="77"/>
      <c r="OO27" s="77"/>
      <c r="OP27" s="74"/>
      <c r="OQ27" s="77"/>
      <c r="OR27" s="74"/>
      <c r="OS27" s="77"/>
      <c r="OT27" s="74"/>
      <c r="OU27" s="77"/>
      <c r="OV27" s="74"/>
      <c r="OW27" s="74"/>
      <c r="OX27" s="74"/>
      <c r="OY27" s="74"/>
      <c r="OZ27" s="74"/>
      <c r="PA27" s="74"/>
      <c r="PB27" s="74"/>
      <c r="PC27" s="77"/>
      <c r="PD27" s="74"/>
      <c r="PE27" s="77"/>
      <c r="PF27" s="74"/>
      <c r="PG27" s="74"/>
      <c r="PH27" s="74"/>
      <c r="PI27" s="74"/>
      <c r="PJ27" s="74"/>
      <c r="PK27" s="79">
        <f t="shared" si="33"/>
        <v>0</v>
      </c>
      <c r="PL27" s="74"/>
      <c r="PM27" s="74"/>
      <c r="PN27" s="74"/>
      <c r="PO27" s="78"/>
      <c r="PP27" s="77"/>
      <c r="PQ27" s="77"/>
      <c r="PR27" s="74"/>
      <c r="PS27" s="77"/>
      <c r="PT27" s="74"/>
      <c r="PU27" s="77"/>
      <c r="PV27" s="74"/>
      <c r="PW27" s="77"/>
      <c r="PX27" s="74"/>
      <c r="PY27" s="74"/>
      <c r="PZ27" s="74"/>
      <c r="QA27" s="74"/>
      <c r="QB27" s="74"/>
      <c r="QC27" s="74"/>
      <c r="QD27" s="74"/>
      <c r="QE27" s="77"/>
      <c r="QF27" s="74"/>
      <c r="QG27" s="77"/>
      <c r="QH27" s="74"/>
      <c r="QI27" s="74"/>
      <c r="QJ27" s="74"/>
      <c r="QK27" s="74"/>
      <c r="QL27" s="74"/>
      <c r="QM27" s="79">
        <f t="shared" si="34"/>
        <v>0</v>
      </c>
      <c r="QN27" s="74"/>
      <c r="QO27" s="74"/>
      <c r="QP27" s="74"/>
      <c r="QQ27" s="78"/>
      <c r="QR27" s="77"/>
      <c r="QS27" s="77"/>
      <c r="QT27" s="74"/>
      <c r="QU27" s="77"/>
      <c r="QV27" s="74"/>
      <c r="QW27" s="77"/>
      <c r="QX27" s="74"/>
      <c r="QY27" s="77"/>
      <c r="QZ27" s="74"/>
      <c r="RA27" s="74"/>
      <c r="RB27" s="74"/>
      <c r="RC27" s="74"/>
      <c r="RD27" s="74"/>
      <c r="RE27" s="74"/>
      <c r="RF27" s="74"/>
      <c r="RG27" s="77"/>
      <c r="RH27" s="74"/>
      <c r="RI27" s="77"/>
      <c r="RJ27" s="74"/>
      <c r="RK27" s="74"/>
      <c r="RL27" s="74"/>
      <c r="RM27" s="74"/>
      <c r="RN27" s="74"/>
      <c r="RO27" s="79">
        <f t="shared" si="35"/>
        <v>0</v>
      </c>
      <c r="RP27" s="74"/>
      <c r="RQ27" s="74"/>
      <c r="RR27" s="74"/>
      <c r="RS27" s="78"/>
      <c r="RT27" s="77"/>
      <c r="RU27" s="77"/>
      <c r="RV27" s="74"/>
      <c r="RW27" s="77"/>
      <c r="RX27" s="74"/>
      <c r="RY27" s="77"/>
      <c r="RZ27" s="74"/>
      <c r="SA27" s="77"/>
      <c r="SB27" s="74"/>
      <c r="SC27" s="74"/>
      <c r="SD27" s="74"/>
      <c r="SE27" s="74"/>
      <c r="SF27" s="74"/>
      <c r="SG27" s="74"/>
      <c r="SH27" s="74"/>
      <c r="SI27" s="77"/>
      <c r="SJ27" s="74"/>
      <c r="SK27" s="77"/>
      <c r="SL27" s="74"/>
      <c r="SM27" s="74"/>
      <c r="SN27" s="74"/>
      <c r="SO27" s="74"/>
      <c r="SP27" s="74"/>
      <c r="SQ27" s="79">
        <f t="shared" si="36"/>
        <v>0</v>
      </c>
      <c r="SR27" s="80">
        <f t="shared" si="37"/>
        <v>0</v>
      </c>
      <c r="SS27" s="16">
        <f t="shared" si="38"/>
        <v>0</v>
      </c>
      <c r="ST27" s="88">
        <f t="shared" si="39"/>
        <v>0</v>
      </c>
      <c r="SU27" s="88">
        <f t="shared" si="40"/>
        <v>0</v>
      </c>
      <c r="SV27" s="88">
        <f t="shared" si="41"/>
        <v>0</v>
      </c>
      <c r="SW27" s="88">
        <f t="shared" si="42"/>
        <v>0</v>
      </c>
      <c r="SX27" s="91">
        <f t="shared" si="43"/>
        <v>0</v>
      </c>
      <c r="SY27" s="16">
        <f t="shared" si="48"/>
        <v>0</v>
      </c>
      <c r="SZ27" s="16">
        <f t="shared" si="49"/>
        <v>0</v>
      </c>
      <c r="TA27" s="16">
        <f t="shared" si="50"/>
        <v>0</v>
      </c>
      <c r="TB27" s="92">
        <f t="shared" si="51"/>
        <v>0</v>
      </c>
      <c r="TC27" s="16">
        <f t="shared" si="52"/>
        <v>0</v>
      </c>
      <c r="TD27" s="16">
        <f t="shared" si="53"/>
        <v>0</v>
      </c>
      <c r="TE27" s="16">
        <f t="shared" si="54"/>
        <v>0</v>
      </c>
      <c r="TF27" s="92">
        <f t="shared" si="55"/>
        <v>0</v>
      </c>
      <c r="TG27" s="16">
        <f t="shared" si="56"/>
        <v>0</v>
      </c>
      <c r="TH27" s="16">
        <f t="shared" si="57"/>
        <v>0</v>
      </c>
      <c r="TI27" s="16">
        <f t="shared" si="58"/>
        <v>0</v>
      </c>
      <c r="TJ27" s="92">
        <f t="shared" si="59"/>
        <v>0</v>
      </c>
      <c r="TK27" s="16">
        <f t="shared" si="60"/>
        <v>0</v>
      </c>
      <c r="TL27" s="16">
        <f t="shared" si="61"/>
        <v>0</v>
      </c>
      <c r="TM27" s="16">
        <f t="shared" si="62"/>
        <v>0</v>
      </c>
      <c r="TN27" s="92">
        <f t="shared" si="63"/>
        <v>0</v>
      </c>
      <c r="TO27" s="16">
        <f t="shared" si="44"/>
        <v>0</v>
      </c>
      <c r="TP27" s="16">
        <f t="shared" si="45"/>
        <v>0</v>
      </c>
      <c r="TQ27" s="16">
        <f t="shared" si="46"/>
        <v>0</v>
      </c>
      <c r="TR27" s="92">
        <f t="shared" si="47"/>
        <v>0</v>
      </c>
    </row>
    <row r="28" spans="1:539">
      <c r="H28" t="s">
        <v>292</v>
      </c>
      <c r="I28" t="s">
        <v>293</v>
      </c>
      <c r="J28" t="s">
        <v>297</v>
      </c>
      <c r="L28" t="s">
        <v>297</v>
      </c>
      <c r="N28" t="s">
        <v>297</v>
      </c>
      <c r="P28" t="s">
        <v>297</v>
      </c>
      <c r="X28" t="s">
        <v>297</v>
      </c>
      <c r="Z28" t="s">
        <v>297</v>
      </c>
      <c r="AJ28" t="s">
        <v>292</v>
      </c>
      <c r="AK28" t="s">
        <v>293</v>
      </c>
      <c r="AL28" t="s">
        <v>297</v>
      </c>
      <c r="AN28" t="s">
        <v>297</v>
      </c>
      <c r="AP28" t="s">
        <v>297</v>
      </c>
      <c r="AR28" t="s">
        <v>297</v>
      </c>
      <c r="AZ28" t="s">
        <v>297</v>
      </c>
      <c r="BB28" t="s">
        <v>297</v>
      </c>
      <c r="BL28" t="s">
        <v>292</v>
      </c>
      <c r="BM28" t="s">
        <v>293</v>
      </c>
      <c r="BN28" t="s">
        <v>297</v>
      </c>
      <c r="BP28" t="s">
        <v>297</v>
      </c>
      <c r="BR28" t="s">
        <v>297</v>
      </c>
      <c r="BT28" t="s">
        <v>297</v>
      </c>
      <c r="CB28" t="s">
        <v>297</v>
      </c>
      <c r="CD28" t="s">
        <v>297</v>
      </c>
      <c r="CN28" t="s">
        <v>292</v>
      </c>
      <c r="CO28" t="s">
        <v>293</v>
      </c>
      <c r="CP28" t="s">
        <v>297</v>
      </c>
      <c r="CR28" t="s">
        <v>297</v>
      </c>
      <c r="CT28" t="s">
        <v>297</v>
      </c>
      <c r="CV28" t="s">
        <v>297</v>
      </c>
      <c r="DD28" t="s">
        <v>297</v>
      </c>
      <c r="DF28" t="s">
        <v>297</v>
      </c>
      <c r="DP28" t="s">
        <v>292</v>
      </c>
      <c r="DQ28" t="s">
        <v>293</v>
      </c>
      <c r="DR28" t="s">
        <v>297</v>
      </c>
      <c r="DT28" t="s">
        <v>297</v>
      </c>
      <c r="DV28" t="s">
        <v>297</v>
      </c>
      <c r="DX28" t="s">
        <v>297</v>
      </c>
      <c r="EF28" t="s">
        <v>297</v>
      </c>
      <c r="EH28" t="s">
        <v>297</v>
      </c>
      <c r="ES28" t="s">
        <v>292</v>
      </c>
      <c r="ET28" t="s">
        <v>293</v>
      </c>
      <c r="EU28" t="s">
        <v>297</v>
      </c>
      <c r="EW28" t="s">
        <v>297</v>
      </c>
      <c r="EY28" t="s">
        <v>297</v>
      </c>
      <c r="FA28" t="s">
        <v>297</v>
      </c>
      <c r="FI28" t="s">
        <v>297</v>
      </c>
      <c r="FK28" t="s">
        <v>297</v>
      </c>
      <c r="FU28" t="s">
        <v>292</v>
      </c>
      <c r="FV28" t="s">
        <v>293</v>
      </c>
      <c r="FW28" t="s">
        <v>297</v>
      </c>
      <c r="FY28" t="s">
        <v>297</v>
      </c>
      <c r="GA28" t="s">
        <v>297</v>
      </c>
      <c r="GC28" t="s">
        <v>297</v>
      </c>
      <c r="GK28" t="s">
        <v>297</v>
      </c>
      <c r="GM28" t="s">
        <v>297</v>
      </c>
      <c r="GW28" t="s">
        <v>292</v>
      </c>
      <c r="GX28" t="s">
        <v>293</v>
      </c>
      <c r="GY28" t="s">
        <v>297</v>
      </c>
      <c r="HA28" t="s">
        <v>297</v>
      </c>
      <c r="HC28" t="s">
        <v>297</v>
      </c>
      <c r="HE28" t="s">
        <v>297</v>
      </c>
      <c r="HM28" t="s">
        <v>297</v>
      </c>
      <c r="HO28" t="s">
        <v>297</v>
      </c>
      <c r="HZ28" t="s">
        <v>292</v>
      </c>
      <c r="IA28" t="s">
        <v>293</v>
      </c>
      <c r="IB28" t="s">
        <v>297</v>
      </c>
      <c r="ID28" t="s">
        <v>297</v>
      </c>
      <c r="IF28" t="s">
        <v>297</v>
      </c>
      <c r="IH28" t="s">
        <v>297</v>
      </c>
      <c r="IP28" t="s">
        <v>297</v>
      </c>
      <c r="IR28" t="s">
        <v>297</v>
      </c>
      <c r="JB28" t="s">
        <v>292</v>
      </c>
      <c r="JC28" t="s">
        <v>293</v>
      </c>
      <c r="JD28" t="s">
        <v>297</v>
      </c>
      <c r="JF28" t="s">
        <v>297</v>
      </c>
      <c r="JH28" t="s">
        <v>297</v>
      </c>
      <c r="JJ28" t="s">
        <v>297</v>
      </c>
      <c r="JR28" t="s">
        <v>297</v>
      </c>
      <c r="JT28" t="s">
        <v>297</v>
      </c>
      <c r="KD28" t="s">
        <v>292</v>
      </c>
      <c r="KE28" t="s">
        <v>293</v>
      </c>
      <c r="KF28" t="s">
        <v>297</v>
      </c>
      <c r="KH28" t="s">
        <v>297</v>
      </c>
      <c r="KJ28" t="s">
        <v>297</v>
      </c>
      <c r="KL28" t="s">
        <v>297</v>
      </c>
      <c r="KT28" t="s">
        <v>297</v>
      </c>
      <c r="KV28" t="s">
        <v>297</v>
      </c>
      <c r="LG28" t="s">
        <v>292</v>
      </c>
      <c r="LH28" t="s">
        <v>293</v>
      </c>
      <c r="LI28" t="s">
        <v>297</v>
      </c>
      <c r="LK28" t="s">
        <v>297</v>
      </c>
      <c r="LM28" t="s">
        <v>297</v>
      </c>
      <c r="LO28" t="s">
        <v>297</v>
      </c>
      <c r="LW28" t="s">
        <v>297</v>
      </c>
      <c r="LY28" t="s">
        <v>297</v>
      </c>
      <c r="MI28" t="s">
        <v>292</v>
      </c>
      <c r="MJ28" t="s">
        <v>293</v>
      </c>
      <c r="MK28" t="s">
        <v>297</v>
      </c>
      <c r="MM28" t="s">
        <v>297</v>
      </c>
      <c r="MO28" t="s">
        <v>297</v>
      </c>
      <c r="MQ28" t="s">
        <v>297</v>
      </c>
      <c r="MY28" t="s">
        <v>297</v>
      </c>
      <c r="NA28" t="s">
        <v>297</v>
      </c>
      <c r="NK28" t="s">
        <v>292</v>
      </c>
      <c r="NL28" t="s">
        <v>293</v>
      </c>
      <c r="NM28" t="s">
        <v>297</v>
      </c>
      <c r="NO28" t="s">
        <v>297</v>
      </c>
      <c r="NQ28" t="s">
        <v>297</v>
      </c>
      <c r="NS28" t="s">
        <v>297</v>
      </c>
      <c r="OA28" t="s">
        <v>297</v>
      </c>
      <c r="OC28" t="s">
        <v>297</v>
      </c>
      <c r="OM28" t="s">
        <v>292</v>
      </c>
      <c r="ON28" t="s">
        <v>293</v>
      </c>
      <c r="OO28" t="s">
        <v>297</v>
      </c>
      <c r="OQ28" t="s">
        <v>297</v>
      </c>
      <c r="OS28" t="s">
        <v>297</v>
      </c>
      <c r="OU28" t="s">
        <v>297</v>
      </c>
      <c r="PC28" t="s">
        <v>297</v>
      </c>
      <c r="PE28" t="s">
        <v>297</v>
      </c>
      <c r="PO28" t="s">
        <v>292</v>
      </c>
      <c r="PP28" t="s">
        <v>293</v>
      </c>
      <c r="PQ28" t="s">
        <v>297</v>
      </c>
      <c r="PS28" t="s">
        <v>297</v>
      </c>
      <c r="PU28" t="s">
        <v>297</v>
      </c>
      <c r="PW28" t="s">
        <v>297</v>
      </c>
      <c r="QE28" t="s">
        <v>297</v>
      </c>
      <c r="QG28" t="s">
        <v>297</v>
      </c>
      <c r="QQ28" t="s">
        <v>292</v>
      </c>
      <c r="QR28" t="s">
        <v>293</v>
      </c>
      <c r="QS28" t="s">
        <v>297</v>
      </c>
      <c r="QU28" t="s">
        <v>297</v>
      </c>
      <c r="QW28" t="s">
        <v>297</v>
      </c>
      <c r="QY28" t="s">
        <v>297</v>
      </c>
      <c r="RG28" t="s">
        <v>297</v>
      </c>
      <c r="RI28" t="s">
        <v>297</v>
      </c>
      <c r="RS28" t="s">
        <v>292</v>
      </c>
      <c r="RT28" t="s">
        <v>293</v>
      </c>
      <c r="RU28" t="s">
        <v>297</v>
      </c>
      <c r="RW28" t="s">
        <v>297</v>
      </c>
      <c r="RY28" t="s">
        <v>297</v>
      </c>
      <c r="SA28" t="s">
        <v>297</v>
      </c>
      <c r="SI28" t="s">
        <v>297</v>
      </c>
      <c r="SK28" t="s">
        <v>297</v>
      </c>
      <c r="SY28" s="2">
        <f>SUM(SY6:SY27)</f>
        <v>4501.3067404021986</v>
      </c>
      <c r="SZ28" s="2">
        <f t="shared" ref="SZ28:TR28" si="64">SUM(SZ6:SZ27)</f>
        <v>5401.568088482637</v>
      </c>
      <c r="TA28" s="2">
        <f t="shared" si="64"/>
        <v>4501.3067404021986</v>
      </c>
      <c r="TB28" s="2">
        <f t="shared" si="64"/>
        <v>8102.3521327239569</v>
      </c>
      <c r="TC28" s="2">
        <f t="shared" si="64"/>
        <v>2748.2780426712598</v>
      </c>
      <c r="TD28" s="2">
        <f t="shared" si="64"/>
        <v>3297.9336512055115</v>
      </c>
      <c r="TE28" s="2">
        <f t="shared" si="64"/>
        <v>2748.2780426712598</v>
      </c>
      <c r="TF28" s="2">
        <f t="shared" si="64"/>
        <v>4946.9004768082659</v>
      </c>
      <c r="TG28" s="2">
        <f t="shared" si="64"/>
        <v>1824.8183229157403</v>
      </c>
      <c r="TH28" s="2">
        <f t="shared" si="64"/>
        <v>2189.7819874988882</v>
      </c>
      <c r="TI28" s="2">
        <f t="shared" si="64"/>
        <v>1824.8183229157403</v>
      </c>
      <c r="TJ28" s="2">
        <f t="shared" si="64"/>
        <v>3284.6729812483318</v>
      </c>
      <c r="TK28" s="2">
        <f t="shared" si="64"/>
        <v>11011.681443762118</v>
      </c>
      <c r="TL28" s="2">
        <f t="shared" si="64"/>
        <v>13214.017732514541</v>
      </c>
      <c r="TM28" s="2">
        <f t="shared" si="64"/>
        <v>11011.681443762118</v>
      </c>
      <c r="TN28" s="2">
        <f t="shared" si="64"/>
        <v>19821.026598771808</v>
      </c>
      <c r="TO28" s="2">
        <f t="shared" si="64"/>
        <v>4624.1111391278318</v>
      </c>
      <c r="TP28" s="2">
        <f t="shared" si="64"/>
        <v>5548.9333669533989</v>
      </c>
      <c r="TQ28" s="2">
        <f t="shared" si="64"/>
        <v>4624.1111391278318</v>
      </c>
      <c r="TR28" s="2">
        <f t="shared" si="64"/>
        <v>8323.4000504300966</v>
      </c>
      <c r="TS28" s="2">
        <f>SUM(SY28:TR28)</f>
        <v>123550.97844439573</v>
      </c>
    </row>
    <row r="29" spans="1:539">
      <c r="E29" s="182"/>
      <c r="F29" s="182"/>
      <c r="G29" s="182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SY29" s="93">
        <f>+SY28/INDEX(Tabla2[TC],MATCH(SY5,Tabla2[Mes],0))</f>
        <v>3.8002119901381284</v>
      </c>
      <c r="SZ29" s="93">
        <f>+SZ28/INDEX(Tabla2[TC],MATCH(SZ5,Tabla2[Mes],0))</f>
        <v>4.5151033546195576</v>
      </c>
      <c r="TA29" s="93">
        <f>+TA28/INDEX(Tabla2[TC],MATCH(TA5,Tabla2[Mes],0))</f>
        <v>3.7253328008412199</v>
      </c>
      <c r="TB29" s="93">
        <f>+TB28/INDEX(Tabla2[TC],MATCH(TB5,Tabla2[Mes],0))</f>
        <v>6.573472249303201</v>
      </c>
      <c r="TC29" s="93">
        <f>+TC28/INDEX(Tabla2[TC],MATCH(TC5,Tabla2[Mes],0))</f>
        <v>2.320223831060106</v>
      </c>
      <c r="TD29" s="93">
        <f>+TD28/INDEX(Tabla2[TC],MATCH(TD5,Tabla2[Mes],0))</f>
        <v>2.7567015814575515</v>
      </c>
      <c r="TE29" s="93">
        <f>+TE28/INDEX(Tabla2[TC],MATCH(TE5,Tabla2[Mes],0))</f>
        <v>2.2745062553280131</v>
      </c>
      <c r="TF29" s="93">
        <f>+TF28/INDEX(Tabla2[TC],MATCH(TF5,Tabla2[Mes],0))</f>
        <v>4.0134410936088836</v>
      </c>
      <c r="TG29" s="93">
        <f>+TG28/INDEX(Tabla2[TC],MATCH(TG5,Tabla2[Mes],0))</f>
        <v>1.5405962913668312</v>
      </c>
      <c r="TH29" s="93">
        <f>+TH28/INDEX(Tabla2[TC],MATCH(TH5,Tabla2[Mes],0))</f>
        <v>1.8304114352873242</v>
      </c>
      <c r="TI29" s="93">
        <f>+TI28/INDEX(Tabla2[TC],MATCH(TI5,Tabla2[Mes],0))</f>
        <v>1.5102404581578583</v>
      </c>
      <c r="TJ29" s="93">
        <f>+TJ28/INDEX(Tabla2[TC],MATCH(TJ5,Tabla2[Mes],0))</f>
        <v>2.6648689586159637</v>
      </c>
      <c r="TK29" s="93">
        <f>+TK28/INDEX(Tabla2[TC],MATCH(TK5,Tabla2[Mes],0))</f>
        <v>9.2965723661007971</v>
      </c>
      <c r="TL29" s="93">
        <f>+TL28/INDEX(Tabla2[TC],MATCH(TL5,Tabla2[Mes],0))</f>
        <v>11.045432514179165</v>
      </c>
      <c r="TM29" s="93">
        <f>+TM28/INDEX(Tabla2[TC],MATCH(TM5,Tabla2[Mes],0))</f>
        <v>9.1133931635141625</v>
      </c>
      <c r="TN29" s="93">
        <f>+TN28/INDEX(Tabla2[TC],MATCH(TN5,Tabla2[Mes],0))</f>
        <v>16.080881966792955</v>
      </c>
      <c r="TO29" s="93">
        <f>+TO28/INDEX(Tabla2[TC],MATCH(TO5,Tabla2[Mes],0))</f>
        <v>3.9038891611005222</v>
      </c>
      <c r="TP29" s="93">
        <f>+TP28/INDEX(Tabla2[TC],MATCH(TP5,Tabla2[Mes],0))</f>
        <v>4.6382841518026012</v>
      </c>
      <c r="TQ29" s="93">
        <f>+TQ28/INDEX(Tabla2[TC],MATCH(TQ5,Tabla2[Mes],0))</f>
        <v>3.8269671219493406</v>
      </c>
      <c r="TR29" s="93">
        <f>+TR28/INDEX(Tabla2[TC],MATCH(TR5,Tabla2[Mes],0))</f>
        <v>6.7528093515428029</v>
      </c>
      <c r="TS29" s="2">
        <f>SUM(SY29:TR29)</f>
        <v>102.183340096767</v>
      </c>
    </row>
  </sheetData>
  <mergeCells count="169">
    <mergeCell ref="AB29:AE29"/>
    <mergeCell ref="SY4:TB4"/>
    <mergeCell ref="TC4:TF4"/>
    <mergeCell ref="TG4:TJ4"/>
    <mergeCell ref="TK4:TN4"/>
    <mergeCell ref="TO4:TR4"/>
    <mergeCell ref="T3:W3"/>
    <mergeCell ref="X3:AA3"/>
    <mergeCell ref="A6:A7"/>
    <mergeCell ref="A8:A13"/>
    <mergeCell ref="A14:A15"/>
    <mergeCell ref="A20:A21"/>
    <mergeCell ref="A22:A27"/>
    <mergeCell ref="A16:A19"/>
    <mergeCell ref="E29:G29"/>
    <mergeCell ref="H29:K29"/>
    <mergeCell ref="L29:O29"/>
    <mergeCell ref="P29:S29"/>
    <mergeCell ref="T29:W29"/>
    <mergeCell ref="X29:AA29"/>
    <mergeCell ref="A1:C5"/>
    <mergeCell ref="F2:AE2"/>
    <mergeCell ref="AH2:BG2"/>
    <mergeCell ref="BJ2:CI2"/>
    <mergeCell ref="EQ2:FP2"/>
    <mergeCell ref="EP3:ER3"/>
    <mergeCell ref="ES3:EV3"/>
    <mergeCell ref="EW3:EZ3"/>
    <mergeCell ref="FA3:FD3"/>
    <mergeCell ref="FE3:FH3"/>
    <mergeCell ref="FI3:FL3"/>
    <mergeCell ref="FM3:FP3"/>
    <mergeCell ref="CL2:DK2"/>
    <mergeCell ref="DN2:EM2"/>
    <mergeCell ref="DM3:DO3"/>
    <mergeCell ref="DP3:DS3"/>
    <mergeCell ref="DT3:DW3"/>
    <mergeCell ref="DX3:EA3"/>
    <mergeCell ref="EB3:EE3"/>
    <mergeCell ref="EF3:EI3"/>
    <mergeCell ref="EJ3:EM3"/>
    <mergeCell ref="CK3:CM3"/>
    <mergeCell ref="CN3:CQ3"/>
    <mergeCell ref="CR3:CU3"/>
    <mergeCell ref="CV3:CY3"/>
    <mergeCell ref="CZ3:DC3"/>
    <mergeCell ref="DD3:DG3"/>
    <mergeCell ref="DH3:DK3"/>
    <mergeCell ref="E1:EM1"/>
    <mergeCell ref="BX3:CA3"/>
    <mergeCell ref="CB3:CE3"/>
    <mergeCell ref="CF3:CI3"/>
    <mergeCell ref="AG3:AI3"/>
    <mergeCell ref="AJ3:AM3"/>
    <mergeCell ref="AN3:AQ3"/>
    <mergeCell ref="AR3:AU3"/>
    <mergeCell ref="AV3:AY3"/>
    <mergeCell ref="AZ3:BC3"/>
    <mergeCell ref="BD3:BG3"/>
    <mergeCell ref="AB3:AE3"/>
    <mergeCell ref="E3:G3"/>
    <mergeCell ref="H3:K3"/>
    <mergeCell ref="L3:O3"/>
    <mergeCell ref="P3:S3"/>
    <mergeCell ref="BI3:BK3"/>
    <mergeCell ref="BL3:BO3"/>
    <mergeCell ref="BP3:BS3"/>
    <mergeCell ref="BT3:BW3"/>
    <mergeCell ref="HM3:HP3"/>
    <mergeCell ref="HQ3:HT3"/>
    <mergeCell ref="FS2:GR2"/>
    <mergeCell ref="FR3:FT3"/>
    <mergeCell ref="FU3:FX3"/>
    <mergeCell ref="FY3:GB3"/>
    <mergeCell ref="GC3:GF3"/>
    <mergeCell ref="GG3:GJ3"/>
    <mergeCell ref="GK3:GN3"/>
    <mergeCell ref="GO3:GR3"/>
    <mergeCell ref="IZ2:JY2"/>
    <mergeCell ref="IY3:JA3"/>
    <mergeCell ref="JB3:JE3"/>
    <mergeCell ref="JF3:JI3"/>
    <mergeCell ref="JJ3:JM3"/>
    <mergeCell ref="JN3:JQ3"/>
    <mergeCell ref="JR3:JU3"/>
    <mergeCell ref="JV3:JY3"/>
    <mergeCell ref="EP1:HU1"/>
    <mergeCell ref="HX2:IW2"/>
    <mergeCell ref="HW3:HY3"/>
    <mergeCell ref="HZ3:IC3"/>
    <mergeCell ref="ID3:IG3"/>
    <mergeCell ref="IH3:IK3"/>
    <mergeCell ref="IL3:IO3"/>
    <mergeCell ref="IP3:IS3"/>
    <mergeCell ref="IT3:IW3"/>
    <mergeCell ref="HW1:LA1"/>
    <mergeCell ref="GU2:HT2"/>
    <mergeCell ref="GT3:GV3"/>
    <mergeCell ref="GW3:GZ3"/>
    <mergeCell ref="HA3:HD3"/>
    <mergeCell ref="HE3:HH3"/>
    <mergeCell ref="HI3:HL3"/>
    <mergeCell ref="LE2:MD2"/>
    <mergeCell ref="LD3:LF3"/>
    <mergeCell ref="LG3:LJ3"/>
    <mergeCell ref="LK3:LN3"/>
    <mergeCell ref="LO3:LR3"/>
    <mergeCell ref="LS3:LV3"/>
    <mergeCell ref="LW3:LZ3"/>
    <mergeCell ref="MA3:MD3"/>
    <mergeCell ref="KB2:LA2"/>
    <mergeCell ref="KA3:KC3"/>
    <mergeCell ref="KD3:KG3"/>
    <mergeCell ref="KH3:KK3"/>
    <mergeCell ref="KL3:KO3"/>
    <mergeCell ref="KP3:KS3"/>
    <mergeCell ref="KT3:KW3"/>
    <mergeCell ref="KX3:LA3"/>
    <mergeCell ref="NI2:OH2"/>
    <mergeCell ref="NH3:NJ3"/>
    <mergeCell ref="NK3:NN3"/>
    <mergeCell ref="NO3:NR3"/>
    <mergeCell ref="NS3:NV3"/>
    <mergeCell ref="NW3:NZ3"/>
    <mergeCell ref="OA3:OD3"/>
    <mergeCell ref="OE3:OH3"/>
    <mergeCell ref="MG2:NF2"/>
    <mergeCell ref="MF3:MH3"/>
    <mergeCell ref="MI3:ML3"/>
    <mergeCell ref="MM3:MP3"/>
    <mergeCell ref="MQ3:MT3"/>
    <mergeCell ref="MU3:MX3"/>
    <mergeCell ref="MY3:NB3"/>
    <mergeCell ref="NC3:NF3"/>
    <mergeCell ref="QA3:QD3"/>
    <mergeCell ref="QE3:QH3"/>
    <mergeCell ref="QI3:QL3"/>
    <mergeCell ref="OK2:PJ2"/>
    <mergeCell ref="OJ3:OL3"/>
    <mergeCell ref="OM3:OP3"/>
    <mergeCell ref="OQ3:OT3"/>
    <mergeCell ref="OU3:OX3"/>
    <mergeCell ref="OY3:PB3"/>
    <mergeCell ref="PC3:PF3"/>
    <mergeCell ref="PG3:PJ3"/>
    <mergeCell ref="D1:D5"/>
    <mergeCell ref="LD1:SQ1"/>
    <mergeCell ref="SS2:SS5"/>
    <mergeCell ref="RQ2:SP2"/>
    <mergeCell ref="RP3:RR3"/>
    <mergeCell ref="RS3:RV3"/>
    <mergeCell ref="RW3:RZ3"/>
    <mergeCell ref="SA3:SD3"/>
    <mergeCell ref="SE3:SH3"/>
    <mergeCell ref="SI3:SL3"/>
    <mergeCell ref="SM3:SP3"/>
    <mergeCell ref="QO2:RN2"/>
    <mergeCell ref="QN3:QP3"/>
    <mergeCell ref="QQ3:QT3"/>
    <mergeCell ref="QU3:QX3"/>
    <mergeCell ref="QY3:RB3"/>
    <mergeCell ref="RC3:RF3"/>
    <mergeCell ref="RG3:RJ3"/>
    <mergeCell ref="RK3:RN3"/>
    <mergeCell ref="PM2:QL2"/>
    <mergeCell ref="PL3:PN3"/>
    <mergeCell ref="PO3:PR3"/>
    <mergeCell ref="PS3:PV3"/>
    <mergeCell ref="PW3:PZ3"/>
  </mergeCells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E27"/>
  <sheetViews>
    <sheetView workbookViewId="0">
      <selection activeCell="F22" sqref="F22"/>
    </sheetView>
  </sheetViews>
  <sheetFormatPr baseColWidth="10" defaultRowHeight="15"/>
  <cols>
    <col min="5" max="5" width="14.42578125" bestFit="1" customWidth="1"/>
    <col min="6" max="6" width="19.7109375" bestFit="1" customWidth="1"/>
    <col min="8" max="8" width="13.42578125" bestFit="1" customWidth="1"/>
    <col min="9" max="9" width="13.42578125" customWidth="1"/>
    <col min="10" max="10" width="20.42578125" bestFit="1" customWidth="1"/>
    <col min="11" max="16" width="20.42578125" customWidth="1"/>
    <col min="17" max="17" width="5" customWidth="1"/>
    <col min="18" max="18" width="32.42578125" bestFit="1" customWidth="1"/>
    <col min="19" max="19" width="14" customWidth="1"/>
    <col min="20" max="20" width="14.7109375" customWidth="1"/>
    <col min="21" max="21" width="13.85546875" customWidth="1"/>
    <col min="22" max="22" width="15.28515625" bestFit="1" customWidth="1"/>
    <col min="23" max="23" width="13.28515625" bestFit="1" customWidth="1"/>
    <col min="24" max="24" width="34.42578125" bestFit="1" customWidth="1"/>
    <col min="26" max="26" width="19.28515625" bestFit="1" customWidth="1"/>
    <col min="28" max="28" width="12.42578125" bestFit="1" customWidth="1"/>
  </cols>
  <sheetData>
    <row r="1" spans="1:29">
      <c r="A1" t="s">
        <v>85</v>
      </c>
      <c r="B1" t="s">
        <v>86</v>
      </c>
      <c r="C1" t="s">
        <v>87</v>
      </c>
      <c r="D1" t="s">
        <v>100</v>
      </c>
      <c r="E1" t="s">
        <v>101</v>
      </c>
      <c r="F1" t="s">
        <v>102</v>
      </c>
      <c r="G1" t="s">
        <v>84</v>
      </c>
      <c r="H1" t="s">
        <v>247</v>
      </c>
      <c r="I1" t="s">
        <v>383</v>
      </c>
      <c r="J1" t="s">
        <v>384</v>
      </c>
      <c r="K1" t="s">
        <v>388</v>
      </c>
      <c r="L1" t="s">
        <v>432</v>
      </c>
      <c r="M1" t="s">
        <v>433</v>
      </c>
      <c r="N1" t="s">
        <v>375</v>
      </c>
      <c r="O1" t="s">
        <v>474</v>
      </c>
      <c r="R1" t="s">
        <v>207</v>
      </c>
      <c r="S1" t="s">
        <v>208</v>
      </c>
      <c r="T1" t="s">
        <v>209</v>
      </c>
      <c r="U1" t="s">
        <v>245</v>
      </c>
      <c r="V1" t="s">
        <v>246</v>
      </c>
      <c r="W1" t="s">
        <v>210</v>
      </c>
      <c r="X1" t="s">
        <v>211</v>
      </c>
      <c r="Y1" t="s">
        <v>312</v>
      </c>
      <c r="Z1" t="s">
        <v>251</v>
      </c>
      <c r="AA1" t="s">
        <v>320</v>
      </c>
      <c r="AB1" t="s">
        <v>378</v>
      </c>
      <c r="AC1" t="s">
        <v>375</v>
      </c>
    </row>
    <row r="2" spans="1:29">
      <c r="A2" t="s">
        <v>88</v>
      </c>
      <c r="B2">
        <v>2025</v>
      </c>
      <c r="C2" s="16">
        <v>1127</v>
      </c>
      <c r="D2" s="20">
        <v>1.0167999999999999</v>
      </c>
      <c r="E2" s="19">
        <f>19000*Tabla2[[#This Row],[Paritaria]]</f>
        <v>19319.199999999997</v>
      </c>
      <c r="F2" s="20">
        <v>1.3247</v>
      </c>
      <c r="G2" s="126">
        <f>1.025*Tabla2[[#This Row],[TC]]</f>
        <v>1155.175</v>
      </c>
      <c r="H2" s="126">
        <f>5.65*Tabla2[[#This Row],[TC]]</f>
        <v>6367.55</v>
      </c>
      <c r="I2" s="19"/>
      <c r="J2" s="19"/>
      <c r="K2" s="19"/>
      <c r="L2" s="127">
        <v>1.042</v>
      </c>
      <c r="M2" s="126">
        <f>+Tabla2[[#This Row],[Inf 24-25]]</f>
        <v>1.042</v>
      </c>
      <c r="N2" s="19">
        <v>948.2</v>
      </c>
      <c r="O2" s="19"/>
      <c r="P2" s="19"/>
      <c r="Q2" s="19"/>
      <c r="R2" t="s">
        <v>234</v>
      </c>
      <c r="S2" s="70">
        <v>247500</v>
      </c>
      <c r="T2" t="s">
        <v>212</v>
      </c>
      <c r="U2" s="69">
        <f>+S2/40</f>
        <v>6187.5</v>
      </c>
      <c r="V2" s="68">
        <f>+U2/1190</f>
        <v>5.1995798319327733</v>
      </c>
      <c r="W2" t="s">
        <v>213</v>
      </c>
      <c r="X2" t="s">
        <v>214</v>
      </c>
      <c r="Y2" s="2">
        <v>7720</v>
      </c>
      <c r="Z2" s="71" t="s">
        <v>295</v>
      </c>
      <c r="AA2">
        <v>2.2959999999999998</v>
      </c>
      <c r="AB2">
        <v>2.2959999999999998</v>
      </c>
      <c r="AC2">
        <f>+IF(Productos[[#This Row],[Cotización]]="",Productos[[#This Row],[U$D]],Productos[[#This Row],[Cotización]])</f>
        <v>2.2959999999999998</v>
      </c>
    </row>
    <row r="3" spans="1:29">
      <c r="A3" t="s">
        <v>89</v>
      </c>
      <c r="B3">
        <v>2025</v>
      </c>
      <c r="C3" s="16">
        <f>+C2*1.01</f>
        <v>1138.27</v>
      </c>
      <c r="D3" s="20">
        <v>1.034</v>
      </c>
      <c r="E3" s="19">
        <f>19000*Tabla2[[#This Row],[Paritaria]]</f>
        <v>19646</v>
      </c>
      <c r="F3" s="20">
        <v>1.3484900000000002</v>
      </c>
      <c r="G3" s="126">
        <f>1.025*Tabla2[[#This Row],[TC]]</f>
        <v>1166.7267499999998</v>
      </c>
      <c r="H3" s="126">
        <f>5.65*Tabla2[[#This Row],[TC]]</f>
        <v>6431.2255000000005</v>
      </c>
      <c r="I3" s="19"/>
      <c r="J3" s="19"/>
      <c r="K3" s="19"/>
      <c r="L3" s="127">
        <v>1.046</v>
      </c>
      <c r="M3" s="126">
        <f>+M2*Tabla2[[#This Row],[Inf 24-25]]</f>
        <v>1.0899320000000001</v>
      </c>
      <c r="N3" s="19">
        <v>976.65</v>
      </c>
      <c r="O3" s="19"/>
      <c r="P3" s="19"/>
      <c r="Q3" s="19"/>
      <c r="R3" t="s">
        <v>235</v>
      </c>
      <c r="S3" s="70">
        <v>86600</v>
      </c>
      <c r="T3" t="s">
        <v>215</v>
      </c>
      <c r="U3" s="69">
        <f>+S3/25</f>
        <v>3464</v>
      </c>
      <c r="V3" s="68">
        <f t="shared" ref="V3:V13" si="0">+U3/1190</f>
        <v>2.910924369747899</v>
      </c>
      <c r="W3" t="s">
        <v>216</v>
      </c>
      <c r="X3" t="s">
        <v>217</v>
      </c>
      <c r="Y3" s="2">
        <v>10171</v>
      </c>
      <c r="Z3" s="71" t="s">
        <v>191</v>
      </c>
      <c r="AA3">
        <v>1.99</v>
      </c>
      <c r="AB3">
        <v>1.99</v>
      </c>
      <c r="AC3">
        <f>+IF(Productos[[#This Row],[Cotización]]="",Productos[[#This Row],[U$D]],Productos[[#This Row],[Cotización]])</f>
        <v>1.99</v>
      </c>
    </row>
    <row r="4" spans="1:29">
      <c r="A4" t="s">
        <v>90</v>
      </c>
      <c r="B4">
        <v>2025</v>
      </c>
      <c r="C4" s="16">
        <f t="shared" ref="C4:C13" si="1">+C3*1.01</f>
        <v>1149.6527000000001</v>
      </c>
      <c r="D4" s="20">
        <v>1.0513999999999999</v>
      </c>
      <c r="E4" s="19">
        <f>19000*Tabla2[[#This Row],[Paritaria]]</f>
        <v>19976.599999999999</v>
      </c>
      <c r="F4" s="20">
        <v>1.37202</v>
      </c>
      <c r="G4" s="126">
        <f>1.025*Tabla2[[#This Row],[TC]]</f>
        <v>1178.3940175</v>
      </c>
      <c r="H4" s="126">
        <f>5.65*Tabla2[[#This Row],[TC]]</f>
        <v>6495.5377550000012</v>
      </c>
      <c r="I4" s="19"/>
      <c r="J4" s="19"/>
      <c r="K4" s="19"/>
      <c r="L4" s="127">
        <v>1.04</v>
      </c>
      <c r="M4" s="126">
        <f>+M3*Tabla2[[#This Row],[Inf 24-25]]</f>
        <v>1.1335292800000001</v>
      </c>
      <c r="N4" s="19">
        <v>1005</v>
      </c>
      <c r="O4" s="19"/>
      <c r="P4" s="19"/>
      <c r="Q4" s="19"/>
      <c r="R4" t="s">
        <v>236</v>
      </c>
      <c r="S4" s="70">
        <v>87774</v>
      </c>
      <c r="T4" t="s">
        <v>215</v>
      </c>
      <c r="U4" s="69">
        <f>+S4/25</f>
        <v>3510.96</v>
      </c>
      <c r="V4" s="68">
        <f t="shared" si="0"/>
        <v>2.9503865546218488</v>
      </c>
      <c r="W4" t="s">
        <v>218</v>
      </c>
      <c r="X4" t="s">
        <v>217</v>
      </c>
      <c r="Y4" s="2">
        <f>95235/25</f>
        <v>3809.4</v>
      </c>
      <c r="Z4" s="71" t="s">
        <v>302</v>
      </c>
      <c r="AA4">
        <v>1.1000000000000001</v>
      </c>
      <c r="AB4">
        <v>1.1000000000000001</v>
      </c>
      <c r="AC4">
        <f>+IF(Productos[[#This Row],[Cotización]]="",Productos[[#This Row],[U$D]],Productos[[#This Row],[Cotización]])</f>
        <v>1.1000000000000001</v>
      </c>
    </row>
    <row r="5" spans="1:29">
      <c r="A5" t="s">
        <v>91</v>
      </c>
      <c r="B5">
        <v>2025</v>
      </c>
      <c r="C5" s="16">
        <f t="shared" si="1"/>
        <v>1161.1492270000001</v>
      </c>
      <c r="D5" s="20">
        <v>1.0690999999999999</v>
      </c>
      <c r="E5" s="19">
        <f>19000*Tabla2[[#This Row],[Paritaria]]</f>
        <v>20312.899999999998</v>
      </c>
      <c r="F5" s="20">
        <v>1.3959400000000002</v>
      </c>
      <c r="G5" s="126">
        <f>1.025*Tabla2[[#This Row],[TC]]</f>
        <v>1190.177957675</v>
      </c>
      <c r="H5" s="126">
        <f>5.65*Tabla2[[#This Row],[TC]]</f>
        <v>6560.4931325500011</v>
      </c>
      <c r="I5" s="19"/>
      <c r="J5" s="19"/>
      <c r="K5" s="19"/>
      <c r="L5" s="127">
        <v>1.042</v>
      </c>
      <c r="M5" s="126">
        <f>+M4*Tabla2[[#This Row],[Inf 24-25]]</f>
        <v>1.1811375097600001</v>
      </c>
      <c r="N5" s="19">
        <v>1025.48</v>
      </c>
      <c r="O5" s="19"/>
      <c r="P5" s="19"/>
      <c r="Q5" s="19"/>
      <c r="R5" t="s">
        <v>237</v>
      </c>
      <c r="S5" s="70">
        <v>102707</v>
      </c>
      <c r="T5" t="s">
        <v>215</v>
      </c>
      <c r="U5" s="69">
        <f>+S5/25</f>
        <v>4108.28</v>
      </c>
      <c r="V5" s="68">
        <f t="shared" si="0"/>
        <v>3.4523361344537813</v>
      </c>
      <c r="W5" t="s">
        <v>218</v>
      </c>
      <c r="X5" t="s">
        <v>217</v>
      </c>
      <c r="Y5" s="2">
        <f>102707/25</f>
        <v>4108.28</v>
      </c>
      <c r="Z5" s="71" t="s">
        <v>198</v>
      </c>
      <c r="AA5">
        <v>1.2649999999999999</v>
      </c>
      <c r="AB5">
        <v>1.2649999999999999</v>
      </c>
      <c r="AC5">
        <f>+IF(Productos[[#This Row],[Cotización]]="",Productos[[#This Row],[U$D]],Productos[[#This Row],[Cotización]])</f>
        <v>1.2649999999999999</v>
      </c>
    </row>
    <row r="6" spans="1:29">
      <c r="A6" t="s">
        <v>92</v>
      </c>
      <c r="B6">
        <v>2025</v>
      </c>
      <c r="C6" s="16">
        <f t="shared" si="1"/>
        <v>1172.7607192700002</v>
      </c>
      <c r="D6" s="20">
        <v>1.0871</v>
      </c>
      <c r="E6" s="19">
        <f>19000*Tabla2[[#This Row],[Paritaria]]</f>
        <v>20654.899999999998</v>
      </c>
      <c r="F6" s="20">
        <v>1.42025</v>
      </c>
      <c r="G6" s="126">
        <f>1.025*Tabla2[[#This Row],[TC]]</f>
        <v>1202.0797372517502</v>
      </c>
      <c r="H6" s="126">
        <f>5.65*Tabla2[[#This Row],[TC]]</f>
        <v>6626.0980638755018</v>
      </c>
      <c r="I6" s="19"/>
      <c r="J6" s="19"/>
      <c r="K6" s="19"/>
      <c r="L6" s="127">
        <v>1.0349999999999999</v>
      </c>
      <c r="M6" s="126">
        <f>+M5*Tabla2[[#This Row],[Inf 24-25]]</f>
        <v>1.2224773226015999</v>
      </c>
      <c r="N6" s="19">
        <v>1062.04</v>
      </c>
      <c r="O6" s="19"/>
      <c r="P6" s="19"/>
      <c r="Q6" s="19"/>
      <c r="R6" t="s">
        <v>219</v>
      </c>
      <c r="S6" s="70">
        <v>78484</v>
      </c>
      <c r="T6" t="s">
        <v>215</v>
      </c>
      <c r="U6" s="69">
        <f>+S6/25</f>
        <v>3139.36</v>
      </c>
      <c r="V6" s="68">
        <f t="shared" si="0"/>
        <v>2.6381176470588237</v>
      </c>
      <c r="W6" t="s">
        <v>220</v>
      </c>
      <c r="X6" t="s">
        <v>221</v>
      </c>
      <c r="Y6" s="2">
        <f>59107/25</f>
        <v>2364.2800000000002</v>
      </c>
      <c r="Z6" s="71" t="s">
        <v>199</v>
      </c>
      <c r="AA6">
        <v>0.66800000000000004</v>
      </c>
      <c r="AB6">
        <v>0.66800000000000004</v>
      </c>
      <c r="AC6">
        <f>+IF(Productos[[#This Row],[Cotización]]="",Productos[[#This Row],[U$D]],Productos[[#This Row],[Cotización]])</f>
        <v>0.66800000000000004</v>
      </c>
    </row>
    <row r="7" spans="1:29">
      <c r="A7" t="s">
        <v>93</v>
      </c>
      <c r="B7">
        <v>2025</v>
      </c>
      <c r="C7" s="16">
        <f t="shared" si="1"/>
        <v>1184.4883264627001</v>
      </c>
      <c r="D7" s="20">
        <v>1.1053999999999999</v>
      </c>
      <c r="E7" s="19">
        <f>19000*Tabla2[[#This Row],[Paritaria]]</f>
        <v>21002.6</v>
      </c>
      <c r="F7" s="20">
        <v>1.4450799999999999</v>
      </c>
      <c r="G7" s="126">
        <f>1.025*Tabla2[[#This Row],[TC]]</f>
        <v>1214.1005346242675</v>
      </c>
      <c r="H7" s="126">
        <f>5.65*Tabla2[[#This Row],[TC]]</f>
        <v>6692.3590445142563</v>
      </c>
      <c r="I7" s="19"/>
      <c r="J7" s="19"/>
      <c r="K7" s="19"/>
      <c r="L7" s="127">
        <v>1.0269999999999999</v>
      </c>
      <c r="M7" s="126">
        <f>+M6*Tabla2[[#This Row],[Inf 24-25]]</f>
        <v>1.2554842103118431</v>
      </c>
      <c r="N7" s="19">
        <v>1068.58</v>
      </c>
      <c r="O7" s="19"/>
      <c r="P7" s="19"/>
      <c r="Q7" s="19"/>
      <c r="R7" t="s">
        <v>238</v>
      </c>
      <c r="S7" s="70">
        <v>5669</v>
      </c>
      <c r="T7" t="s">
        <v>222</v>
      </c>
      <c r="U7" s="69">
        <f>+S7/100*1000</f>
        <v>56690</v>
      </c>
      <c r="V7" s="68">
        <f t="shared" si="0"/>
        <v>47.638655462184872</v>
      </c>
      <c r="W7" t="s">
        <v>223</v>
      </c>
      <c r="X7" t="s">
        <v>217</v>
      </c>
      <c r="Y7" s="2">
        <f>103625/5</f>
        <v>20725</v>
      </c>
      <c r="Z7" s="71" t="s">
        <v>200</v>
      </c>
      <c r="AA7">
        <v>2.25</v>
      </c>
      <c r="AB7">
        <v>2.25</v>
      </c>
      <c r="AC7">
        <f>+IF(Productos[[#This Row],[Cotización]]="",Productos[[#This Row],[U$D]],Productos[[#This Row],[Cotización]])</f>
        <v>2.25</v>
      </c>
    </row>
    <row r="8" spans="1:29">
      <c r="A8" t="s">
        <v>94</v>
      </c>
      <c r="B8">
        <v>2025</v>
      </c>
      <c r="C8" s="16">
        <f t="shared" si="1"/>
        <v>1196.3332097273271</v>
      </c>
      <c r="D8" s="20">
        <v>1.1241000000000001</v>
      </c>
      <c r="E8" s="19">
        <f>19000*Tabla2[[#This Row],[Paritaria]]</f>
        <v>21357.9</v>
      </c>
      <c r="F8" s="20">
        <v>1.4703000000000002</v>
      </c>
      <c r="G8" s="126">
        <f>1.025*Tabla2[[#This Row],[TC]]</f>
        <v>1226.2415399705103</v>
      </c>
      <c r="H8" s="126">
        <f>5.65*Tabla2[[#This Row],[TC]]</f>
        <v>6759.2826349593988</v>
      </c>
      <c r="I8" s="19"/>
      <c r="J8" s="19"/>
      <c r="K8" s="19"/>
      <c r="L8" s="127">
        <v>1.024</v>
      </c>
      <c r="M8" s="126">
        <f>+M7*Tabla2[[#This Row],[Inf 24-25]]</f>
        <v>1.2856158313593273</v>
      </c>
      <c r="N8" s="19">
        <v>1074</v>
      </c>
      <c r="O8" s="19"/>
      <c r="P8" s="19"/>
      <c r="Q8" s="19"/>
      <c r="R8" t="s">
        <v>239</v>
      </c>
      <c r="S8" s="70">
        <v>216350</v>
      </c>
      <c r="T8" t="s">
        <v>215</v>
      </c>
      <c r="U8" s="69">
        <f>+S8/25</f>
        <v>8654</v>
      </c>
      <c r="V8" s="68">
        <f t="shared" si="0"/>
        <v>7.2722689075630251</v>
      </c>
      <c r="W8" t="s">
        <v>224</v>
      </c>
      <c r="X8" t="s">
        <v>221</v>
      </c>
      <c r="Y8" s="2">
        <f>240124/25</f>
        <v>9604.9599999999991</v>
      </c>
      <c r="Z8" s="71" t="s">
        <v>294</v>
      </c>
      <c r="AA8" s="48">
        <v>2.8</v>
      </c>
      <c r="AC8">
        <f>+IF(Productos[[#This Row],[Cotización]]="",Productos[[#This Row],[U$D]],Productos[[#This Row],[Cotización]])</f>
        <v>2.8</v>
      </c>
    </row>
    <row r="9" spans="1:29">
      <c r="A9" t="s">
        <v>95</v>
      </c>
      <c r="B9">
        <v>2025</v>
      </c>
      <c r="C9" s="16">
        <f t="shared" si="1"/>
        <v>1208.2965418246004</v>
      </c>
      <c r="D9" s="20">
        <v>1.143</v>
      </c>
      <c r="E9" s="19">
        <f>19000*Tabla2[[#This Row],[Paritaria]]</f>
        <v>21717</v>
      </c>
      <c r="F9" s="20">
        <v>1.4959100000000001</v>
      </c>
      <c r="G9" s="126">
        <f>1.025*Tabla2[[#This Row],[TC]]</f>
        <v>1238.5039553702152</v>
      </c>
      <c r="H9" s="126">
        <f>5.65*Tabla2[[#This Row],[TC]]</f>
        <v>6826.8754613089923</v>
      </c>
      <c r="I9" s="19"/>
      <c r="J9" s="19"/>
      <c r="K9" s="19"/>
      <c r="L9" s="127">
        <v>1.0269999999999999</v>
      </c>
      <c r="M9" s="126">
        <f>+M8*Tabla2[[#This Row],[Inf 24-25]]</f>
        <v>1.320327458806029</v>
      </c>
      <c r="N9" s="19">
        <v>1082</v>
      </c>
      <c r="O9" s="19"/>
      <c r="P9" s="19"/>
      <c r="Q9" s="19"/>
      <c r="R9" t="s">
        <v>240</v>
      </c>
      <c r="S9" s="70">
        <v>5669</v>
      </c>
      <c r="T9" t="s">
        <v>222</v>
      </c>
      <c r="U9" s="69">
        <f>+S9/100*1000</f>
        <v>56690</v>
      </c>
      <c r="V9" s="68">
        <f t="shared" si="0"/>
        <v>47.638655462184872</v>
      </c>
      <c r="W9" t="s">
        <v>223</v>
      </c>
      <c r="X9" t="s">
        <v>217</v>
      </c>
      <c r="Y9" s="2">
        <f>556412/25</f>
        <v>22256.48</v>
      </c>
      <c r="Z9" s="71" t="s">
        <v>196</v>
      </c>
      <c r="AA9">
        <v>8.58</v>
      </c>
      <c r="AB9">
        <v>8.58</v>
      </c>
      <c r="AC9">
        <f>+IF(Productos[[#This Row],[Cotización]]="",Productos[[#This Row],[U$D]],Productos[[#This Row],[Cotización]])</f>
        <v>8.58</v>
      </c>
    </row>
    <row r="10" spans="1:29">
      <c r="A10" t="s">
        <v>96</v>
      </c>
      <c r="B10">
        <v>2026</v>
      </c>
      <c r="C10" s="16">
        <f t="shared" si="1"/>
        <v>1220.3795072428463</v>
      </c>
      <c r="D10" s="20">
        <v>1.1623000000000001</v>
      </c>
      <c r="E10" s="19">
        <f>19000*Tabla2[[#This Row],[Paritaria]]</f>
        <v>22083.7</v>
      </c>
      <c r="F10" s="20">
        <v>1.5407600000000001</v>
      </c>
      <c r="G10" s="126">
        <f>1.025*Tabla2[[#This Row],[TC]]</f>
        <v>1250.8889949239174</v>
      </c>
      <c r="H10" s="126">
        <f>5.65*Tabla2[[#This Row],[TC]]</f>
        <v>6895.1442159220824</v>
      </c>
      <c r="I10" s="19">
        <f>3750*1.31</f>
        <v>4912.5</v>
      </c>
      <c r="J10" s="19">
        <f>18*1.31</f>
        <v>23.580000000000002</v>
      </c>
      <c r="K10" s="149">
        <f>478*1.31</f>
        <v>626.18000000000006</v>
      </c>
      <c r="L10" s="127">
        <v>1.022</v>
      </c>
      <c r="M10" s="126">
        <f>+M9*Tabla2[[#This Row],[Inf 24-25]]</f>
        <v>1.3493746628997616</v>
      </c>
      <c r="N10" s="19">
        <v>1097</v>
      </c>
      <c r="O10" s="19">
        <f>20*1.31</f>
        <v>26.200000000000003</v>
      </c>
      <c r="P10" s="19"/>
      <c r="Q10" s="19"/>
      <c r="R10" t="s">
        <v>241</v>
      </c>
      <c r="S10" s="70">
        <v>248900</v>
      </c>
      <c r="T10" t="s">
        <v>225</v>
      </c>
      <c r="U10" s="69">
        <f>+S10/20</f>
        <v>12445</v>
      </c>
      <c r="V10" s="68">
        <f t="shared" si="0"/>
        <v>10.457983193277311</v>
      </c>
      <c r="W10" t="s">
        <v>226</v>
      </c>
      <c r="X10" t="s">
        <v>227</v>
      </c>
      <c r="Y10" s="2"/>
      <c r="AA10" s="48">
        <f>+Productos[[#This Row],[$ Pes]]/1106</f>
        <v>0</v>
      </c>
      <c r="AC10">
        <f>+IF(Productos[[#This Row],[Cotización]]="",Productos[[#This Row],[U$D]],Productos[[#This Row],[Cotización]])</f>
        <v>0</v>
      </c>
    </row>
    <row r="11" spans="1:29">
      <c r="A11" t="s">
        <v>97</v>
      </c>
      <c r="B11">
        <v>2026</v>
      </c>
      <c r="C11" s="16">
        <f t="shared" si="1"/>
        <v>1232.5833023152748</v>
      </c>
      <c r="D11" s="20">
        <v>1.1818</v>
      </c>
      <c r="E11" s="19">
        <f>19000*Tabla2[[#This Row],[Paritaria]]</f>
        <v>22454.2</v>
      </c>
      <c r="F11" s="20">
        <v>1.5869099999999998</v>
      </c>
      <c r="G11" s="126">
        <f>1.025*Tabla2[[#This Row],[TC]]</f>
        <v>1263.3978848731565</v>
      </c>
      <c r="H11" s="126">
        <f>5.65*Tabla2[[#This Row],[TC]]</f>
        <v>6964.0956580813026</v>
      </c>
      <c r="I11" s="19">
        <f>+Tabla2[[#This Row],[Índice de inflación]]/F10*I10</f>
        <v>5059.6428872764081</v>
      </c>
      <c r="J11" s="19">
        <f>+Tabla2[[#This Row],[Índice de inflación]]/F10*J10</f>
        <v>24.28628585892676</v>
      </c>
      <c r="K11" s="19">
        <f>+Tabla2[[#This Row],[Índice de inflación]]/F10*K10</f>
        <v>644.93581336483282</v>
      </c>
      <c r="L11" s="127">
        <v>1.024</v>
      </c>
      <c r="M11" s="126">
        <f>+M10*Tabla2[[#This Row],[Inf 24-25]]</f>
        <v>1.3817596548093558</v>
      </c>
      <c r="N11" s="19">
        <v>1106</v>
      </c>
      <c r="O11" s="19">
        <f>+Tabla2[[#This Row],[Índice de inflación]]/F10*O10</f>
        <v>26.984762065474179</v>
      </c>
      <c r="P11" s="19"/>
      <c r="Q11" s="19"/>
      <c r="R11" t="s">
        <v>242</v>
      </c>
      <c r="S11" s="70">
        <v>600</v>
      </c>
      <c r="T11" t="s">
        <v>228</v>
      </c>
      <c r="U11" s="69">
        <f>+S11/1</f>
        <v>600</v>
      </c>
      <c r="V11" s="68">
        <f t="shared" si="0"/>
        <v>0.50420168067226889</v>
      </c>
      <c r="W11" t="s">
        <v>229</v>
      </c>
      <c r="X11" t="s">
        <v>230</v>
      </c>
      <c r="Y11" s="2"/>
      <c r="AA11" s="48">
        <f>+Productos[[#This Row],[$ Pes]]/1106</f>
        <v>0</v>
      </c>
      <c r="AC11">
        <f>+IF(Productos[[#This Row],[Cotización]]="",Productos[[#This Row],[U$D]],Productos[[#This Row],[Cotización]])</f>
        <v>0</v>
      </c>
    </row>
    <row r="12" spans="1:29">
      <c r="A12" t="s">
        <v>98</v>
      </c>
      <c r="B12">
        <v>2026</v>
      </c>
      <c r="C12" s="16">
        <f t="shared" si="1"/>
        <v>1244.9091353384274</v>
      </c>
      <c r="D12" s="20">
        <v>1.2018</v>
      </c>
      <c r="E12" s="19">
        <f>19000*Tabla2[[#This Row],[Paritaria]]</f>
        <v>22834.2</v>
      </c>
      <c r="F12" s="20">
        <v>1.6346200000000002</v>
      </c>
      <c r="G12" s="126">
        <f>1.025*Tabla2[[#This Row],[TC]]</f>
        <v>1276.0318637218879</v>
      </c>
      <c r="H12" s="126">
        <f>5.65*Tabla2[[#This Row],[TC]]</f>
        <v>7033.7366146621152</v>
      </c>
      <c r="I12" s="19">
        <f>+Tabla2[[#This Row],[Índice de inflación]]/F11*I11</f>
        <v>5211.7596186297669</v>
      </c>
      <c r="J12" s="19">
        <f>+Tabla2[[#This Row],[Índice de inflación]]/F11*J11</f>
        <v>25.016446169422881</v>
      </c>
      <c r="K12" s="19">
        <f>+Tabla2[[#This Row],[Índice de inflación]]/F11*K11</f>
        <v>664.32562605467433</v>
      </c>
      <c r="L12" s="127">
        <v>1.0369999999999999</v>
      </c>
      <c r="M12" s="126">
        <f>+M11*Tabla2[[#This Row],[Inf 24-25]]</f>
        <v>1.432884762037302</v>
      </c>
      <c r="N12" s="19">
        <v>1161.6400000000001</v>
      </c>
      <c r="O12" s="19">
        <f>+Tabla2[[#This Row],[Índice de inflación]]/F11*O11</f>
        <v>27.796051299358759</v>
      </c>
      <c r="P12" s="19"/>
      <c r="Q12" s="19"/>
      <c r="R12" t="s">
        <v>243</v>
      </c>
      <c r="S12" s="70">
        <v>2589</v>
      </c>
      <c r="T12" t="s">
        <v>222</v>
      </c>
      <c r="U12" s="69">
        <f>+S12/100*1000</f>
        <v>25890</v>
      </c>
      <c r="V12" s="68">
        <f t="shared" si="0"/>
        <v>21.756302521008404</v>
      </c>
      <c r="W12" t="s">
        <v>231</v>
      </c>
      <c r="X12" t="s">
        <v>232</v>
      </c>
      <c r="Y12" s="2"/>
      <c r="AA12" s="48">
        <f>+Productos[[#This Row],[$ Pes]]/1106</f>
        <v>0</v>
      </c>
      <c r="AC12">
        <f>+IF(Productos[[#This Row],[Cotización]]="",Productos[[#This Row],[U$D]],Productos[[#This Row],[Cotización]])</f>
        <v>0</v>
      </c>
    </row>
    <row r="13" spans="1:29">
      <c r="A13" t="s">
        <v>99</v>
      </c>
      <c r="B13">
        <v>2026</v>
      </c>
      <c r="C13" s="16">
        <f t="shared" si="1"/>
        <v>1257.3582266918118</v>
      </c>
      <c r="D13" s="20">
        <v>1.222</v>
      </c>
      <c r="E13" s="19">
        <f>19000*Tabla2[[#This Row],[Paritaria]]</f>
        <v>23218</v>
      </c>
      <c r="F13" s="20">
        <v>1.68363</v>
      </c>
      <c r="G13" s="126">
        <f>1.025*Tabla2[[#This Row],[TC]]</f>
        <v>1288.7921823591068</v>
      </c>
      <c r="H13" s="126">
        <f>5.65*Tabla2[[#This Row],[TC]]</f>
        <v>7104.0739808087365</v>
      </c>
      <c r="I13" s="19">
        <f>+Tabla2[[#This Row],[Índice de inflación]]/F12*I12</f>
        <v>5368.0212200472488</v>
      </c>
      <c r="J13" s="19">
        <f>+Tabla2[[#This Row],[Índice de inflación]]/F12*J12</f>
        <v>25.766501856226792</v>
      </c>
      <c r="K13" s="19">
        <f>+Tabla2[[#This Row],[Índice de inflación]]/F12*K12</f>
        <v>684.243771515356</v>
      </c>
      <c r="L13" s="127">
        <v>1.028</v>
      </c>
      <c r="M13" s="126">
        <f>+M12*Tabla2[[#This Row],[Inf 24-25]]</f>
        <v>1.4730055353743465</v>
      </c>
      <c r="N13" s="19">
        <v>1170.5</v>
      </c>
      <c r="O13" s="19">
        <f>+Tabla2[[#This Row],[Índice de inflación]]/F12*O12</f>
        <v>28.629446506918661</v>
      </c>
      <c r="P13" s="19"/>
      <c r="Q13" s="19"/>
      <c r="R13" t="s">
        <v>244</v>
      </c>
      <c r="S13" s="70">
        <v>240262</v>
      </c>
      <c r="T13" t="s">
        <v>233</v>
      </c>
      <c r="U13" s="69">
        <f>+S13/1</f>
        <v>240262</v>
      </c>
      <c r="V13" s="68">
        <f t="shared" si="0"/>
        <v>201.90084033613445</v>
      </c>
      <c r="W13" t="s">
        <v>226</v>
      </c>
      <c r="X13" t="s">
        <v>217</v>
      </c>
      <c r="Y13" s="2"/>
      <c r="AA13" s="48">
        <f>+Productos[[#This Row],[$ Pes]]/1106</f>
        <v>0</v>
      </c>
      <c r="AC13">
        <f>+IF(Productos[[#This Row],[Cotización]]="",Productos[[#This Row],[U$D]],Productos[[#This Row],[Cotización]])</f>
        <v>0</v>
      </c>
    </row>
    <row r="14" spans="1:29">
      <c r="R14" t="s">
        <v>313</v>
      </c>
      <c r="S14" s="70"/>
      <c r="U14" s="69"/>
      <c r="V14" s="68">
        <f t="shared" ref="V14:V20" si="2">+U14/1190</f>
        <v>0</v>
      </c>
      <c r="Y14" s="2">
        <v>3000</v>
      </c>
      <c r="Z14" s="71" t="s">
        <v>296</v>
      </c>
      <c r="AA14">
        <v>3.52</v>
      </c>
      <c r="AB14">
        <v>3.52</v>
      </c>
      <c r="AC14">
        <f>+IF(Productos[[#This Row],[Cotización]]="",Productos[[#This Row],[U$D]],Productos[[#This Row],[Cotización]])</f>
        <v>3.52</v>
      </c>
    </row>
    <row r="15" spans="1:29">
      <c r="A15" t="s">
        <v>389</v>
      </c>
      <c r="C15" s="112">
        <f>+C13/C2-1</f>
        <v>0.11566834666531656</v>
      </c>
      <c r="D15" s="112">
        <f>+D13/D2-1</f>
        <v>0.20180959874114879</v>
      </c>
      <c r="E15" s="114">
        <f>+E13/E2-1</f>
        <v>0.20180959874114879</v>
      </c>
      <c r="F15" s="112">
        <f>+F13/F2-1</f>
        <v>0.27095191364082427</v>
      </c>
      <c r="G15" s="112">
        <f>+G13/G2-1</f>
        <v>0.11566834666531634</v>
      </c>
      <c r="I15">
        <v>1.3</v>
      </c>
      <c r="M15" s="112">
        <f>+M13/M2-1</f>
        <v>0.41363295141491974</v>
      </c>
      <c r="N15" s="112">
        <f>+N13/N2-1</f>
        <v>0.23444421008226102</v>
      </c>
      <c r="O15" s="112"/>
      <c r="P15" s="112"/>
      <c r="R15" t="s">
        <v>314</v>
      </c>
      <c r="S15" s="70"/>
      <c r="U15" s="69"/>
      <c r="V15" s="68">
        <f t="shared" si="2"/>
        <v>0</v>
      </c>
      <c r="Y15" s="2">
        <v>73194</v>
      </c>
      <c r="Z15" s="71" t="s">
        <v>192</v>
      </c>
      <c r="AA15" s="48">
        <f>+Productos[[#This Row],[$ Pes]]/1106</f>
        <v>66.179023508137433</v>
      </c>
      <c r="AB15">
        <v>24.2</v>
      </c>
      <c r="AC15">
        <f>+IF(Productos[[#This Row],[Cotización]]="",Productos[[#This Row],[U$D]],Productos[[#This Row],[Cotización]])</f>
        <v>24.2</v>
      </c>
    </row>
    <row r="16" spans="1:29">
      <c r="H16">
        <v>1.0189999999999999</v>
      </c>
      <c r="I16">
        <f>+H16*I15</f>
        <v>1.3247</v>
      </c>
      <c r="L16" s="126"/>
      <c r="R16" t="s">
        <v>315</v>
      </c>
      <c r="S16" s="70"/>
      <c r="T16" t="s">
        <v>316</v>
      </c>
      <c r="U16" s="69"/>
      <c r="V16" s="68">
        <f t="shared" si="2"/>
        <v>0</v>
      </c>
      <c r="Y16" s="2">
        <v>233000</v>
      </c>
      <c r="Z16" s="71" t="s">
        <v>298</v>
      </c>
      <c r="AA16" s="48">
        <v>1.502</v>
      </c>
      <c r="AB16">
        <v>1.502</v>
      </c>
      <c r="AC16">
        <f>+IF(Productos[[#This Row],[Cotización]]="",Productos[[#This Row],[U$D]],Productos[[#This Row],[Cotización]])</f>
        <v>1.502</v>
      </c>
    </row>
    <row r="17" spans="3:31">
      <c r="C17">
        <v>100</v>
      </c>
      <c r="F17">
        <f>+C17*(1+F15)</f>
        <v>127.09519136408242</v>
      </c>
      <c r="H17">
        <v>1.0373000000000001</v>
      </c>
      <c r="I17">
        <f>+$I$15*H17</f>
        <v>1.3484900000000002</v>
      </c>
      <c r="L17" s="126"/>
      <c r="R17" t="s">
        <v>317</v>
      </c>
      <c r="S17" s="70"/>
      <c r="T17" t="s">
        <v>233</v>
      </c>
      <c r="U17" s="69"/>
      <c r="V17" s="68">
        <f t="shared" si="2"/>
        <v>0</v>
      </c>
      <c r="Y17" s="2">
        <v>66938</v>
      </c>
      <c r="Z17" s="71" t="s">
        <v>299</v>
      </c>
      <c r="AA17" s="48">
        <f>+Productos[[#This Row],[$ Pes]]/1106</f>
        <v>60.522603978300182</v>
      </c>
      <c r="AB17">
        <v>40.5</v>
      </c>
      <c r="AC17">
        <f>+IF(Productos[[#This Row],[Cotización]]="",Productos[[#This Row],[U$D]],Productos[[#This Row],[Cotización]])</f>
        <v>40.5</v>
      </c>
    </row>
    <row r="18" spans="3:31">
      <c r="D18">
        <f>1.019*1.47</f>
        <v>1.4979299999999998</v>
      </c>
      <c r="F18">
        <f>+F17/(1+C15)</f>
        <v>113.91843440209121</v>
      </c>
      <c r="H18">
        <v>1.0553999999999999</v>
      </c>
      <c r="I18">
        <f t="shared" ref="I18:I27" si="3">+$I$15*H18</f>
        <v>1.37202</v>
      </c>
      <c r="L18" s="126"/>
      <c r="R18" t="s">
        <v>318</v>
      </c>
      <c r="S18" s="70"/>
      <c r="T18" t="s">
        <v>316</v>
      </c>
      <c r="U18" s="69"/>
      <c r="V18" s="68">
        <f t="shared" si="2"/>
        <v>0</v>
      </c>
      <c r="Y18" s="86">
        <f>120950/300*1000</f>
        <v>403166.66666666669</v>
      </c>
      <c r="Z18" s="71" t="s">
        <v>300</v>
      </c>
      <c r="AA18" s="48">
        <f>+Productos[[#This Row],[$ Pes]]/1106</f>
        <v>364.52682338758291</v>
      </c>
      <c r="AB18">
        <v>100.98</v>
      </c>
      <c r="AC18">
        <f>+IF(Productos[[#This Row],[Cotización]]="",Productos[[#This Row],[U$D]],Productos[[#This Row],[Cotización]])</f>
        <v>100.98</v>
      </c>
    </row>
    <row r="19" spans="3:31">
      <c r="H19">
        <v>1.0738000000000001</v>
      </c>
      <c r="I19">
        <f t="shared" si="3"/>
        <v>1.3959400000000002</v>
      </c>
      <c r="L19" s="126"/>
      <c r="R19" t="s">
        <v>319</v>
      </c>
      <c r="S19" s="70"/>
      <c r="T19" t="s">
        <v>316</v>
      </c>
      <c r="U19" s="69"/>
      <c r="V19" s="68">
        <f t="shared" si="2"/>
        <v>0</v>
      </c>
      <c r="Y19" s="2">
        <v>49438</v>
      </c>
      <c r="Z19" s="71" t="s">
        <v>301</v>
      </c>
      <c r="AA19" s="48">
        <f>+Productos[[#This Row],[$ Pes]]/1106</f>
        <v>44.699819168173597</v>
      </c>
      <c r="AB19">
        <v>19.966999999999999</v>
      </c>
      <c r="AC19">
        <f>+IF(Productos[[#This Row],[Cotización]]="",Productos[[#This Row],[U$D]],Productos[[#This Row],[Cotización]])</f>
        <v>19.966999999999999</v>
      </c>
    </row>
    <row r="20" spans="3:31">
      <c r="H20">
        <v>1.0925</v>
      </c>
      <c r="I20">
        <f t="shared" si="3"/>
        <v>1.42025</v>
      </c>
      <c r="L20" s="126"/>
      <c r="R20" t="s">
        <v>201</v>
      </c>
      <c r="S20" s="70"/>
      <c r="T20" t="s">
        <v>228</v>
      </c>
      <c r="U20" s="69"/>
      <c r="V20" s="68">
        <f t="shared" si="2"/>
        <v>0</v>
      </c>
      <c r="Y20" s="2">
        <v>2470.9699999999998</v>
      </c>
      <c r="Z20" s="71" t="s">
        <v>201</v>
      </c>
      <c r="AA20" s="48">
        <f>+Productos[[#This Row],[$ Pes]]/1106</f>
        <v>2.2341500904159131</v>
      </c>
      <c r="AB20">
        <v>0.60499999999999998</v>
      </c>
      <c r="AC20">
        <f>+IF(Productos[[#This Row],[Cotización]]="",Productos[[#This Row],[U$D]],Productos[[#This Row],[Cotización]])</f>
        <v>0.60499999999999998</v>
      </c>
    </row>
    <row r="21" spans="3:31">
      <c r="H21">
        <v>1.1115999999999999</v>
      </c>
      <c r="I21">
        <f t="shared" si="3"/>
        <v>1.4450799999999999</v>
      </c>
      <c r="L21" s="126"/>
      <c r="R21" t="s">
        <v>197</v>
      </c>
      <c r="S21" s="70">
        <v>248900</v>
      </c>
      <c r="U21" s="69"/>
      <c r="V21" s="68">
        <f>+U21/1190</f>
        <v>0</v>
      </c>
      <c r="Y21" s="2">
        <f>248900/20</f>
        <v>12445</v>
      </c>
      <c r="Z21" t="s">
        <v>197</v>
      </c>
      <c r="AA21" s="48">
        <v>6.77</v>
      </c>
      <c r="AC21" s="120">
        <f>+IF(Productos[[#This Row],[Cotización]]="",Productos[[#This Row],[U$D]],Productos[[#This Row],[Cotización]])</f>
        <v>6.77</v>
      </c>
      <c r="AE21">
        <f>149800/20/1106</f>
        <v>6.7721518987341769</v>
      </c>
    </row>
    <row r="22" spans="3:31">
      <c r="H22">
        <v>1.131</v>
      </c>
      <c r="I22">
        <f t="shared" si="3"/>
        <v>1.4703000000000002</v>
      </c>
      <c r="L22" s="126"/>
      <c r="R22" t="s">
        <v>309</v>
      </c>
      <c r="S22" s="70"/>
      <c r="U22" s="69"/>
      <c r="V22" s="68">
        <f t="shared" ref="V22:V24" si="4">+U22/1190</f>
        <v>0</v>
      </c>
      <c r="Y22" s="2">
        <f>283000/20/1.21</f>
        <v>11694.214876033058</v>
      </c>
      <c r="Z22" t="s">
        <v>309</v>
      </c>
      <c r="AA22" s="1">
        <f>+Productos[[#This Row],[$ Pes]]/1106</f>
        <v>10.573431171820125</v>
      </c>
      <c r="AC22">
        <f>+IF(Productos[[#This Row],[Cotización]]="",Productos[[#This Row],[U$D]],Productos[[#This Row],[Cotización]])</f>
        <v>10.573431171820125</v>
      </c>
    </row>
    <row r="23" spans="3:31">
      <c r="H23">
        <v>1.1507000000000001</v>
      </c>
      <c r="I23">
        <f t="shared" si="3"/>
        <v>1.4959100000000001</v>
      </c>
      <c r="L23" s="126"/>
      <c r="R23" t="s">
        <v>310</v>
      </c>
      <c r="S23" s="70"/>
      <c r="T23" t="s">
        <v>422</v>
      </c>
      <c r="U23" s="69"/>
      <c r="V23" s="68">
        <f t="shared" si="4"/>
        <v>0</v>
      </c>
      <c r="Y23" s="2">
        <f>148000/20/1.21</f>
        <v>6115.7024793388427</v>
      </c>
      <c r="Z23" t="s">
        <v>310</v>
      </c>
      <c r="AA23">
        <v>4.1399999999999997</v>
      </c>
      <c r="AB23">
        <v>4.1399999999999997</v>
      </c>
      <c r="AC23">
        <f>+IF(Productos[[#This Row],[Cotización]]="",Productos[[#This Row],[U$D]],Productos[[#This Row],[Cotización]])</f>
        <v>4.1399999999999997</v>
      </c>
    </row>
    <row r="24" spans="3:31">
      <c r="H24">
        <v>1.1852</v>
      </c>
      <c r="I24">
        <f t="shared" si="3"/>
        <v>1.5407600000000001</v>
      </c>
      <c r="R24" t="s">
        <v>308</v>
      </c>
      <c r="S24" s="70"/>
      <c r="U24" s="69"/>
      <c r="V24" s="68">
        <f t="shared" si="4"/>
        <v>0</v>
      </c>
      <c r="Y24" s="2">
        <f>99800/20/1.21</f>
        <v>4123.9669421487606</v>
      </c>
      <c r="Z24" t="s">
        <v>308</v>
      </c>
      <c r="AA24" s="48">
        <f>+Productos[[#This Row],[$ Pes]]/1106</f>
        <v>3.7287223708397472</v>
      </c>
      <c r="AC24">
        <f>+IF(Productos[[#This Row],[Cotización]]="",Productos[[#This Row],[U$D]],Productos[[#This Row],[Cotización]])</f>
        <v>3.7287223708397472</v>
      </c>
    </row>
    <row r="25" spans="3:31">
      <c r="H25">
        <v>1.2206999999999999</v>
      </c>
      <c r="I25">
        <f t="shared" si="3"/>
        <v>1.5869099999999998</v>
      </c>
      <c r="R25" t="s">
        <v>193</v>
      </c>
      <c r="S25" s="70"/>
      <c r="U25" s="69"/>
      <c r="V25" s="68">
        <f>+U25/1190</f>
        <v>0</v>
      </c>
      <c r="Y25" s="2">
        <f>39800/20/1.21</f>
        <v>1644.6280991735537</v>
      </c>
      <c r="Z25" t="s">
        <v>193</v>
      </c>
      <c r="AA25" s="48">
        <f>+Productos[[#This Row],[$ Pes]]/1106</f>
        <v>1.4870055146234662</v>
      </c>
      <c r="AB25">
        <v>1.2</v>
      </c>
      <c r="AC25">
        <f>+IF(Productos[[#This Row],[Cotización]]="",Productos[[#This Row],[U$D]],Productos[[#This Row],[Cotización]])</f>
        <v>1.2</v>
      </c>
    </row>
    <row r="26" spans="3:31">
      <c r="H26">
        <v>1.2574000000000001</v>
      </c>
      <c r="I26">
        <f t="shared" si="3"/>
        <v>1.6346200000000002</v>
      </c>
      <c r="R26" t="s">
        <v>194</v>
      </c>
      <c r="S26" s="70"/>
      <c r="U26" s="69"/>
      <c r="V26" s="68">
        <f>+U26/1190</f>
        <v>0</v>
      </c>
      <c r="Y26" s="2">
        <f>107600/25/1.21</f>
        <v>3557.0247933884298</v>
      </c>
      <c r="Z26" t="s">
        <v>194</v>
      </c>
      <c r="AA26" s="48">
        <f>+Productos[[#This Row],[$ Pes]]/1106</f>
        <v>3.216116449718291</v>
      </c>
      <c r="AB26">
        <v>2.02</v>
      </c>
      <c r="AC26">
        <f>+IF(Productos[[#This Row],[Cotización]]="",Productos[[#This Row],[U$D]],Productos[[#This Row],[Cotización]])</f>
        <v>2.02</v>
      </c>
    </row>
    <row r="27" spans="3:31">
      <c r="H27">
        <v>1.2950999999999999</v>
      </c>
      <c r="I27">
        <f t="shared" si="3"/>
        <v>1.68363</v>
      </c>
    </row>
  </sheetData>
  <phoneticPr fontId="3" type="noConversion"/>
  <pageMargins left="0.7" right="0.7" top="0.75" bottom="0.75" header="0.3" footer="0.3"/>
  <pageSetup paperSize="9" orientation="portrait" r:id="rId1"/>
  <ignoredErrors>
    <ignoredError sqref="U7:U8 U12" formula="1"/>
  </ignoredErrors>
  <legacyDrawing r:id="rId2"/>
  <tableParts count="2">
    <tablePart r:id="rId3"/>
    <tablePart r:id="rId4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Y121"/>
  <sheetViews>
    <sheetView topLeftCell="E1" workbookViewId="0">
      <selection activeCell="R1" sqref="R1"/>
    </sheetView>
  </sheetViews>
  <sheetFormatPr baseColWidth="10" defaultRowHeight="15"/>
  <cols>
    <col min="1" max="1" width="22.85546875" bestFit="1" customWidth="1"/>
    <col min="2" max="2" width="11.85546875" bestFit="1" customWidth="1"/>
    <col min="16" max="16" width="16.42578125" bestFit="1" customWidth="1"/>
  </cols>
  <sheetData>
    <row r="1" spans="1:25">
      <c r="A1" t="s">
        <v>415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O1" t="s">
        <v>365</v>
      </c>
      <c r="P1" t="s">
        <v>0</v>
      </c>
      <c r="Q1" t="s">
        <v>366</v>
      </c>
      <c r="R1" t="s">
        <v>364</v>
      </c>
    </row>
    <row r="2" spans="1:25">
      <c r="A2" t="s">
        <v>409</v>
      </c>
      <c r="B2" s="2">
        <v>1106857</v>
      </c>
      <c r="C2" s="2">
        <v>354569</v>
      </c>
      <c r="D2" s="2">
        <v>109546</v>
      </c>
      <c r="E2" s="2">
        <v>245673</v>
      </c>
      <c r="F2" s="2">
        <v>1047558</v>
      </c>
      <c r="G2" s="2">
        <v>419286</v>
      </c>
      <c r="H2" s="2">
        <v>506154</v>
      </c>
      <c r="I2" s="2">
        <v>880289</v>
      </c>
      <c r="J2" s="2">
        <v>410529</v>
      </c>
      <c r="K2" s="2">
        <v>1071801</v>
      </c>
      <c r="L2" s="2">
        <v>187871</v>
      </c>
      <c r="M2" s="2">
        <v>1351059</v>
      </c>
      <c r="O2" t="s">
        <v>88</v>
      </c>
      <c r="P2" t="s">
        <v>8</v>
      </c>
      <c r="Q2">
        <v>2415.6697909494233</v>
      </c>
      <c r="R2" t="s">
        <v>342</v>
      </c>
    </row>
    <row r="3" spans="1:25">
      <c r="A3" t="s">
        <v>410</v>
      </c>
      <c r="B3" s="2">
        <f>4110304*0.5</f>
        <v>2055152</v>
      </c>
      <c r="C3" s="2">
        <v>625177</v>
      </c>
      <c r="D3" s="2">
        <f>915552*0.5</f>
        <v>457776</v>
      </c>
      <c r="E3" s="2">
        <v>1324365</v>
      </c>
      <c r="F3" s="2">
        <f>3802259*0.5</f>
        <v>1901129.5</v>
      </c>
      <c r="G3" s="2">
        <f>2892893*0.5</f>
        <v>1446446.5</v>
      </c>
      <c r="H3" s="2">
        <v>1122300</v>
      </c>
      <c r="I3" s="2">
        <v>1481875</v>
      </c>
      <c r="J3" s="2">
        <f>3096679*0.5</f>
        <v>1548339.5</v>
      </c>
      <c r="K3" s="2">
        <v>1704930</v>
      </c>
      <c r="L3" s="2">
        <f>1704414*0.7</f>
        <v>1193089.7999999998</v>
      </c>
      <c r="M3" s="2">
        <f>3124258*0.5</f>
        <v>1562129</v>
      </c>
      <c r="O3" t="s">
        <v>89</v>
      </c>
      <c r="P3" t="s">
        <v>8</v>
      </c>
      <c r="Q3">
        <v>740.63704809052342</v>
      </c>
      <c r="R3" t="s">
        <v>342</v>
      </c>
    </row>
    <row r="4" spans="1:25">
      <c r="A4" t="s">
        <v>411</v>
      </c>
      <c r="B4" s="2">
        <v>493121</v>
      </c>
      <c r="C4" s="2">
        <v>363709</v>
      </c>
      <c r="D4" s="2">
        <v>72840</v>
      </c>
      <c r="E4" s="2">
        <v>434008</v>
      </c>
      <c r="F4" s="2">
        <v>684217</v>
      </c>
      <c r="G4" s="2">
        <v>232092</v>
      </c>
      <c r="H4" s="2">
        <v>150193</v>
      </c>
      <c r="I4" s="2">
        <v>1657673</v>
      </c>
      <c r="J4" s="2">
        <v>250468</v>
      </c>
      <c r="K4" s="2">
        <v>1192710</v>
      </c>
      <c r="L4" s="2">
        <v>4032</v>
      </c>
      <c r="M4" s="2">
        <v>906163</v>
      </c>
      <c r="O4" t="s">
        <v>90</v>
      </c>
      <c r="P4" t="s">
        <v>8</v>
      </c>
      <c r="Q4">
        <v>546.31962115167471</v>
      </c>
      <c r="R4" t="s">
        <v>342</v>
      </c>
    </row>
    <row r="5" spans="1:25">
      <c r="A5" t="s">
        <v>412</v>
      </c>
      <c r="B5" s="2">
        <v>492622</v>
      </c>
      <c r="C5" s="2">
        <v>202151</v>
      </c>
      <c r="D5" s="2">
        <v>739158</v>
      </c>
      <c r="E5" s="2">
        <f>329452*0.5</f>
        <v>164726</v>
      </c>
      <c r="F5" s="2">
        <f>3295073*0.5</f>
        <v>1647536.5</v>
      </c>
      <c r="G5" s="2">
        <v>3367905</v>
      </c>
      <c r="H5" s="2">
        <v>907607</v>
      </c>
      <c r="I5" s="2">
        <v>3301435</v>
      </c>
      <c r="J5" s="2">
        <f>13762111*0.4</f>
        <v>5504844.4000000004</v>
      </c>
      <c r="K5" s="2">
        <f>5545205*0.7</f>
        <v>3881643.4999999995</v>
      </c>
      <c r="L5" s="2">
        <f>9484123*0.5</f>
        <v>4742061.5</v>
      </c>
      <c r="M5" s="2">
        <f>21165631*0.5</f>
        <v>10582815.5</v>
      </c>
      <c r="O5" t="s">
        <v>91</v>
      </c>
      <c r="P5" t="s">
        <v>8</v>
      </c>
      <c r="Q5">
        <v>1592.1589018118514</v>
      </c>
      <c r="R5" t="s">
        <v>342</v>
      </c>
    </row>
    <row r="6" spans="1:25">
      <c r="A6" t="s">
        <v>413</v>
      </c>
      <c r="B6" s="2">
        <v>203529</v>
      </c>
      <c r="C6" s="2">
        <v>85345</v>
      </c>
      <c r="D6" s="2">
        <v>396959</v>
      </c>
      <c r="E6" s="2">
        <v>117578</v>
      </c>
      <c r="F6" s="2">
        <v>1284811</v>
      </c>
      <c r="G6" s="2">
        <v>1712185</v>
      </c>
      <c r="H6" s="2">
        <v>383116</v>
      </c>
      <c r="I6" s="2">
        <v>1387384</v>
      </c>
      <c r="J6" s="2">
        <v>10193996</v>
      </c>
      <c r="K6" s="2">
        <v>175616</v>
      </c>
      <c r="L6" s="2">
        <v>53228</v>
      </c>
      <c r="M6" s="2">
        <v>6460163</v>
      </c>
      <c r="O6" t="s">
        <v>92</v>
      </c>
      <c r="P6" t="s">
        <v>8</v>
      </c>
      <c r="Q6">
        <v>2302.3274296360291</v>
      </c>
      <c r="R6" t="s">
        <v>342</v>
      </c>
    </row>
    <row r="7" spans="1:25">
      <c r="A7" s="117" t="s">
        <v>414</v>
      </c>
      <c r="B7" s="118">
        <f>+INDEX(Tabla2[Índice de inflación],MATCH(B1,Tabla2[Mes],0))</f>
        <v>1.3247</v>
      </c>
      <c r="C7" s="118">
        <f>+INDEX(Tabla2[Índice de inflación],MATCH(C1,Tabla2[Mes],0))</f>
        <v>1.3484900000000002</v>
      </c>
      <c r="D7" s="118">
        <f>+INDEX(Tabla2[Índice de inflación],MATCH(D1,Tabla2[Mes],0))</f>
        <v>1.37202</v>
      </c>
      <c r="E7" s="118">
        <f>+INDEX(Tabla2[Índice de inflación],MATCH(E1,Tabla2[Mes],0))</f>
        <v>1.3959400000000002</v>
      </c>
      <c r="F7" s="118">
        <f>+INDEX(Tabla2[Índice de inflación],MATCH(F1,Tabla2[Mes],0))</f>
        <v>1.42025</v>
      </c>
      <c r="G7" s="118">
        <f>+INDEX(Tabla2[Índice de inflación],MATCH(G1,Tabla2[Mes],0))</f>
        <v>1.4450799999999999</v>
      </c>
      <c r="H7" s="118">
        <f>+INDEX(Tabla2[Índice de inflación],MATCH(H1,Tabla2[Mes],0))</f>
        <v>1.4703000000000002</v>
      </c>
      <c r="I7" s="118">
        <f>+INDEX(Tabla2[Índice de inflación],MATCH(I1,Tabla2[Mes],0))</f>
        <v>1.4959100000000001</v>
      </c>
      <c r="J7" s="118">
        <f>+INDEX(Tabla2[Índice de inflación],MATCH(J1,Tabla2[Mes],0))</f>
        <v>1.5407600000000001</v>
      </c>
      <c r="K7" s="118">
        <f>+INDEX(Tabla2[Índice de inflación],MATCH(K1,Tabla2[Mes],0))</f>
        <v>1.5869099999999998</v>
      </c>
      <c r="L7" s="118">
        <f>+INDEX(Tabla2[Índice de inflación],MATCH(L1,Tabla2[Mes],0))</f>
        <v>1.6346200000000002</v>
      </c>
      <c r="M7" s="118">
        <f>+INDEX(Tabla2[Índice de inflación],MATCH(M1,Tabla2[Mes],0))</f>
        <v>1.68363</v>
      </c>
      <c r="O7" t="s">
        <v>93</v>
      </c>
      <c r="P7" t="s">
        <v>8</v>
      </c>
      <c r="Q7">
        <v>1764.6699098016159</v>
      </c>
      <c r="R7" t="s">
        <v>342</v>
      </c>
    </row>
    <row r="8" spans="1:25">
      <c r="A8" s="95" t="s">
        <v>8</v>
      </c>
      <c r="B8" s="119">
        <f>+B3*B7/INDEX(Tabla2[TC],MATCH(B1,Tabla2[Mes],0))</f>
        <v>2415.6697909494233</v>
      </c>
      <c r="C8" s="119">
        <f>+C3*C7/INDEX(Tabla2[TC],MATCH(C1,Tabla2[Mes],0))</f>
        <v>740.63704809052342</v>
      </c>
      <c r="D8" s="119">
        <f>+D3*D7/INDEX(Tabla2[TC],MATCH(D1,Tabla2[Mes],0))</f>
        <v>546.31962115167471</v>
      </c>
      <c r="E8" s="119">
        <f>+E3*E7/INDEX(Tabla2[TC],MATCH(E1,Tabla2[Mes],0))</f>
        <v>1592.1589018118514</v>
      </c>
      <c r="F8" s="119">
        <f>+F3*F7/INDEX(Tabla2[TC],MATCH(F1,Tabla2[Mes],0))</f>
        <v>2302.3274296360291</v>
      </c>
      <c r="G8" s="119">
        <f>+G3*G7/INDEX(Tabla2[TC],MATCH(G1,Tabla2[Mes],0))</f>
        <v>1764.6699098016159</v>
      </c>
      <c r="H8" s="119">
        <f>+H3*H7/INDEX(Tabla2[TC],MATCH(H1,Tabla2[Mes],0))</f>
        <v>1379.3127839158635</v>
      </c>
      <c r="I8" s="119">
        <f>+I3*I7/INDEX(Tabla2[TC],MATCH(I1,Tabla2[Mes],0))</f>
        <v>1834.6089345770799</v>
      </c>
      <c r="J8" s="119">
        <f>+J3*J7/INDEX(Tabla2[TC],MATCH(J1,Tabla2[Mes],0))</f>
        <v>1954.8177873043223</v>
      </c>
      <c r="K8" s="119">
        <f>+K3*K7/INDEX(Tabla2[TC],MATCH(K1,Tabla2[Mes],0))</f>
        <v>2195.0406607146774</v>
      </c>
      <c r="L8" s="119">
        <f>+L3*L7/INDEX(Tabla2[TC],MATCH(L1,Tabla2[Mes],0))</f>
        <v>1566.5789522428292</v>
      </c>
      <c r="M8" s="119">
        <f>+M3*M7/INDEX(Tabla2[TC],MATCH(M1,Tabla2[Mes],0))</f>
        <v>2091.7246910530971</v>
      </c>
      <c r="N8" s="2">
        <f>+SUM(B8:M8)/SUMIFS(TablaGeneral[Has],TablaGeneral[Finca],"Camino Truncado")</f>
        <v>308.64163647835198</v>
      </c>
      <c r="O8" t="s">
        <v>94</v>
      </c>
      <c r="P8" t="s">
        <v>8</v>
      </c>
      <c r="Q8">
        <v>1379.3127839158635</v>
      </c>
      <c r="R8" t="s">
        <v>342</v>
      </c>
      <c r="U8" s="2">
        <f>SUM(B8:M8)</f>
        <v>20383.866511248983</v>
      </c>
      <c r="V8">
        <f>+U8/66</f>
        <v>308.84646229165128</v>
      </c>
      <c r="W8">
        <v>927</v>
      </c>
      <c r="X8" s="2">
        <v>1148040</v>
      </c>
      <c r="Y8" s="2">
        <f>+X8/W8</f>
        <v>1238.4466019417475</v>
      </c>
    </row>
    <row r="9" spans="1:25">
      <c r="A9" s="95" t="s">
        <v>12</v>
      </c>
      <c r="B9" s="119">
        <f>+B2*B7/INDEX(Tabla2[TC],MATCH(B1,Tabla2[Mes],0))</f>
        <v>1301.0234852706301</v>
      </c>
      <c r="C9" s="119">
        <f>+C2*C7/INDEX(Tabla2[TC],MATCH(C1,Tabla2[Mes],0))</f>
        <v>420.05214124065475</v>
      </c>
      <c r="D9" s="119">
        <f>+D2*D7/INDEX(Tabla2[TC],MATCH(D1,Tabla2[Mes],0))</f>
        <v>130.73452784480043</v>
      </c>
      <c r="E9" s="119">
        <f>+E2*E7/INDEX(Tabla2[TC],MATCH(E1,Tabla2[Mes],0))</f>
        <v>295.34943454774401</v>
      </c>
      <c r="F9" s="119">
        <f>+F2*F7/INDEX(Tabla2[TC],MATCH(F1,Tabla2[Mes],0))</f>
        <v>1268.625581547527</v>
      </c>
      <c r="G9" s="119">
        <f>+G2*G7/INDEX(Tabla2[TC],MATCH(G1,Tabla2[Mes],0))</f>
        <v>511.53042148539907</v>
      </c>
      <c r="H9" s="119">
        <f>+H2*H7/INDEX(Tabla2[TC],MATCH(H1,Tabla2[Mes],0))</f>
        <v>622.06600982816531</v>
      </c>
      <c r="I9" s="119">
        <f>+I2*I7/INDEX(Tabla2[TC],MATCH(I1,Tabla2[Mes],0))</f>
        <v>1089.82610841665</v>
      </c>
      <c r="J9" s="119">
        <f>+J2*J7/INDEX(Tabla2[TC],MATCH(J1,Tabla2[Mes],0))</f>
        <v>518.30324770779032</v>
      </c>
      <c r="K9" s="119">
        <f>+K2*K7/INDEX(Tabla2[TC],MATCH(K1,Tabla2[Mes],0))</f>
        <v>1379.90813417246</v>
      </c>
      <c r="L9" s="119">
        <f>+L2*L7/INDEX(Tabla2[TC],MATCH(L1,Tabla2[Mes],0))</f>
        <v>246.68281828979897</v>
      </c>
      <c r="M9" s="119">
        <f>+M2*M7/INDEX(Tabla2[TC],MATCH(M1,Tabla2[Mes],0))</f>
        <v>1809.097372476605</v>
      </c>
      <c r="N9" s="2">
        <f>+SUM(B9:M9)/SUMIFS(TablaGeneral[Has],TablaGeneral[Finca],"La Chimbera")</f>
        <v>238.04464721658121</v>
      </c>
      <c r="O9" t="s">
        <v>95</v>
      </c>
      <c r="P9" t="s">
        <v>8</v>
      </c>
      <c r="Q9">
        <v>1834.6089345770799</v>
      </c>
      <c r="R9" t="s">
        <v>342</v>
      </c>
      <c r="U9" s="2">
        <f>SUM(B9:M9)</f>
        <v>9593.1992828282237</v>
      </c>
      <c r="V9">
        <f>+U9/40</f>
        <v>239.8299820707056</v>
      </c>
      <c r="W9">
        <v>980</v>
      </c>
      <c r="X9" s="2">
        <v>860565</v>
      </c>
      <c r="Y9" s="2">
        <f t="shared" ref="Y9:Y19" si="0">+X9/W9</f>
        <v>878.12755102040819</v>
      </c>
    </row>
    <row r="10" spans="1:25">
      <c r="A10" s="95" t="s">
        <v>4</v>
      </c>
      <c r="B10" s="119">
        <f>+B4*B7/INDEX(Tabla2[TC],MATCH(B1,Tabla2[Mes],0))</f>
        <v>579.6250121561668</v>
      </c>
      <c r="C10" s="119">
        <f>+C4*C7/INDEX(Tabla2[TC],MATCH(C1,Tabla2[Mes],0))</f>
        <v>430.88015093958381</v>
      </c>
      <c r="D10" s="119">
        <f>+D4*D7/INDEX(Tabla2[TC],MATCH(D1,Tabla2[Mes],0))</f>
        <v>86.928806238614484</v>
      </c>
      <c r="E10" s="119">
        <f>+E4*E7/INDEX(Tabla2[TC],MATCH(E1,Tabla2[Mes],0))</f>
        <v>521.76680949553781</v>
      </c>
      <c r="F10" s="119">
        <f>+F4*F7/INDEX(Tabla2[TC],MATCH(F1,Tabla2[Mes],0))</f>
        <v>828.60823890391202</v>
      </c>
      <c r="G10" s="119">
        <f>+G4*G7/INDEX(Tabla2[TC],MATCH(G1,Tabla2[Mes],0))</f>
        <v>283.15307113375894</v>
      </c>
      <c r="H10" s="119">
        <f>+H4*H7/INDEX(Tabla2[TC],MATCH(H1,Tabla2[Mes],0))</f>
        <v>184.58801118655913</v>
      </c>
      <c r="I10" s="119">
        <f>+I4*I7/INDEX(Tabla2[TC],MATCH(I1,Tabla2[Mes],0))</f>
        <v>2052.2525155004246</v>
      </c>
      <c r="J10" s="119">
        <f>+J4*J7/INDEX(Tabla2[TC],MATCH(J1,Tabla2[Mes],0))</f>
        <v>316.2221861229653</v>
      </c>
      <c r="K10" s="119">
        <f>+K4*K7/INDEX(Tabla2[TC],MATCH(K1,Tabla2[Mes],0))</f>
        <v>1535.5744496495474</v>
      </c>
      <c r="L10" s="119">
        <f>+L4*L7/INDEX(Tabla2[TC],MATCH(L1,Tabla2[Mes],0))</f>
        <v>5.2941918834970245</v>
      </c>
      <c r="M10" s="119">
        <f>+M4*M7/INDEX(Tabla2[TC],MATCH(M1,Tabla2[Mes],0))</f>
        <v>1213.3719566173777</v>
      </c>
      <c r="N10" s="2">
        <f>+SUM(B10:M10)/SUMIFS(TablaGeneral[Has],TablaGeneral[Finca],"Puente Alto")</f>
        <v>300.15927557236535</v>
      </c>
      <c r="O10" t="s">
        <v>96</v>
      </c>
      <c r="P10" t="s">
        <v>8</v>
      </c>
      <c r="Q10">
        <v>1954.8177873043223</v>
      </c>
      <c r="R10" t="s">
        <v>342</v>
      </c>
      <c r="U10" s="2">
        <f>SUM(B10:M10)</f>
        <v>8038.2653998279447</v>
      </c>
      <c r="V10">
        <f>+U10/28</f>
        <v>287.08090713671231</v>
      </c>
      <c r="W10">
        <v>1006</v>
      </c>
      <c r="X10" s="2">
        <v>244658</v>
      </c>
      <c r="Y10" s="2">
        <f t="shared" si="0"/>
        <v>243.19880715705764</v>
      </c>
    </row>
    <row r="11" spans="1:25">
      <c r="A11" s="95" t="s">
        <v>373</v>
      </c>
      <c r="B11" s="119">
        <f>+B5*B7/INDEX(Tabla2[TC],MATCH(B1,Tabla2[Mes],0))</f>
        <v>579.03847684117125</v>
      </c>
      <c r="C11" s="119">
        <f>+C5*C7/INDEX(Tabla2[TC],MATCH(C1,Tabla2[Mes],0))</f>
        <v>239.48500969892913</v>
      </c>
      <c r="D11" s="119">
        <f>+D5*D7/INDEX(Tabla2[TC],MATCH(D1,Tabla2[Mes],0))</f>
        <v>882.12688854642795</v>
      </c>
      <c r="E11" s="119">
        <f>+E5*E7/INDEX(Tabla2[TC],MATCH(E1,Tabla2[Mes],0))</f>
        <v>198.03450503438177</v>
      </c>
      <c r="F11" s="119">
        <f>+F5*F7/INDEX(Tabla2[TC],MATCH(F1,Tabla2[Mes],0))</f>
        <v>1995.2183558650472</v>
      </c>
      <c r="G11" s="119">
        <f>+G5*G7/INDEX(Tabla2[TC],MATCH(G1,Tabla2[Mes],0))</f>
        <v>4108.8561606463918</v>
      </c>
      <c r="H11" s="119">
        <f>+H5*H7/INDEX(Tabla2[TC],MATCH(H1,Tabla2[Mes],0))</f>
        <v>1115.4539230789674</v>
      </c>
      <c r="I11" s="119">
        <f>+I5*I7/INDEX(Tabla2[TC],MATCH(I1,Tabla2[Mes],0))</f>
        <v>4087.2827653651502</v>
      </c>
      <c r="J11" s="119">
        <f>+J5*J7/INDEX(Tabla2[TC],MATCH(J1,Tabla2[Mes],0))</f>
        <v>6950.005311795373</v>
      </c>
      <c r="K11" s="119">
        <f>+K5*K7/INDEX(Tabla2[TC],MATCH(K1,Tabla2[Mes],0))</f>
        <v>4997.4868838596494</v>
      </c>
      <c r="L11" s="119">
        <f>+L5*L7/INDEX(Tabla2[TC],MATCH(L1,Tabla2[Mes],0))</f>
        <v>6226.5336072281061</v>
      </c>
      <c r="M11" s="119">
        <f>+M5*M7/INDEX(Tabla2[TC],MATCH(M1,Tabla2[Mes],0))</f>
        <v>14170.620020631732</v>
      </c>
      <c r="N11" s="2">
        <f>+SUM(B11:M11)/(SUMIFS(TablaGeneral[Has],TablaGeneral[Finca],"El Espejo I")+SUMIFS(TablaGeneral[Has],TablaGeneral[Finca],"El Espejo II"))</f>
        <v>303.66761272394211</v>
      </c>
      <c r="O11" t="s">
        <v>97</v>
      </c>
      <c r="P11" t="s">
        <v>8</v>
      </c>
      <c r="Q11">
        <v>2195.0406607146774</v>
      </c>
      <c r="R11" t="s">
        <v>342</v>
      </c>
      <c r="W11">
        <v>1011</v>
      </c>
      <c r="X11" s="2">
        <v>423915</v>
      </c>
      <c r="Y11" s="2">
        <f t="shared" si="0"/>
        <v>419.30267062314539</v>
      </c>
    </row>
    <row r="12" spans="1:25">
      <c r="A12" s="95" t="s">
        <v>15</v>
      </c>
      <c r="B12" s="119">
        <f>+B6*B7/INDEX(Tabla2[TC],MATCH(B1,Tabla2[Mes],0))</f>
        <v>239.23235696539484</v>
      </c>
      <c r="C12" s="119">
        <f>+C6*C7/INDEX(Tabla2[TC],MATCH(C1,Tabla2[Mes],0))</f>
        <v>101.1068367346939</v>
      </c>
      <c r="D12" s="119">
        <f>+D6*D7/INDEX(Tabla2[TC],MATCH(D1,Tabla2[Mes],0))</f>
        <v>473.73931899607589</v>
      </c>
      <c r="E12" s="119">
        <f>+E6*E7/INDEX(Tabla2[TC],MATCH(E1,Tabla2[Mes],0))</f>
        <v>141.35291959334012</v>
      </c>
      <c r="F12" s="119">
        <f>+F6*F7/INDEX(Tabla2[TC],MATCH(F1,Tabla2[Mes],0))</f>
        <v>1555.9464030188874</v>
      </c>
      <c r="G12" s="119">
        <f>+G6*G7/INDEX(Tabla2[TC],MATCH(G1,Tabla2[Mes],0))</f>
        <v>2088.8718314252751</v>
      </c>
      <c r="H12" s="119">
        <f>+H6*H7/INDEX(Tabla2[TC],MATCH(H1,Tabla2[Mes],0))</f>
        <v>470.85164084710857</v>
      </c>
      <c r="I12" s="119">
        <f>+I6*I7/INDEX(Tabla2[TC],MATCH(I1,Tabla2[Mes],0))</f>
        <v>1717.6260359944579</v>
      </c>
      <c r="J12" s="119">
        <f>+J6*J7/INDEX(Tabla2[TC],MATCH(J1,Tabla2[Mes],0))</f>
        <v>12870.177828899356</v>
      </c>
      <c r="K12" s="119">
        <f>+K6*K7/INDEX(Tabla2[TC],MATCH(K1,Tabla2[Mes],0))</f>
        <v>226.09975815550715</v>
      </c>
      <c r="L12" s="119">
        <f>+L6*L7/INDEX(Tabla2[TC],MATCH(L1,Tabla2[Mes],0))</f>
        <v>69.890685906443352</v>
      </c>
      <c r="M12" s="119">
        <f>+M6*M7/INDEX(Tabla2[TC],MATCH(M1,Tabla2[Mes],0))</f>
        <v>8650.2986983326264</v>
      </c>
      <c r="N12" s="2">
        <f>+SUM(B12:M12)/SUMIFS(TablaGeneral[Has],TablaGeneral[Finca],"El Espejo III")</f>
        <v>288.79550040251553</v>
      </c>
      <c r="O12" t="s">
        <v>98</v>
      </c>
      <c r="P12" t="s">
        <v>8</v>
      </c>
      <c r="Q12">
        <v>1566.5789522428292</v>
      </c>
      <c r="R12" t="s">
        <v>342</v>
      </c>
      <c r="W12">
        <v>1010</v>
      </c>
      <c r="X12" s="2">
        <v>1289579</v>
      </c>
      <c r="Y12" s="2">
        <f t="shared" si="0"/>
        <v>1276.810891089109</v>
      </c>
    </row>
    <row r="13" spans="1:25">
      <c r="K13" s="39">
        <v>1122150</v>
      </c>
      <c r="L13" s="39">
        <v>2244300</v>
      </c>
      <c r="O13" t="s">
        <v>99</v>
      </c>
      <c r="P13" t="s">
        <v>8</v>
      </c>
      <c r="Q13">
        <v>2091.7246910530971</v>
      </c>
      <c r="R13" t="s">
        <v>342</v>
      </c>
      <c r="W13">
        <v>1015</v>
      </c>
      <c r="X13" s="2">
        <v>1637851</v>
      </c>
      <c r="Y13" s="2">
        <f t="shared" si="0"/>
        <v>1613.6463054187193</v>
      </c>
    </row>
    <row r="14" spans="1:25">
      <c r="A14" t="s">
        <v>341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93</v>
      </c>
      <c r="H14" t="s">
        <v>94</v>
      </c>
      <c r="I14" t="s">
        <v>95</v>
      </c>
      <c r="J14" t="s">
        <v>96</v>
      </c>
      <c r="K14" t="s">
        <v>97</v>
      </c>
      <c r="L14" t="s">
        <v>98</v>
      </c>
      <c r="M14" t="s">
        <v>99</v>
      </c>
      <c r="O14" t="s">
        <v>88</v>
      </c>
      <c r="P14" t="s">
        <v>12</v>
      </c>
      <c r="Q14">
        <v>1301.0234852706301</v>
      </c>
      <c r="R14" t="s">
        <v>342</v>
      </c>
      <c r="W14">
        <v>1020</v>
      </c>
      <c r="X14" s="2">
        <v>1342940</v>
      </c>
      <c r="Y14" s="2">
        <f t="shared" si="0"/>
        <v>1316.6078431372548</v>
      </c>
    </row>
    <row r="15" spans="1:25">
      <c r="A15" t="s">
        <v>409</v>
      </c>
      <c r="B15" s="2">
        <v>1141511</v>
      </c>
      <c r="C15" s="2">
        <v>338536</v>
      </c>
      <c r="D15" s="2">
        <v>141153</v>
      </c>
      <c r="E15" s="2">
        <v>27975</v>
      </c>
      <c r="F15" s="2">
        <v>45703</v>
      </c>
      <c r="G15" s="2">
        <v>898127</v>
      </c>
      <c r="H15" s="2">
        <v>79026</v>
      </c>
      <c r="I15" s="2">
        <v>336168</v>
      </c>
      <c r="J15" s="2">
        <v>567796</v>
      </c>
      <c r="K15" s="2">
        <v>62360</v>
      </c>
      <c r="L15" s="2">
        <v>257804</v>
      </c>
      <c r="M15" s="2">
        <v>1182481</v>
      </c>
      <c r="O15" t="s">
        <v>89</v>
      </c>
      <c r="P15" t="s">
        <v>12</v>
      </c>
      <c r="Q15">
        <v>420.05214124065475</v>
      </c>
      <c r="R15" t="s">
        <v>342</v>
      </c>
      <c r="W15">
        <v>1038</v>
      </c>
      <c r="X15" s="2">
        <v>2817868</v>
      </c>
      <c r="Y15" s="2">
        <f t="shared" si="0"/>
        <v>2714.7090558766859</v>
      </c>
    </row>
    <row r="16" spans="1:25">
      <c r="A16" t="s">
        <v>410</v>
      </c>
      <c r="B16" s="2">
        <v>2211466</v>
      </c>
      <c r="C16" s="2">
        <v>270546</v>
      </c>
      <c r="D16" s="2">
        <v>292672</v>
      </c>
      <c r="E16" s="2">
        <v>541266</v>
      </c>
      <c r="F16" s="2">
        <v>129451</v>
      </c>
      <c r="G16" s="2">
        <v>1548790</v>
      </c>
      <c r="H16" s="2">
        <v>128566</v>
      </c>
      <c r="I16" s="2">
        <v>562902</v>
      </c>
      <c r="J16" s="2">
        <v>1383495</v>
      </c>
      <c r="K16" s="2">
        <v>293091</v>
      </c>
      <c r="L16" s="2">
        <v>883982</v>
      </c>
      <c r="M16" s="2">
        <v>1666109</v>
      </c>
      <c r="O16" t="s">
        <v>90</v>
      </c>
      <c r="P16" t="s">
        <v>12</v>
      </c>
      <c r="Q16">
        <v>130.73452784480043</v>
      </c>
      <c r="R16" t="s">
        <v>342</v>
      </c>
      <c r="W16">
        <v>1065</v>
      </c>
      <c r="X16" s="2">
        <v>881437</v>
      </c>
      <c r="Y16" s="2">
        <f t="shared" si="0"/>
        <v>827.64037558685447</v>
      </c>
    </row>
    <row r="17" spans="1:25">
      <c r="A17" t="s">
        <v>411</v>
      </c>
      <c r="B17" s="2">
        <v>790477</v>
      </c>
      <c r="C17" s="2">
        <v>150369</v>
      </c>
      <c r="D17" s="2">
        <v>94010</v>
      </c>
      <c r="E17" s="2">
        <v>819848</v>
      </c>
      <c r="F17" s="2">
        <v>30801</v>
      </c>
      <c r="G17" s="2">
        <v>524657</v>
      </c>
      <c r="H17" s="2">
        <v>52951</v>
      </c>
      <c r="I17" s="2">
        <v>86621</v>
      </c>
      <c r="J17" s="2">
        <v>518477</v>
      </c>
      <c r="K17" s="2">
        <v>41628</v>
      </c>
      <c r="L17" s="2">
        <v>172629</v>
      </c>
      <c r="M17" s="2">
        <v>130146</v>
      </c>
      <c r="O17" t="s">
        <v>91</v>
      </c>
      <c r="P17" t="s">
        <v>12</v>
      </c>
      <c r="Q17">
        <v>295.34943454774401</v>
      </c>
      <c r="R17" t="s">
        <v>342</v>
      </c>
      <c r="W17">
        <v>1065</v>
      </c>
      <c r="X17" s="2">
        <v>1854205</v>
      </c>
      <c r="Y17" s="2">
        <f t="shared" si="0"/>
        <v>1741.0375586854459</v>
      </c>
    </row>
    <row r="18" spans="1:25">
      <c r="A18" t="s">
        <v>412</v>
      </c>
      <c r="B18" s="2">
        <v>3285597</v>
      </c>
      <c r="C18" s="2">
        <v>994890</v>
      </c>
      <c r="D18" s="2">
        <v>719747</v>
      </c>
      <c r="E18" s="2">
        <v>716678</v>
      </c>
      <c r="F18" s="2">
        <v>178659</v>
      </c>
      <c r="G18" s="2">
        <v>3999406</v>
      </c>
      <c r="H18" s="2">
        <v>1545742</v>
      </c>
      <c r="I18" s="2">
        <v>1526490</v>
      </c>
      <c r="J18" s="2">
        <v>1370631</v>
      </c>
      <c r="K18" s="2">
        <f>1346069-K13</f>
        <v>223919</v>
      </c>
      <c r="L18" s="2">
        <f>-1265394+L13</f>
        <v>978906</v>
      </c>
      <c r="M18" s="2">
        <v>4116689</v>
      </c>
      <c r="O18" t="s">
        <v>92</v>
      </c>
      <c r="P18" t="s">
        <v>12</v>
      </c>
      <c r="Q18">
        <v>1268.625581547527</v>
      </c>
      <c r="R18" t="s">
        <v>342</v>
      </c>
      <c r="W18">
        <v>1105</v>
      </c>
      <c r="X18" s="2">
        <v>3955617</v>
      </c>
      <c r="Y18" s="2">
        <f t="shared" si="0"/>
        <v>3579.7438914027148</v>
      </c>
    </row>
    <row r="19" spans="1:25">
      <c r="A19" t="s">
        <v>413</v>
      </c>
      <c r="B19" s="2">
        <v>1366667</v>
      </c>
      <c r="C19" s="2">
        <v>391739</v>
      </c>
      <c r="D19" s="2">
        <v>286725</v>
      </c>
      <c r="E19" s="2">
        <v>237002</v>
      </c>
      <c r="F19" s="2">
        <v>60693</v>
      </c>
      <c r="G19" s="2">
        <v>1654453</v>
      </c>
      <c r="H19" s="2">
        <v>636969</v>
      </c>
      <c r="I19" s="2">
        <v>603351</v>
      </c>
      <c r="J19" s="2">
        <v>495605</v>
      </c>
      <c r="K19" s="2">
        <f>333689-240589</f>
        <v>93100</v>
      </c>
      <c r="L19" s="2">
        <f>-108786+481178</f>
        <v>372392</v>
      </c>
      <c r="M19" s="2">
        <v>2101003</v>
      </c>
      <c r="O19" t="s">
        <v>93</v>
      </c>
      <c r="P19" t="s">
        <v>12</v>
      </c>
      <c r="Q19">
        <v>511.53042148539907</v>
      </c>
      <c r="R19" t="s">
        <v>342</v>
      </c>
      <c r="W19">
        <v>1145</v>
      </c>
      <c r="X19" s="2">
        <v>1678149</v>
      </c>
      <c r="Y19" s="2">
        <f t="shared" si="0"/>
        <v>1465.6323144104804</v>
      </c>
    </row>
    <row r="20" spans="1:25">
      <c r="A20" s="95" t="s">
        <v>8</v>
      </c>
      <c r="B20" s="119">
        <f>+B16*B7/INDEX(Tabla2[TC],MATCH(B14,Tabla2[Mes],0))</f>
        <v>2599.4046230700974</v>
      </c>
      <c r="C20" s="119">
        <f>+C16*C7/INDEX(Tabla2[TC],MATCH(C14,Tabla2[Mes],0))</f>
        <v>320.51145645584972</v>
      </c>
      <c r="D20" s="119">
        <f>+D16*D7/INDEX(Tabla2[TC],MATCH(D14,Tabla2[Mes],0))</f>
        <v>349.28099367748189</v>
      </c>
      <c r="E20" s="119">
        <f>+E16*E7/INDEX(Tabla2[TC],MATCH(E14,Tabla2[Mes],0))</f>
        <v>650.71296821351632</v>
      </c>
      <c r="F20" s="119">
        <f>+F16*F7/INDEX(Tabla2[TC],MATCH(F14,Tabla2[Mes],0))</f>
        <v>156.76921961066492</v>
      </c>
      <c r="G20" s="119">
        <f>+G16*G7/INDEX(Tabla2[TC],MATCH(G14,Tabla2[Mes],0))</f>
        <v>1889.5293462991162</v>
      </c>
      <c r="H20" s="119">
        <f>+H16*H7/INDEX(Tabla2[TC],MATCH(H14,Tabla2[Mes],0))</f>
        <v>158.00831094798798</v>
      </c>
      <c r="I20" s="119">
        <f>+I16*I7/INDEX(Tabla2[TC],MATCH(I14,Tabla2[Mes],0))</f>
        <v>696.89078936570729</v>
      </c>
      <c r="J20" s="119">
        <f>+J16*J7/INDEX(Tabla2[TC],MATCH(J14,Tabla2[Mes],0))</f>
        <v>1746.6974359606493</v>
      </c>
      <c r="K20" s="119">
        <f>+K16*K7/INDEX(Tabla2[TC],MATCH(K14,Tabla2[Mes],0))</f>
        <v>377.34491286417949</v>
      </c>
      <c r="L20" s="119">
        <f>+L16*L7/INDEX(Tabla2[TC],MATCH(L14,Tabla2[Mes],0))</f>
        <v>1160.706926973578</v>
      </c>
      <c r="M20" s="119">
        <f>+M16*M7/INDEX(Tabla2[TC],MATCH(M14,Tabla2[Mes],0))</f>
        <v>2230.9561715362715</v>
      </c>
      <c r="N20" s="2">
        <f>+SUM(B20:M20)/SUMIFS(TablaGeneral[Has],TablaGeneral[Finca],"Camino Truncado")</f>
        <v>186.79744586130872</v>
      </c>
      <c r="O20" t="s">
        <v>94</v>
      </c>
      <c r="P20" t="s">
        <v>12</v>
      </c>
      <c r="Q20">
        <v>622.06600982816531</v>
      </c>
      <c r="R20" t="s">
        <v>342</v>
      </c>
      <c r="Y20" s="2">
        <f>SUM(Y8:Y19)</f>
        <v>17314.903866349625</v>
      </c>
    </row>
    <row r="21" spans="1:25">
      <c r="A21" s="95" t="s">
        <v>12</v>
      </c>
      <c r="B21" s="119">
        <f>+B15*B7/INDEX(Tabla2[TC],MATCH(B14,Tabla2[Mes],0))</f>
        <v>1341.7565409937888</v>
      </c>
      <c r="C21" s="119">
        <f>+C15*C7/INDEX(Tabla2[TC],MATCH(C14,Tabla2[Mes],0))</f>
        <v>401.05810628409785</v>
      </c>
      <c r="D21" s="119">
        <f>+D15*D7/INDEX(Tabla2[TC],MATCH(D14,Tabla2[Mes],0))</f>
        <v>168.45499433002678</v>
      </c>
      <c r="E21" s="119">
        <f>+E15*E7/INDEX(Tabla2[TC],MATCH(E14,Tabla2[Mes],0))</f>
        <v>33.631699175217207</v>
      </c>
      <c r="F21" s="119">
        <f>+F15*F7/INDEX(Tabla2[TC],MATCH(F14,Tabla2[Mes],0))</f>
        <v>55.347765902667561</v>
      </c>
      <c r="G21" s="119">
        <f>+G15*G7/INDEX(Tabla2[TC],MATCH(G14,Tabla2[Mes],0))</f>
        <v>1095.718156240411</v>
      </c>
      <c r="H21" s="119">
        <f>+H15*H7/INDEX(Tabla2[TC],MATCH(H14,Tabla2[Mes],0))</f>
        <v>97.123382394845436</v>
      </c>
      <c r="I21" s="119">
        <f>+I15*I7/INDEX(Tabla2[TC],MATCH(I14,Tabla2[Mes],0))</f>
        <v>416.18680139614196</v>
      </c>
      <c r="J21" s="119">
        <f>+J15*J7/INDEX(Tabla2[TC],MATCH(J14,Tabla2[Mes],0))</f>
        <v>716.85681361241836</v>
      </c>
      <c r="K21" s="119">
        <f>+K15*K7/INDEX(Tabla2[TC],MATCH(K14,Tabla2[Mes],0))</f>
        <v>80.286425602322268</v>
      </c>
      <c r="L21" s="119">
        <f>+L15*L7/INDEX(Tabla2[TC],MATCH(L14,Tabla2[Mes],0))</f>
        <v>338.50789790006621</v>
      </c>
      <c r="M21" s="119">
        <f>+M15*M7/INDEX(Tabla2[TC],MATCH(M14,Tabla2[Mes],0))</f>
        <v>1583.3677656590189</v>
      </c>
      <c r="N21" s="2">
        <f>+SUM(B21:M21)/SUMIFS(TablaGeneral[Has],TablaGeneral[Finca],"La Chimbera")</f>
        <v>157.02968609158864</v>
      </c>
      <c r="O21" t="s">
        <v>95</v>
      </c>
      <c r="P21" t="s">
        <v>12</v>
      </c>
      <c r="Q21">
        <v>1089.82610841665</v>
      </c>
      <c r="R21" t="s">
        <v>342</v>
      </c>
    </row>
    <row r="22" spans="1:25">
      <c r="A22" s="95" t="s">
        <v>4</v>
      </c>
      <c r="B22" s="119">
        <f>+B17*B$7/INDEX(Tabla2[TC],MATCH(B$14,Tabla2[Mes],0))</f>
        <v>929.14363966282167</v>
      </c>
      <c r="C22" s="119">
        <f>+C17*C$7/INDEX(Tabla2[TC],MATCH(C$14,Tabla2[Mes],0))</f>
        <v>178.13971448777534</v>
      </c>
      <c r="D22" s="119">
        <f>+D17*D$7/INDEX(Tabla2[TC],MATCH(D$14,Tabla2[Mes],0))</f>
        <v>112.19353479533427</v>
      </c>
      <c r="E22" s="119">
        <f>+E17*E$7/INDEX(Tabla2[TC],MATCH(E$14,Tabla2[Mes],0))</f>
        <v>985.6257839286319</v>
      </c>
      <c r="F22" s="119">
        <f>+F17*F$7/INDEX(Tabla2[TC],MATCH(F$14,Tabla2[Mes],0))</f>
        <v>37.300976687921221</v>
      </c>
      <c r="G22" s="119">
        <f>+G17*G$7/INDEX(Tabla2[TC],MATCH(G$14,Tabla2[Mes],0))</f>
        <v>640.08341882453749</v>
      </c>
      <c r="H22" s="119">
        <f>+H17*H$7/INDEX(Tabla2[TC],MATCH(H$14,Tabla2[Mes],0))</f>
        <v>65.077066043953394</v>
      </c>
      <c r="I22" s="119">
        <f>+I17*I$7/INDEX(Tabla2[TC],MATCH(I$14,Tabla2[Mes],0))</f>
        <v>107.23958533749557</v>
      </c>
      <c r="J22" s="119">
        <f>+J17*J$7/INDEX(Tabla2[TC],MATCH(J$14,Tabla2[Mes],0))</f>
        <v>654.59032848298659</v>
      </c>
      <c r="K22" s="119">
        <f>+K17*K$7/INDEX(Tabla2[TC],MATCH(K$14,Tabla2[Mes],0))</f>
        <v>53.594665249734945</v>
      </c>
      <c r="L22" s="119">
        <f>+L17*L$7/INDEX(Tabla2[TC],MATCH(L$14,Tabla2[Mes],0))</f>
        <v>226.66940740481343</v>
      </c>
      <c r="M22" s="119">
        <f>+M17*M$7/INDEX(Tabla2[TC],MATCH(M$14,Tabla2[Mes],0))</f>
        <v>174.26832332143911</v>
      </c>
      <c r="N22" s="2">
        <f>+SUM(B22:M22)/SUMIFS(TablaGeneral[Has],TablaGeneral[Finca],"Puente Alto")</f>
        <v>155.48642435502035</v>
      </c>
      <c r="O22" t="s">
        <v>96</v>
      </c>
      <c r="P22" t="s">
        <v>12</v>
      </c>
      <c r="Q22">
        <v>518.30324770779032</v>
      </c>
      <c r="R22" t="s">
        <v>342</v>
      </c>
    </row>
    <row r="23" spans="1:25">
      <c r="A23" s="95" t="s">
        <v>373</v>
      </c>
      <c r="B23" s="119">
        <f>+B18*B$7/INDEX(Tabla2[TC],MATCH(B$14,Tabla2[Mes],0))</f>
        <v>3861.9612652173914</v>
      </c>
      <c r="C23" s="119">
        <f>+C18*C$7/INDEX(Tabla2[TC],MATCH(C$14,Tabla2[Mes],0))</f>
        <v>1178.6300404122046</v>
      </c>
      <c r="D23" s="119">
        <f>+D18*D$7/INDEX(Tabla2[TC],MATCH(D$14,Tabla2[Mes],0))</f>
        <v>858.9613880261403</v>
      </c>
      <c r="E23" s="119">
        <f>+E18*E$7/INDEX(Tabla2[TC],MATCH(E$14,Tabla2[Mes],0))</f>
        <v>861.594241340351</v>
      </c>
      <c r="F23" s="119">
        <f>+F18*F$7/INDEX(Tabla2[TC],MATCH(F$14,Tabla2[Mes],0))</f>
        <v>216.36165040379589</v>
      </c>
      <c r="G23" s="119">
        <f>+G18*G$7/INDEX(Tabla2[TC],MATCH(G$14,Tabla2[Mes],0))</f>
        <v>4879.2896420849584</v>
      </c>
      <c r="H23" s="119">
        <f>+H18*H$7/INDEX(Tabla2[TC],MATCH(H$14,Tabla2[Mes],0))</f>
        <v>1899.7252973676152</v>
      </c>
      <c r="I23" s="119">
        <f>+I18*I$7/INDEX(Tabla2[TC],MATCH(I$14,Tabla2[Mes],0))</f>
        <v>1889.843740222736</v>
      </c>
      <c r="J23" s="119">
        <f>+J18*J$7/INDEX(Tabla2[TC],MATCH(J$14,Tabla2[Mes],0))</f>
        <v>1730.4563105382965</v>
      </c>
      <c r="K23" s="119">
        <f>+K18*K$7/INDEX(Tabla2[TC],MATCH(K$14,Tabla2[Mes],0))</f>
        <v>288.28826386219367</v>
      </c>
      <c r="L23" s="119">
        <f>+L18*L$7/INDEX(Tabla2[TC],MATCH(L$14,Tabla2[Mes],0))</f>
        <v>1285.3462797387247</v>
      </c>
      <c r="M23" s="119">
        <f>+M18*M$7/INDEX(Tabla2[TC],MATCH(M$14,Tabla2[Mes],0))</f>
        <v>5512.336066155025</v>
      </c>
      <c r="N23" s="2">
        <f>+SUM(B23:M23)/(SUMIFS(TablaGeneral[Has],TablaGeneral[Finca],"El Espejo I")+SUMIFS(TablaGeneral[Has],TablaGeneral[Finca],"El Espejo II"))</f>
        <v>163.0852945691295</v>
      </c>
      <c r="O23" t="s">
        <v>97</v>
      </c>
      <c r="P23" t="s">
        <v>12</v>
      </c>
      <c r="Q23">
        <v>1379.90813417246</v>
      </c>
      <c r="R23" t="s">
        <v>342</v>
      </c>
    </row>
    <row r="24" spans="1:25">
      <c r="A24" s="95" t="s">
        <v>15</v>
      </c>
      <c r="B24" s="119">
        <f>+B19*B$7/INDEX(Tabla2[TC],MATCH(B$14,Tabla2[Mes],0))</f>
        <v>1606.4097381543922</v>
      </c>
      <c r="C24" s="119">
        <f>+C19*C$7/INDEX(Tabla2[TC],MATCH(C$14,Tabla2[Mes],0))</f>
        <v>464.08683713881601</v>
      </c>
      <c r="D24" s="119">
        <f>+D19*D$7/INDEX(Tabla2[TC],MATCH(D$14,Tabla2[Mes],0))</f>
        <v>342.18371730871417</v>
      </c>
      <c r="E24" s="119">
        <f>+E19*E$7/INDEX(Tabla2[TC],MATCH(E$14,Tabla2[Mes],0))</f>
        <v>284.9251105603156</v>
      </c>
      <c r="F24" s="119">
        <f>+F19*F$7/INDEX(Tabla2[TC],MATCH(F$14,Tabla2[Mes],0))</f>
        <v>73.501125876432667</v>
      </c>
      <c r="G24" s="119">
        <f>+G19*G$7/INDEX(Tabla2[TC],MATCH(G$14,Tabla2[Mes],0))</f>
        <v>2018.4385846839223</v>
      </c>
      <c r="H24" s="119">
        <f>+H19*H$7/INDEX(Tabla2[TC],MATCH(H$14,Tabla2[Mes],0))</f>
        <v>782.83835396783718</v>
      </c>
      <c r="I24" s="119">
        <f>+I19*I$7/INDEX(Tabla2[TC],MATCH(I$14,Tabla2[Mes],0))</f>
        <v>746.96795295555683</v>
      </c>
      <c r="J24" s="119">
        <f>+J19*J$7/INDEX(Tabla2[TC],MATCH(J$14,Tabla2[Mes],0))</f>
        <v>625.71384988690056</v>
      </c>
      <c r="K24" s="119">
        <f>+K19*K$7/INDEX(Tabla2[TC],MATCH(K$14,Tabla2[Mes],0))</f>
        <v>119.86315304002891</v>
      </c>
      <c r="L24" s="119">
        <f>+L19*L$7/INDEX(Tabla2[TC],MATCH(L$14,Tabla2[Mes],0))</f>
        <v>488.96694044623604</v>
      </c>
      <c r="M24" s="119">
        <f>+M19*M$7/INDEX(Tabla2[TC],MATCH(M$14,Tabla2[Mes],0))</f>
        <v>2813.2886919560615</v>
      </c>
      <c r="N24" s="2">
        <f>+SUM(B24:M24)/SUMIFS(TablaGeneral[Has],TablaGeneral[Finca],"El Espejo III")</f>
        <v>104.66616916683708</v>
      </c>
      <c r="O24" t="s">
        <v>98</v>
      </c>
      <c r="P24" t="s">
        <v>12</v>
      </c>
      <c r="Q24">
        <v>246.68281828979897</v>
      </c>
      <c r="R24" t="s">
        <v>342</v>
      </c>
    </row>
    <row r="25" spans="1:25">
      <c r="O25" t="s">
        <v>99</v>
      </c>
      <c r="P25" t="s">
        <v>12</v>
      </c>
      <c r="Q25">
        <v>1809.097372476605</v>
      </c>
      <c r="R25" t="s">
        <v>342</v>
      </c>
    </row>
    <row r="26" spans="1:25">
      <c r="O26" t="s">
        <v>88</v>
      </c>
      <c r="P26" t="s">
        <v>4</v>
      </c>
      <c r="Q26">
        <v>579.6250121561668</v>
      </c>
      <c r="R26" t="s">
        <v>342</v>
      </c>
    </row>
    <row r="27" spans="1:25">
      <c r="O27" t="s">
        <v>89</v>
      </c>
      <c r="P27" t="s">
        <v>4</v>
      </c>
      <c r="Q27">
        <v>430.88015093958381</v>
      </c>
      <c r="R27" t="s">
        <v>342</v>
      </c>
    </row>
    <row r="28" spans="1:25">
      <c r="O28" t="s">
        <v>90</v>
      </c>
      <c r="P28" t="s">
        <v>4</v>
      </c>
      <c r="Q28">
        <v>86.928806238614484</v>
      </c>
      <c r="R28" t="s">
        <v>342</v>
      </c>
    </row>
    <row r="29" spans="1:25">
      <c r="O29" t="s">
        <v>91</v>
      </c>
      <c r="P29" t="s">
        <v>4</v>
      </c>
      <c r="Q29">
        <v>521.76680949553781</v>
      </c>
      <c r="R29" t="s">
        <v>342</v>
      </c>
    </row>
    <row r="30" spans="1:25">
      <c r="O30" t="s">
        <v>92</v>
      </c>
      <c r="P30" t="s">
        <v>4</v>
      </c>
      <c r="Q30">
        <v>828.60823890391202</v>
      </c>
      <c r="R30" t="s">
        <v>342</v>
      </c>
    </row>
    <row r="31" spans="1:25">
      <c r="O31" t="s">
        <v>93</v>
      </c>
      <c r="P31" t="s">
        <v>4</v>
      </c>
      <c r="Q31">
        <v>283.15307113375894</v>
      </c>
      <c r="R31" t="s">
        <v>342</v>
      </c>
    </row>
    <row r="32" spans="1:25">
      <c r="O32" t="s">
        <v>94</v>
      </c>
      <c r="P32" t="s">
        <v>4</v>
      </c>
      <c r="Q32">
        <v>184.58801118655913</v>
      </c>
      <c r="R32" t="s">
        <v>342</v>
      </c>
    </row>
    <row r="33" spans="15:18">
      <c r="O33" t="s">
        <v>95</v>
      </c>
      <c r="P33" t="s">
        <v>4</v>
      </c>
      <c r="Q33">
        <v>2052.2525155004246</v>
      </c>
      <c r="R33" t="s">
        <v>342</v>
      </c>
    </row>
    <row r="34" spans="15:18">
      <c r="O34" t="s">
        <v>96</v>
      </c>
      <c r="P34" t="s">
        <v>4</v>
      </c>
      <c r="Q34">
        <v>316.2221861229653</v>
      </c>
      <c r="R34" t="s">
        <v>342</v>
      </c>
    </row>
    <row r="35" spans="15:18">
      <c r="O35" t="s">
        <v>97</v>
      </c>
      <c r="P35" t="s">
        <v>4</v>
      </c>
      <c r="Q35">
        <v>1535.5744496495474</v>
      </c>
      <c r="R35" t="s">
        <v>342</v>
      </c>
    </row>
    <row r="36" spans="15:18">
      <c r="O36" t="s">
        <v>98</v>
      </c>
      <c r="P36" t="s">
        <v>4</v>
      </c>
      <c r="Q36">
        <v>5.2941918834970245</v>
      </c>
      <c r="R36" t="s">
        <v>342</v>
      </c>
    </row>
    <row r="37" spans="15:18">
      <c r="O37" t="s">
        <v>99</v>
      </c>
      <c r="P37" t="s">
        <v>4</v>
      </c>
      <c r="Q37">
        <v>1213.3719566173777</v>
      </c>
      <c r="R37" t="s">
        <v>342</v>
      </c>
    </row>
    <row r="38" spans="15:18">
      <c r="O38" t="s">
        <v>88</v>
      </c>
      <c r="P38" t="s">
        <v>373</v>
      </c>
      <c r="Q38">
        <v>579.03847684117125</v>
      </c>
      <c r="R38" t="s">
        <v>342</v>
      </c>
    </row>
    <row r="39" spans="15:18">
      <c r="O39" t="s">
        <v>89</v>
      </c>
      <c r="P39" t="s">
        <v>373</v>
      </c>
      <c r="Q39">
        <v>239.48500969892913</v>
      </c>
      <c r="R39" t="s">
        <v>342</v>
      </c>
    </row>
    <row r="40" spans="15:18">
      <c r="O40" t="s">
        <v>90</v>
      </c>
      <c r="P40" t="s">
        <v>373</v>
      </c>
      <c r="Q40">
        <v>882.12688854642795</v>
      </c>
      <c r="R40" t="s">
        <v>342</v>
      </c>
    </row>
    <row r="41" spans="15:18">
      <c r="O41" t="s">
        <v>91</v>
      </c>
      <c r="P41" t="s">
        <v>373</v>
      </c>
      <c r="Q41">
        <v>198.03450503438177</v>
      </c>
      <c r="R41" t="s">
        <v>342</v>
      </c>
    </row>
    <row r="42" spans="15:18">
      <c r="O42" t="s">
        <v>92</v>
      </c>
      <c r="P42" t="s">
        <v>373</v>
      </c>
      <c r="Q42">
        <v>1995.2183558650472</v>
      </c>
      <c r="R42" t="s">
        <v>342</v>
      </c>
    </row>
    <row r="43" spans="15:18">
      <c r="O43" t="s">
        <v>93</v>
      </c>
      <c r="P43" t="s">
        <v>373</v>
      </c>
      <c r="Q43">
        <v>4108.8561606463918</v>
      </c>
      <c r="R43" t="s">
        <v>342</v>
      </c>
    </row>
    <row r="44" spans="15:18">
      <c r="O44" t="s">
        <v>94</v>
      </c>
      <c r="P44" t="s">
        <v>373</v>
      </c>
      <c r="Q44">
        <v>1115.4539230789674</v>
      </c>
      <c r="R44" t="s">
        <v>342</v>
      </c>
    </row>
    <row r="45" spans="15:18">
      <c r="O45" t="s">
        <v>95</v>
      </c>
      <c r="P45" t="s">
        <v>373</v>
      </c>
      <c r="Q45">
        <v>4087.2827653651502</v>
      </c>
      <c r="R45" t="s">
        <v>342</v>
      </c>
    </row>
    <row r="46" spans="15:18">
      <c r="O46" t="s">
        <v>96</v>
      </c>
      <c r="P46" t="s">
        <v>373</v>
      </c>
      <c r="Q46">
        <v>6950.005311795373</v>
      </c>
      <c r="R46" t="s">
        <v>342</v>
      </c>
    </row>
    <row r="47" spans="15:18">
      <c r="O47" t="s">
        <v>97</v>
      </c>
      <c r="P47" t="s">
        <v>373</v>
      </c>
      <c r="Q47">
        <v>4997.4868838596494</v>
      </c>
      <c r="R47" t="s">
        <v>342</v>
      </c>
    </row>
    <row r="48" spans="15:18">
      <c r="O48" t="s">
        <v>98</v>
      </c>
      <c r="P48" t="s">
        <v>373</v>
      </c>
      <c r="Q48">
        <v>6226.5336072281061</v>
      </c>
      <c r="R48" t="s">
        <v>342</v>
      </c>
    </row>
    <row r="49" spans="15:18">
      <c r="O49" t="s">
        <v>99</v>
      </c>
      <c r="P49" t="s">
        <v>373</v>
      </c>
      <c r="Q49">
        <v>14170.620020631732</v>
      </c>
      <c r="R49" t="s">
        <v>342</v>
      </c>
    </row>
    <row r="50" spans="15:18">
      <c r="O50" t="s">
        <v>88</v>
      </c>
      <c r="P50" t="s">
        <v>15</v>
      </c>
      <c r="Q50">
        <v>239.23235696539484</v>
      </c>
      <c r="R50" t="s">
        <v>342</v>
      </c>
    </row>
    <row r="51" spans="15:18">
      <c r="O51" t="s">
        <v>89</v>
      </c>
      <c r="P51" t="s">
        <v>15</v>
      </c>
      <c r="Q51">
        <v>101.1068367346939</v>
      </c>
      <c r="R51" t="s">
        <v>342</v>
      </c>
    </row>
    <row r="52" spans="15:18">
      <c r="O52" t="s">
        <v>90</v>
      </c>
      <c r="P52" t="s">
        <v>15</v>
      </c>
      <c r="Q52">
        <v>473.73931899607589</v>
      </c>
      <c r="R52" t="s">
        <v>342</v>
      </c>
    </row>
    <row r="53" spans="15:18">
      <c r="O53" t="s">
        <v>91</v>
      </c>
      <c r="P53" t="s">
        <v>15</v>
      </c>
      <c r="Q53">
        <v>141.35291959334012</v>
      </c>
      <c r="R53" t="s">
        <v>342</v>
      </c>
    </row>
    <row r="54" spans="15:18">
      <c r="O54" t="s">
        <v>92</v>
      </c>
      <c r="P54" t="s">
        <v>15</v>
      </c>
      <c r="Q54">
        <v>1555.9464030188874</v>
      </c>
      <c r="R54" t="s">
        <v>342</v>
      </c>
    </row>
    <row r="55" spans="15:18">
      <c r="O55" t="s">
        <v>93</v>
      </c>
      <c r="P55" t="s">
        <v>15</v>
      </c>
      <c r="Q55">
        <v>2088.8718314252751</v>
      </c>
      <c r="R55" t="s">
        <v>342</v>
      </c>
    </row>
    <row r="56" spans="15:18">
      <c r="O56" t="s">
        <v>94</v>
      </c>
      <c r="P56" t="s">
        <v>15</v>
      </c>
      <c r="Q56">
        <v>470.85164084710857</v>
      </c>
      <c r="R56" t="s">
        <v>342</v>
      </c>
    </row>
    <row r="57" spans="15:18">
      <c r="O57" t="s">
        <v>95</v>
      </c>
      <c r="P57" t="s">
        <v>15</v>
      </c>
      <c r="Q57">
        <v>1717.6260359944579</v>
      </c>
      <c r="R57" t="s">
        <v>342</v>
      </c>
    </row>
    <row r="58" spans="15:18">
      <c r="O58" t="s">
        <v>96</v>
      </c>
      <c r="P58" t="s">
        <v>15</v>
      </c>
      <c r="Q58">
        <v>12870.177828899356</v>
      </c>
      <c r="R58" t="s">
        <v>342</v>
      </c>
    </row>
    <row r="59" spans="15:18">
      <c r="O59" t="s">
        <v>97</v>
      </c>
      <c r="P59" t="s">
        <v>15</v>
      </c>
      <c r="Q59">
        <v>226.09975815550715</v>
      </c>
      <c r="R59" t="s">
        <v>342</v>
      </c>
    </row>
    <row r="60" spans="15:18">
      <c r="O60" t="s">
        <v>98</v>
      </c>
      <c r="P60" t="s">
        <v>15</v>
      </c>
      <c r="Q60">
        <v>69.890685906443352</v>
      </c>
      <c r="R60" t="s">
        <v>342</v>
      </c>
    </row>
    <row r="61" spans="15:18">
      <c r="O61" t="s">
        <v>99</v>
      </c>
      <c r="P61" t="s">
        <v>15</v>
      </c>
      <c r="Q61">
        <v>8650.2986983326264</v>
      </c>
      <c r="R61" t="s">
        <v>342</v>
      </c>
    </row>
    <row r="62" spans="15:18">
      <c r="O62" t="s">
        <v>88</v>
      </c>
      <c r="P62" t="s">
        <v>8</v>
      </c>
      <c r="Q62">
        <v>2599.4046230700974</v>
      </c>
      <c r="R62" t="s">
        <v>341</v>
      </c>
    </row>
    <row r="63" spans="15:18">
      <c r="O63" t="s">
        <v>89</v>
      </c>
      <c r="P63" t="s">
        <v>8</v>
      </c>
      <c r="Q63">
        <v>320.51145645584972</v>
      </c>
      <c r="R63" t="s">
        <v>341</v>
      </c>
    </row>
    <row r="64" spans="15:18">
      <c r="O64" t="s">
        <v>90</v>
      </c>
      <c r="P64" t="s">
        <v>8</v>
      </c>
      <c r="Q64">
        <v>349.28099367748189</v>
      </c>
      <c r="R64" t="s">
        <v>341</v>
      </c>
    </row>
    <row r="65" spans="15:18">
      <c r="O65" t="s">
        <v>91</v>
      </c>
      <c r="P65" t="s">
        <v>8</v>
      </c>
      <c r="Q65">
        <v>650.71296821351632</v>
      </c>
      <c r="R65" t="s">
        <v>341</v>
      </c>
    </row>
    <row r="66" spans="15:18">
      <c r="O66" t="s">
        <v>92</v>
      </c>
      <c r="P66" t="s">
        <v>8</v>
      </c>
      <c r="Q66">
        <v>156.76921961066492</v>
      </c>
      <c r="R66" t="s">
        <v>341</v>
      </c>
    </row>
    <row r="67" spans="15:18">
      <c r="O67" t="s">
        <v>93</v>
      </c>
      <c r="P67" t="s">
        <v>8</v>
      </c>
      <c r="Q67">
        <v>1889.5293462991162</v>
      </c>
      <c r="R67" t="s">
        <v>341</v>
      </c>
    </row>
    <row r="68" spans="15:18">
      <c r="O68" t="s">
        <v>94</v>
      </c>
      <c r="P68" t="s">
        <v>8</v>
      </c>
      <c r="Q68">
        <v>158.00831094798798</v>
      </c>
      <c r="R68" t="s">
        <v>341</v>
      </c>
    </row>
    <row r="69" spans="15:18">
      <c r="O69" t="s">
        <v>95</v>
      </c>
      <c r="P69" t="s">
        <v>8</v>
      </c>
      <c r="Q69">
        <v>696.89078936570729</v>
      </c>
      <c r="R69" t="s">
        <v>341</v>
      </c>
    </row>
    <row r="70" spans="15:18">
      <c r="O70" t="s">
        <v>96</v>
      </c>
      <c r="P70" t="s">
        <v>8</v>
      </c>
      <c r="Q70">
        <v>1746.6974359606493</v>
      </c>
      <c r="R70" t="s">
        <v>341</v>
      </c>
    </row>
    <row r="71" spans="15:18">
      <c r="O71" t="s">
        <v>97</v>
      </c>
      <c r="P71" t="s">
        <v>8</v>
      </c>
      <c r="Q71">
        <v>377.34491286417949</v>
      </c>
      <c r="R71" t="s">
        <v>341</v>
      </c>
    </row>
    <row r="72" spans="15:18">
      <c r="O72" t="s">
        <v>98</v>
      </c>
      <c r="P72" t="s">
        <v>8</v>
      </c>
      <c r="Q72">
        <v>1160.706926973578</v>
      </c>
      <c r="R72" t="s">
        <v>341</v>
      </c>
    </row>
    <row r="73" spans="15:18">
      <c r="O73" t="s">
        <v>99</v>
      </c>
      <c r="P73" t="s">
        <v>8</v>
      </c>
      <c r="Q73">
        <v>2230.9561715362715</v>
      </c>
      <c r="R73" t="s">
        <v>341</v>
      </c>
    </row>
    <row r="74" spans="15:18">
      <c r="O74" t="s">
        <v>88</v>
      </c>
      <c r="P74" t="s">
        <v>12</v>
      </c>
      <c r="Q74">
        <v>1341.7565409937888</v>
      </c>
      <c r="R74" t="s">
        <v>341</v>
      </c>
    </row>
    <row r="75" spans="15:18">
      <c r="O75" t="s">
        <v>89</v>
      </c>
      <c r="P75" t="s">
        <v>12</v>
      </c>
      <c r="Q75">
        <v>401.05810628409785</v>
      </c>
      <c r="R75" t="s">
        <v>341</v>
      </c>
    </row>
    <row r="76" spans="15:18">
      <c r="O76" t="s">
        <v>90</v>
      </c>
      <c r="P76" t="s">
        <v>12</v>
      </c>
      <c r="Q76">
        <v>168.45499433002678</v>
      </c>
      <c r="R76" t="s">
        <v>341</v>
      </c>
    </row>
    <row r="77" spans="15:18">
      <c r="O77" t="s">
        <v>91</v>
      </c>
      <c r="P77" t="s">
        <v>12</v>
      </c>
      <c r="Q77">
        <v>33.631699175217207</v>
      </c>
      <c r="R77" t="s">
        <v>341</v>
      </c>
    </row>
    <row r="78" spans="15:18">
      <c r="O78" t="s">
        <v>92</v>
      </c>
      <c r="P78" t="s">
        <v>12</v>
      </c>
      <c r="Q78">
        <v>55.347765902667561</v>
      </c>
      <c r="R78" t="s">
        <v>341</v>
      </c>
    </row>
    <row r="79" spans="15:18">
      <c r="O79" t="s">
        <v>93</v>
      </c>
      <c r="P79" t="s">
        <v>12</v>
      </c>
      <c r="Q79">
        <v>1095.718156240411</v>
      </c>
      <c r="R79" t="s">
        <v>341</v>
      </c>
    </row>
    <row r="80" spans="15:18">
      <c r="O80" t="s">
        <v>94</v>
      </c>
      <c r="P80" t="s">
        <v>12</v>
      </c>
      <c r="Q80">
        <v>97.123382394845436</v>
      </c>
      <c r="R80" t="s">
        <v>341</v>
      </c>
    </row>
    <row r="81" spans="15:18">
      <c r="O81" t="s">
        <v>95</v>
      </c>
      <c r="P81" t="s">
        <v>12</v>
      </c>
      <c r="Q81">
        <v>416.18680139614196</v>
      </c>
      <c r="R81" t="s">
        <v>341</v>
      </c>
    </row>
    <row r="82" spans="15:18">
      <c r="O82" t="s">
        <v>96</v>
      </c>
      <c r="P82" t="s">
        <v>12</v>
      </c>
      <c r="Q82">
        <v>716.85681361241836</v>
      </c>
      <c r="R82" t="s">
        <v>341</v>
      </c>
    </row>
    <row r="83" spans="15:18">
      <c r="O83" t="s">
        <v>97</v>
      </c>
      <c r="P83" t="s">
        <v>12</v>
      </c>
      <c r="Q83">
        <v>80.286425602322268</v>
      </c>
      <c r="R83" t="s">
        <v>341</v>
      </c>
    </row>
    <row r="84" spans="15:18">
      <c r="O84" t="s">
        <v>98</v>
      </c>
      <c r="P84" t="s">
        <v>12</v>
      </c>
      <c r="Q84">
        <v>338.50789790006621</v>
      </c>
      <c r="R84" t="s">
        <v>341</v>
      </c>
    </row>
    <row r="85" spans="15:18">
      <c r="O85" t="s">
        <v>99</v>
      </c>
      <c r="P85" t="s">
        <v>12</v>
      </c>
      <c r="Q85">
        <v>1583.3677656590189</v>
      </c>
      <c r="R85" t="s">
        <v>341</v>
      </c>
    </row>
    <row r="86" spans="15:18">
      <c r="O86" t="s">
        <v>88</v>
      </c>
      <c r="P86" t="s">
        <v>4</v>
      </c>
      <c r="Q86">
        <v>929.14363966282167</v>
      </c>
      <c r="R86" t="s">
        <v>341</v>
      </c>
    </row>
    <row r="87" spans="15:18">
      <c r="O87" t="s">
        <v>89</v>
      </c>
      <c r="P87" t="s">
        <v>4</v>
      </c>
      <c r="Q87">
        <v>178.13971448777534</v>
      </c>
      <c r="R87" t="s">
        <v>341</v>
      </c>
    </row>
    <row r="88" spans="15:18">
      <c r="O88" t="s">
        <v>90</v>
      </c>
      <c r="P88" t="s">
        <v>4</v>
      </c>
      <c r="Q88">
        <v>112.19353479533427</v>
      </c>
      <c r="R88" t="s">
        <v>341</v>
      </c>
    </row>
    <row r="89" spans="15:18">
      <c r="O89" t="s">
        <v>91</v>
      </c>
      <c r="P89" t="s">
        <v>4</v>
      </c>
      <c r="Q89">
        <v>985.6257839286319</v>
      </c>
      <c r="R89" t="s">
        <v>341</v>
      </c>
    </row>
    <row r="90" spans="15:18">
      <c r="O90" t="s">
        <v>92</v>
      </c>
      <c r="P90" t="s">
        <v>4</v>
      </c>
      <c r="Q90">
        <v>37.300976687921221</v>
      </c>
      <c r="R90" t="s">
        <v>341</v>
      </c>
    </row>
    <row r="91" spans="15:18">
      <c r="O91" t="s">
        <v>93</v>
      </c>
      <c r="P91" t="s">
        <v>4</v>
      </c>
      <c r="Q91">
        <v>640.08341882453749</v>
      </c>
      <c r="R91" t="s">
        <v>341</v>
      </c>
    </row>
    <row r="92" spans="15:18">
      <c r="O92" t="s">
        <v>94</v>
      </c>
      <c r="P92" t="s">
        <v>4</v>
      </c>
      <c r="Q92">
        <v>65.077066043953394</v>
      </c>
      <c r="R92" t="s">
        <v>341</v>
      </c>
    </row>
    <row r="93" spans="15:18">
      <c r="O93" t="s">
        <v>95</v>
      </c>
      <c r="P93" t="s">
        <v>4</v>
      </c>
      <c r="Q93">
        <v>107.23958533749557</v>
      </c>
      <c r="R93" t="s">
        <v>341</v>
      </c>
    </row>
    <row r="94" spans="15:18">
      <c r="O94" t="s">
        <v>96</v>
      </c>
      <c r="P94" t="s">
        <v>4</v>
      </c>
      <c r="Q94">
        <v>654.59032848298659</v>
      </c>
      <c r="R94" t="s">
        <v>341</v>
      </c>
    </row>
    <row r="95" spans="15:18">
      <c r="O95" t="s">
        <v>97</v>
      </c>
      <c r="P95" t="s">
        <v>4</v>
      </c>
      <c r="Q95">
        <v>53.594665249734945</v>
      </c>
      <c r="R95" t="s">
        <v>341</v>
      </c>
    </row>
    <row r="96" spans="15:18">
      <c r="O96" t="s">
        <v>98</v>
      </c>
      <c r="P96" t="s">
        <v>4</v>
      </c>
      <c r="Q96">
        <v>226.66940740481343</v>
      </c>
      <c r="R96" t="s">
        <v>341</v>
      </c>
    </row>
    <row r="97" spans="15:18">
      <c r="O97" t="s">
        <v>99</v>
      </c>
      <c r="P97" t="s">
        <v>4</v>
      </c>
      <c r="Q97">
        <v>174.26832332143911</v>
      </c>
      <c r="R97" t="s">
        <v>341</v>
      </c>
    </row>
    <row r="98" spans="15:18">
      <c r="O98" t="s">
        <v>88</v>
      </c>
      <c r="P98" t="s">
        <v>373</v>
      </c>
      <c r="Q98">
        <v>3861.9612652173914</v>
      </c>
      <c r="R98" t="s">
        <v>341</v>
      </c>
    </row>
    <row r="99" spans="15:18">
      <c r="O99" t="s">
        <v>89</v>
      </c>
      <c r="P99" t="s">
        <v>373</v>
      </c>
      <c r="Q99">
        <v>1178.6300404122046</v>
      </c>
      <c r="R99" t="s">
        <v>341</v>
      </c>
    </row>
    <row r="100" spans="15:18">
      <c r="O100" t="s">
        <v>90</v>
      </c>
      <c r="P100" t="s">
        <v>373</v>
      </c>
      <c r="Q100">
        <v>858.9613880261403</v>
      </c>
      <c r="R100" t="s">
        <v>341</v>
      </c>
    </row>
    <row r="101" spans="15:18">
      <c r="O101" t="s">
        <v>91</v>
      </c>
      <c r="P101" t="s">
        <v>373</v>
      </c>
      <c r="Q101">
        <v>861.594241340351</v>
      </c>
      <c r="R101" t="s">
        <v>341</v>
      </c>
    </row>
    <row r="102" spans="15:18">
      <c r="O102" t="s">
        <v>92</v>
      </c>
      <c r="P102" t="s">
        <v>373</v>
      </c>
      <c r="Q102">
        <v>216.36165040379589</v>
      </c>
      <c r="R102" t="s">
        <v>341</v>
      </c>
    </row>
    <row r="103" spans="15:18">
      <c r="O103" t="s">
        <v>93</v>
      </c>
      <c r="P103" t="s">
        <v>373</v>
      </c>
      <c r="Q103">
        <v>4879.2896420849584</v>
      </c>
      <c r="R103" t="s">
        <v>341</v>
      </c>
    </row>
    <row r="104" spans="15:18">
      <c r="O104" t="s">
        <v>94</v>
      </c>
      <c r="P104" t="s">
        <v>373</v>
      </c>
      <c r="Q104">
        <v>1899.7252973676152</v>
      </c>
      <c r="R104" t="s">
        <v>341</v>
      </c>
    </row>
    <row r="105" spans="15:18">
      <c r="O105" t="s">
        <v>95</v>
      </c>
      <c r="P105" t="s">
        <v>373</v>
      </c>
      <c r="Q105">
        <v>1889.843740222736</v>
      </c>
      <c r="R105" t="s">
        <v>341</v>
      </c>
    </row>
    <row r="106" spans="15:18">
      <c r="O106" t="s">
        <v>96</v>
      </c>
      <c r="P106" t="s">
        <v>373</v>
      </c>
      <c r="Q106">
        <v>1730.4563105382965</v>
      </c>
      <c r="R106" t="s">
        <v>341</v>
      </c>
    </row>
    <row r="107" spans="15:18">
      <c r="O107" t="s">
        <v>97</v>
      </c>
      <c r="P107" t="s">
        <v>373</v>
      </c>
      <c r="Q107">
        <v>288.28826386219367</v>
      </c>
      <c r="R107" t="s">
        <v>341</v>
      </c>
    </row>
    <row r="108" spans="15:18">
      <c r="O108" t="s">
        <v>98</v>
      </c>
      <c r="P108" t="s">
        <v>373</v>
      </c>
      <c r="Q108">
        <v>1285.3462797387247</v>
      </c>
      <c r="R108" t="s">
        <v>341</v>
      </c>
    </row>
    <row r="109" spans="15:18">
      <c r="O109" t="s">
        <v>99</v>
      </c>
      <c r="P109" t="s">
        <v>373</v>
      </c>
      <c r="Q109">
        <v>5512.336066155025</v>
      </c>
      <c r="R109" t="s">
        <v>341</v>
      </c>
    </row>
    <row r="110" spans="15:18">
      <c r="O110" t="s">
        <v>88</v>
      </c>
      <c r="P110" t="s">
        <v>15</v>
      </c>
      <c r="Q110">
        <v>1606.4097381543922</v>
      </c>
      <c r="R110" t="s">
        <v>341</v>
      </c>
    </row>
    <row r="111" spans="15:18">
      <c r="O111" t="s">
        <v>89</v>
      </c>
      <c r="P111" t="s">
        <v>15</v>
      </c>
      <c r="Q111">
        <v>464.08683713881601</v>
      </c>
      <c r="R111" t="s">
        <v>341</v>
      </c>
    </row>
    <row r="112" spans="15:18">
      <c r="O112" t="s">
        <v>90</v>
      </c>
      <c r="P112" t="s">
        <v>15</v>
      </c>
      <c r="Q112">
        <v>342.18371730871417</v>
      </c>
      <c r="R112" t="s">
        <v>341</v>
      </c>
    </row>
    <row r="113" spans="15:18">
      <c r="O113" t="s">
        <v>91</v>
      </c>
      <c r="P113" t="s">
        <v>15</v>
      </c>
      <c r="Q113">
        <v>284.9251105603156</v>
      </c>
      <c r="R113" t="s">
        <v>341</v>
      </c>
    </row>
    <row r="114" spans="15:18">
      <c r="O114" t="s">
        <v>92</v>
      </c>
      <c r="P114" t="s">
        <v>15</v>
      </c>
      <c r="Q114">
        <v>73.501125876432667</v>
      </c>
      <c r="R114" t="s">
        <v>341</v>
      </c>
    </row>
    <row r="115" spans="15:18">
      <c r="O115" t="s">
        <v>93</v>
      </c>
      <c r="P115" t="s">
        <v>15</v>
      </c>
      <c r="Q115">
        <v>2018.4385846839223</v>
      </c>
      <c r="R115" t="s">
        <v>341</v>
      </c>
    </row>
    <row r="116" spans="15:18">
      <c r="O116" t="s">
        <v>94</v>
      </c>
      <c r="P116" t="s">
        <v>15</v>
      </c>
      <c r="Q116">
        <v>782.83835396783718</v>
      </c>
      <c r="R116" t="s">
        <v>341</v>
      </c>
    </row>
    <row r="117" spans="15:18">
      <c r="O117" t="s">
        <v>95</v>
      </c>
      <c r="P117" t="s">
        <v>15</v>
      </c>
      <c r="Q117">
        <v>746.96795295555683</v>
      </c>
      <c r="R117" t="s">
        <v>341</v>
      </c>
    </row>
    <row r="118" spans="15:18">
      <c r="O118" t="s">
        <v>96</v>
      </c>
      <c r="P118" t="s">
        <v>15</v>
      </c>
      <c r="Q118">
        <v>625.71384988690056</v>
      </c>
      <c r="R118" t="s">
        <v>341</v>
      </c>
    </row>
    <row r="119" spans="15:18">
      <c r="O119" t="s">
        <v>97</v>
      </c>
      <c r="P119" t="s">
        <v>15</v>
      </c>
      <c r="Q119">
        <v>119.86315304002891</v>
      </c>
      <c r="R119" t="s">
        <v>341</v>
      </c>
    </row>
    <row r="120" spans="15:18">
      <c r="O120" t="s">
        <v>98</v>
      </c>
      <c r="P120" t="s">
        <v>15</v>
      </c>
      <c r="Q120">
        <v>488.96694044623604</v>
      </c>
      <c r="R120" t="s">
        <v>341</v>
      </c>
    </row>
    <row r="121" spans="15:18">
      <c r="O121" t="s">
        <v>99</v>
      </c>
      <c r="P121" t="s">
        <v>15</v>
      </c>
      <c r="Q121">
        <v>2813.2886919560615</v>
      </c>
      <c r="R121" t="s">
        <v>341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R61"/>
  <sheetViews>
    <sheetView workbookViewId="0">
      <selection activeCell="B8" sqref="B8"/>
    </sheetView>
  </sheetViews>
  <sheetFormatPr baseColWidth="10" defaultRowHeight="15"/>
  <cols>
    <col min="1" max="1" width="16.42578125" bestFit="1" customWidth="1"/>
    <col min="2" max="2" width="11.42578125" bestFit="1" customWidth="1"/>
    <col min="3" max="9" width="12.7109375" bestFit="1" customWidth="1"/>
    <col min="10" max="13" width="13.7109375" bestFit="1" customWidth="1"/>
  </cols>
  <sheetData>
    <row r="1" spans="1:18">
      <c r="A1" t="s">
        <v>420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O1" t="s">
        <v>365</v>
      </c>
      <c r="P1" t="s">
        <v>366</v>
      </c>
      <c r="Q1" t="s">
        <v>0</v>
      </c>
      <c r="R1" t="s">
        <v>364</v>
      </c>
    </row>
    <row r="2" spans="1:18">
      <c r="A2" t="s">
        <v>8</v>
      </c>
      <c r="B2" s="2">
        <v>1298076</v>
      </c>
      <c r="C2" s="2">
        <v>648411</v>
      </c>
      <c r="D2" s="2">
        <v>414397</v>
      </c>
      <c r="E2" s="2">
        <v>1143526</v>
      </c>
      <c r="F2" s="2">
        <v>1427053</v>
      </c>
      <c r="G2" s="2">
        <v>1121480</v>
      </c>
      <c r="H2" s="2">
        <v>1242622</v>
      </c>
      <c r="I2" s="2">
        <v>2288221</v>
      </c>
      <c r="J2" s="2">
        <v>3303649</v>
      </c>
      <c r="K2" s="2">
        <v>3012731</v>
      </c>
      <c r="L2" s="2">
        <v>3288019</v>
      </c>
      <c r="M2" s="2">
        <v>3318183</v>
      </c>
      <c r="N2" s="2"/>
      <c r="O2" t="s">
        <v>88</v>
      </c>
      <c r="P2">
        <v>1439.7471162377994</v>
      </c>
      <c r="Q2" t="s">
        <v>8</v>
      </c>
      <c r="R2" t="s">
        <v>344</v>
      </c>
    </row>
    <row r="3" spans="1:18">
      <c r="A3" t="s">
        <v>12</v>
      </c>
      <c r="B3" s="2">
        <v>3649429</v>
      </c>
      <c r="C3" s="2">
        <v>3025489</v>
      </c>
      <c r="D3" s="2">
        <v>673407</v>
      </c>
      <c r="E3" s="2">
        <f>+D3</f>
        <v>673407</v>
      </c>
      <c r="F3" s="2">
        <f>+G3</f>
        <v>1755003</v>
      </c>
      <c r="G3" s="2">
        <v>1755003</v>
      </c>
      <c r="H3" s="2">
        <v>2631086</v>
      </c>
      <c r="I3" s="2">
        <v>4699714</v>
      </c>
      <c r="J3" s="2">
        <v>5037786</v>
      </c>
      <c r="K3" s="2">
        <v>4124196</v>
      </c>
      <c r="L3" s="2">
        <v>3257362</v>
      </c>
      <c r="M3" s="2">
        <v>2964857</v>
      </c>
      <c r="N3" s="2"/>
      <c r="O3" t="s">
        <v>89</v>
      </c>
      <c r="P3">
        <v>712.05755225034488</v>
      </c>
      <c r="Q3" t="s">
        <v>8</v>
      </c>
      <c r="R3" t="s">
        <v>344</v>
      </c>
    </row>
    <row r="4" spans="1:18">
      <c r="A4" t="s">
        <v>4</v>
      </c>
      <c r="B4" s="2">
        <v>69085</v>
      </c>
      <c r="C4" s="2">
        <v>70261</v>
      </c>
      <c r="D4" s="2">
        <v>104870</v>
      </c>
      <c r="E4" s="2">
        <v>178119</v>
      </c>
      <c r="F4" s="2">
        <v>223396</v>
      </c>
      <c r="G4" s="2">
        <v>115293</v>
      </c>
      <c r="H4" s="2">
        <v>77641</v>
      </c>
      <c r="I4" s="2">
        <v>60214</v>
      </c>
      <c r="J4" s="2">
        <v>62115</v>
      </c>
      <c r="K4" s="2">
        <v>69381</v>
      </c>
      <c r="L4" s="2">
        <v>72920</v>
      </c>
      <c r="M4" s="2">
        <v>78907</v>
      </c>
      <c r="N4" s="2"/>
      <c r="O4" t="s">
        <v>90</v>
      </c>
      <c r="P4">
        <v>450.56759315226236</v>
      </c>
      <c r="Q4" t="s">
        <v>8</v>
      </c>
      <c r="R4" t="s">
        <v>344</v>
      </c>
    </row>
    <row r="5" spans="1:18">
      <c r="A5" t="s">
        <v>396</v>
      </c>
      <c r="B5" s="2">
        <v>7167768</v>
      </c>
      <c r="C5" s="2">
        <v>3929134</v>
      </c>
      <c r="D5" s="2">
        <v>2333980</v>
      </c>
      <c r="E5" s="2">
        <v>7581206</v>
      </c>
      <c r="F5" s="2">
        <v>-7975693</v>
      </c>
      <c r="G5" s="2">
        <v>2710668</v>
      </c>
      <c r="H5" s="2">
        <v>14209661</v>
      </c>
      <c r="I5" s="2">
        <v>24270201</v>
      </c>
      <c r="J5" s="2">
        <v>26468916</v>
      </c>
      <c r="K5" s="2">
        <v>25526662</v>
      </c>
      <c r="L5" s="2">
        <v>30004363</v>
      </c>
      <c r="M5" s="2">
        <v>25374420</v>
      </c>
      <c r="N5" s="2"/>
      <c r="O5" t="s">
        <v>91</v>
      </c>
      <c r="P5">
        <v>1231.0282492226124</v>
      </c>
      <c r="Q5" t="s">
        <v>8</v>
      </c>
      <c r="R5" t="s">
        <v>344</v>
      </c>
    </row>
    <row r="6" spans="1:18">
      <c r="A6" t="s">
        <v>408</v>
      </c>
      <c r="B6" s="2">
        <v>3167343</v>
      </c>
      <c r="C6" s="2">
        <v>1537832</v>
      </c>
      <c r="D6" s="2">
        <v>985372</v>
      </c>
      <c r="E6" s="2">
        <v>3166434</v>
      </c>
      <c r="F6" s="2">
        <v>-3367221</v>
      </c>
      <c r="G6" s="2">
        <v>1144394</v>
      </c>
      <c r="H6" s="2">
        <v>5999101</v>
      </c>
      <c r="I6" s="2">
        <v>10246526</v>
      </c>
      <c r="J6" s="2">
        <v>11174790</v>
      </c>
      <c r="K6" s="2">
        <v>10776985</v>
      </c>
      <c r="L6" s="2">
        <v>12667404</v>
      </c>
      <c r="M6" s="2">
        <v>10712711</v>
      </c>
      <c r="N6" s="2"/>
      <c r="O6" t="s">
        <v>92</v>
      </c>
      <c r="P6">
        <v>1521.04024349516</v>
      </c>
      <c r="Q6" t="s">
        <v>8</v>
      </c>
      <c r="R6" t="s">
        <v>344</v>
      </c>
    </row>
    <row r="7" spans="1:18">
      <c r="A7" s="117"/>
      <c r="B7" s="118">
        <v>1.2</v>
      </c>
      <c r="C7" s="118">
        <v>1.2</v>
      </c>
      <c r="D7" s="118">
        <v>1.2</v>
      </c>
      <c r="E7" s="118">
        <v>1.2</v>
      </c>
      <c r="F7" s="118">
        <v>1.2</v>
      </c>
      <c r="G7" s="118">
        <v>1.2</v>
      </c>
      <c r="H7" s="118">
        <v>1.2</v>
      </c>
      <c r="I7" s="118">
        <v>1.2</v>
      </c>
      <c r="J7" s="118">
        <v>1.2</v>
      </c>
      <c r="K7" s="118">
        <v>1.2</v>
      </c>
      <c r="L7" s="118">
        <v>1.2</v>
      </c>
      <c r="M7" s="118">
        <v>1.2</v>
      </c>
      <c r="O7" t="s">
        <v>93</v>
      </c>
      <c r="P7">
        <v>1183.5068093802313</v>
      </c>
      <c r="Q7" t="s">
        <v>8</v>
      </c>
      <c r="R7" t="s">
        <v>344</v>
      </c>
    </row>
    <row r="8" spans="1:18">
      <c r="A8" t="s">
        <v>8</v>
      </c>
      <c r="B8" s="2">
        <f>+B2*B$7/INDEX(Tabla2[TC],MATCH(B$1,Tabla2[Mes],0))</f>
        <v>1382.1572315882875</v>
      </c>
      <c r="C8" s="2">
        <f>+C2*C7/INDEX(Tabla2[TC],MATCH(C$1,Tabla2[Mes],0))</f>
        <v>683.57525016033105</v>
      </c>
      <c r="D8" s="2">
        <f>+D2*D7/INDEX(Tabla2[TC],MATCH(D$1,Tabla2[Mes],0))</f>
        <v>432.54488942617184</v>
      </c>
      <c r="E8" s="2">
        <f>+E2*E7/INDEX(Tabla2[TC],MATCH(E$1,Tabla2[Mes],0))</f>
        <v>1181.7871192537079</v>
      </c>
      <c r="F8" s="2">
        <f>+F2*F7/INDEX(Tabla2[TC],MATCH(F$1,Tabla2[Mes],0))</f>
        <v>1460.1986337553535</v>
      </c>
      <c r="G8" s="2">
        <f>+G2*G7/INDEX(Tabla2[TC],MATCH(G$1,Tabla2[Mes],0))</f>
        <v>1136.1665370050221</v>
      </c>
      <c r="H8" s="2">
        <f>+H2*H7/INDEX(Tabla2[TC],MATCH(H$1,Tabla2[Mes],0))</f>
        <v>1246.4306665363472</v>
      </c>
      <c r="I8" s="2">
        <f>+I2*I7/INDEX(Tabla2[TC],MATCH(I$1,Tabla2[Mes],0))</f>
        <v>2272.5093592120843</v>
      </c>
      <c r="J8" s="2">
        <f>+J2*J7/INDEX(Tabla2[TC],MATCH(J$1,Tabla2[Mes],0))</f>
        <v>3248.4803099951746</v>
      </c>
      <c r="K8" s="2">
        <f>+K2*K7/INDEX(Tabla2[TC],MATCH(K$1,Tabla2[Mes],0))</f>
        <v>2933.0895471398094</v>
      </c>
      <c r="L8" s="2">
        <f>+L2*L7/INDEX(Tabla2[TC],MATCH(L$1,Tabla2[Mes],0))</f>
        <v>3169.4062546399309</v>
      </c>
      <c r="M8" s="2">
        <f>+M2*M7/INDEX(Tabla2[TC],MATCH(M$1,Tabla2[Mes],0))</f>
        <v>3166.8139719230344</v>
      </c>
      <c r="N8" s="2">
        <f>SUM(B8:M8)/66</f>
        <v>338.07817834295838</v>
      </c>
      <c r="O8" t="s">
        <v>94</v>
      </c>
      <c r="P8">
        <v>1298.3652776420283</v>
      </c>
      <c r="Q8" t="s">
        <v>8</v>
      </c>
      <c r="R8" t="s">
        <v>344</v>
      </c>
    </row>
    <row r="9" spans="1:18">
      <c r="A9" t="s">
        <v>12</v>
      </c>
      <c r="B9" s="2">
        <f>+B3*B$7/INDEX(Tabla2[TC],MATCH(B$1,Tabla2[Mes],0))</f>
        <v>3885.8161490683228</v>
      </c>
      <c r="C9" s="2">
        <f>+C3*C7/INDEX(Tabla2[TC],MATCH(C$1,Tabla2[Mes],0))</f>
        <v>3189.5655688017782</v>
      </c>
      <c r="D9" s="2">
        <f>+D3*D7/INDEX(Tabla2[TC],MATCH(D$1,Tabla2[Mes],0))</f>
        <v>702.89784036518154</v>
      </c>
      <c r="E9" s="2">
        <f>+E3*E7/INDEX(Tabla2[TC],MATCH(E$1,Tabla2[Mes],0))</f>
        <v>695.93845580711047</v>
      </c>
      <c r="F9" s="2">
        <f>+F3*F7/INDEX(Tabla2[TC],MATCH(F$1,Tabla2[Mes],0))</f>
        <v>1795.7658074623346</v>
      </c>
      <c r="G9" s="2">
        <f>+G3*G7/INDEX(Tabla2[TC],MATCH(G$1,Tabla2[Mes],0))</f>
        <v>1777.9859479825095</v>
      </c>
      <c r="H9" s="2">
        <f>+H3*H7/INDEX(Tabla2[TC],MATCH(H$1,Tabla2[Mes],0))</f>
        <v>2639.150342336166</v>
      </c>
      <c r="I9" s="2">
        <f>+I3*I7/INDEX(Tabla2[TC],MATCH(I$1,Tabla2[Mes],0))</f>
        <v>4667.4442943317372</v>
      </c>
      <c r="J9" s="2">
        <f>+J3*J7/INDEX(Tabla2[TC],MATCH(J$1,Tabla2[Mes],0))</f>
        <v>4953.6584022604557</v>
      </c>
      <c r="K9" s="2">
        <f>+K3*K7/INDEX(Tabla2[TC],MATCH(K$1,Tabla2[Mes],0))</f>
        <v>4015.1730034828247</v>
      </c>
      <c r="L9" s="2">
        <f>+L3*L7/INDEX(Tabla2[TC],MATCH(L$1,Tabla2[Mes],0))</f>
        <v>3139.8551822317431</v>
      </c>
      <c r="M9" s="2">
        <f>+M3*M7/INDEX(Tabla2[TC],MATCH(M$1,Tabla2[Mes],0))</f>
        <v>2829.6060140003769</v>
      </c>
      <c r="N9" s="2">
        <f>SUM(B9:M9)/40.5</f>
        <v>846.73721007729739</v>
      </c>
      <c r="O9" t="s">
        <v>95</v>
      </c>
      <c r="P9">
        <v>2367.1972491792544</v>
      </c>
      <c r="Q9" t="s">
        <v>8</v>
      </c>
      <c r="R9" t="s">
        <v>344</v>
      </c>
    </row>
    <row r="10" spans="1:18">
      <c r="A10" t="s">
        <v>4</v>
      </c>
      <c r="B10" s="2">
        <f>+B4*B$7/INDEX(Tabla2[TC],MATCH(B$1,Tabla2[Mes],0))</f>
        <v>73.559893522626439</v>
      </c>
      <c r="C10" s="2">
        <f>+C4*C7/INDEX(Tabla2[TC],MATCH(C$1,Tabla2[Mes],0))</f>
        <v>74.071353896702888</v>
      </c>
      <c r="D10" s="2">
        <f>+D4*D7/INDEX(Tabla2[TC],MATCH(D$1,Tabla2[Mes],0))</f>
        <v>109.46262292951602</v>
      </c>
      <c r="E10" s="2">
        <f>+E4*E7/INDEX(Tabla2[TC],MATCH(E$1,Tabla2[Mes],0))</f>
        <v>184.07866536865029</v>
      </c>
      <c r="F10" s="2">
        <f>+F4*F7/INDEX(Tabla2[TC],MATCH(F$1,Tabla2[Mes],0))</f>
        <v>228.58473650692088</v>
      </c>
      <c r="G10" s="2">
        <f>+G4*G7/INDEX(Tabla2[TC],MATCH(G$1,Tabla2[Mes],0))</f>
        <v>116.80283959671149</v>
      </c>
      <c r="H10" s="2">
        <f>+H4*H7/INDEX(Tabla2[TC],MATCH(H$1,Tabla2[Mes],0))</f>
        <v>77.878971546092487</v>
      </c>
      <c r="I10" s="2">
        <f>+I4*I7/INDEX(Tabla2[TC],MATCH(I$1,Tabla2[Mes],0))</f>
        <v>59.800551850366048</v>
      </c>
      <c r="J10" s="2">
        <f>+J4*J7/INDEX(Tabla2[TC],MATCH(J$1,Tabla2[Mes],0))</f>
        <v>61.077721772303981</v>
      </c>
      <c r="K10" s="2">
        <f>+K4*K7/INDEX(Tabla2[TC],MATCH(K$1,Tabla2[Mes],0))</f>
        <v>67.546915363537963</v>
      </c>
      <c r="L10" s="2">
        <f>+L4*L7/INDEX(Tabla2[TC],MATCH(L$1,Tabla2[Mes],0))</f>
        <v>70.289467332258042</v>
      </c>
      <c r="M10" s="2">
        <f>+M4*M7/INDEX(Tabla2[TC],MATCH(M$1,Tabla2[Mes],0))</f>
        <v>75.307416764696484</v>
      </c>
      <c r="N10" s="2">
        <f>SUM(B10:M10)/28</f>
        <v>42.802184158942246</v>
      </c>
      <c r="O10" t="s">
        <v>96</v>
      </c>
      <c r="P10">
        <v>3383.8336562449736</v>
      </c>
      <c r="Q10" t="s">
        <v>8</v>
      </c>
      <c r="R10" t="s">
        <v>344</v>
      </c>
    </row>
    <row r="11" spans="1:18">
      <c r="A11" t="s">
        <v>396</v>
      </c>
      <c r="B11" s="2">
        <f>+B5*B$7/INDEX(Tabla2[TC],MATCH(B$1,Tabla2[Mes],0))</f>
        <v>7632.0511091393073</v>
      </c>
      <c r="C11" s="2">
        <f>+C5*C$7/INDEX(Tabla2[TC],MATCH(C$1,Tabla2[Mes],0))</f>
        <v>4142.216521563425</v>
      </c>
      <c r="D11" s="2">
        <f>+D5*D$7/INDEX(Tabla2[TC],MATCH(D$1,Tabla2[Mes],0))</f>
        <v>2436.1931216270791</v>
      </c>
      <c r="E11" s="2">
        <f>+E5*E$7/INDEX(Tabla2[TC],MATCH(E$1,Tabla2[Mes],0))</f>
        <v>7834.8647946867195</v>
      </c>
      <c r="F11" s="2">
        <f>+E5*F$7/INDEX(Tabla2[TC],MATCH(F$1,Tabla2[Mes],0))</f>
        <v>7757.2918759274444</v>
      </c>
      <c r="G11" s="2">
        <f>+(((G5*0.62)*1.2)+((G5*0.38)*1.4))/INDEX(Tabla2[TC],MATCH(G$1,Tabla2[Mes],0))</f>
        <v>2920.0898740211592</v>
      </c>
      <c r="H11" s="2">
        <f>+(((H5*0.62)*1.2)+((H5*0.38)*1.4))/INDEX(Tabla2[TC],MATCH(H$1,Tabla2[Mes],0))</f>
        <v>15155.917505736219</v>
      </c>
      <c r="I11" s="2">
        <f>+(((I5*0.62)*1.2)+((I5*0.38)*1.4))/INDEX(Tabla2[TC],MATCH(I$1,Tabla2[Mes],0))</f>
        <v>25630.112645390251</v>
      </c>
      <c r="J11" s="2">
        <f>+(((J5*0.62)*1.2)+((J5*0.38)*1.4))/INDEX(Tabla2[TC],MATCH(J$1,Tabla2[Mes],0))</f>
        <v>27675.273646887912</v>
      </c>
      <c r="K11" s="2">
        <f>+(((K5*0.62)*1.2)+((K5*0.38)*1.4))/INDEX(Tabla2[TC],MATCH(K$1,Tabla2[Mes],0))</f>
        <v>26425.816941392091</v>
      </c>
      <c r="L11" s="2">
        <f>+(((L5*0.62)*1.2)+((L5*0.38)*1.4))/INDEX(Tabla2[TC],MATCH(L$1,Tabla2[Mes],0))</f>
        <v>30753.704106759644</v>
      </c>
      <c r="M11" s="2">
        <f>+(((M5*0.62)*1.2)+((M5*0.38)*1.4))/INDEX(Tabla2[TC],MATCH(M$1,Tabla2[Mes],0))</f>
        <v>25750.624788281631</v>
      </c>
      <c r="N11" s="2">
        <f>SUM(B11:M11)/150</f>
        <v>1227.4277128760857</v>
      </c>
      <c r="O11" t="s">
        <v>97</v>
      </c>
      <c r="P11">
        <v>3055.301611603968</v>
      </c>
      <c r="Q11" t="s">
        <v>8</v>
      </c>
      <c r="R11" t="s">
        <v>344</v>
      </c>
    </row>
    <row r="12" spans="1:18">
      <c r="A12" t="s">
        <v>408</v>
      </c>
      <c r="B12" s="2">
        <f>+B6*B$7/INDEX(Tabla2[TC],MATCH(B$1,Tabla2[Mes],0))</f>
        <v>3372.5036379769294</v>
      </c>
      <c r="C12" s="2">
        <f>+C6*C$7/INDEX(Tabla2[TC],MATCH(C$1,Tabla2[Mes],0))</f>
        <v>1621.2308151844466</v>
      </c>
      <c r="D12" s="2">
        <f>+D6*D$7/INDEX(Tabla2[TC],MATCH(D$1,Tabla2[Mes],0))</f>
        <v>1028.5248753819303</v>
      </c>
      <c r="E12" s="2">
        <f>+E6*E$7/INDEX(Tabla2[TC],MATCH(E$1,Tabla2[Mes],0))</f>
        <v>3272.3793907326949</v>
      </c>
      <c r="F12" s="2">
        <f>+E6*F$7/INDEX(Tabla2[TC],MATCH(F$1,Tabla2[Mes],0))</f>
        <v>3239.9795947848461</v>
      </c>
      <c r="G12" s="2">
        <f>+(((G6*0.62)*1.2)+((G6*0.38)*1.4))/INDEX(Tabla2[TC],MATCH(G$1,Tabla2[Mes],0))</f>
        <v>1232.8080500048588</v>
      </c>
      <c r="H12" s="2">
        <f>+(((H6*0.62)*1.2)+((H6*0.38)*1.4))/INDEX(Tabla2[TC],MATCH(H$1,Tabla2[Mes],0))</f>
        <v>6398.5959879394504</v>
      </c>
      <c r="I12" s="2">
        <f>+(((I6*0.62)*1.2)+((I6*0.38)*1.4))/INDEX(Tabla2[TC],MATCH(I$1,Tabla2[Mes],0))</f>
        <v>10820.660925054553</v>
      </c>
      <c r="J12" s="2">
        <f>+(((J6*0.62)*1.2)+((J6*0.38)*1.4))/INDEX(Tabla2[TC],MATCH(J$1,Tabla2[Mes],0))</f>
        <v>11684.096590752208</v>
      </c>
      <c r="K12" s="2">
        <f>+(((K6*0.62)*1.2)+((K6*0.38)*1.4))/INDEX(Tabla2[TC],MATCH(K$1,Tabla2[Mes],0))</f>
        <v>11156.595123566429</v>
      </c>
      <c r="L12" s="2">
        <f>+(((L6*0.62)*1.2)+((L6*0.38)*1.4))/INDEX(Tabla2[TC],MATCH(L$1,Tabla2[Mes],0))</f>
        <v>12983.76487502113</v>
      </c>
      <c r="M12" s="2">
        <f>+(((M6*0.62)*1.2)+((M6*0.38)*1.4))/INDEX(Tabla2[TC],MATCH(M$1,Tabla2[Mes],0))</f>
        <v>10871.539188927169</v>
      </c>
      <c r="N12" s="2">
        <f>SUM(B12:M12)/66</f>
        <v>1177.0102887170701</v>
      </c>
      <c r="O12" t="s">
        <v>98</v>
      </c>
      <c r="P12">
        <v>3301.4648485832613</v>
      </c>
      <c r="Q12" t="s">
        <v>8</v>
      </c>
      <c r="R12" t="s">
        <v>344</v>
      </c>
    </row>
    <row r="13" spans="1:18">
      <c r="O13" t="s">
        <v>99</v>
      </c>
      <c r="P13">
        <v>3298.7645540864946</v>
      </c>
      <c r="Q13" t="s">
        <v>8</v>
      </c>
      <c r="R13" t="s">
        <v>344</v>
      </c>
    </row>
    <row r="14" spans="1:18">
      <c r="O14" t="s">
        <v>88</v>
      </c>
      <c r="P14">
        <v>4047.7251552795033</v>
      </c>
      <c r="Q14" t="s">
        <v>12</v>
      </c>
      <c r="R14" t="s">
        <v>344</v>
      </c>
    </row>
    <row r="15" spans="1:18">
      <c r="O15" t="s">
        <v>89</v>
      </c>
      <c r="P15">
        <v>3322.4641341685187</v>
      </c>
      <c r="Q15" t="s">
        <v>12</v>
      </c>
      <c r="R15" t="s">
        <v>344</v>
      </c>
    </row>
    <row r="16" spans="1:18">
      <c r="O16" t="s">
        <v>90</v>
      </c>
      <c r="P16">
        <v>732.18525038039741</v>
      </c>
      <c r="Q16" t="s">
        <v>12</v>
      </c>
      <c r="R16" t="s">
        <v>344</v>
      </c>
    </row>
    <row r="17" spans="15:18">
      <c r="O17" t="s">
        <v>91</v>
      </c>
      <c r="P17">
        <v>724.93589146574004</v>
      </c>
      <c r="Q17" t="s">
        <v>12</v>
      </c>
      <c r="R17" t="s">
        <v>344</v>
      </c>
    </row>
    <row r="18" spans="15:18">
      <c r="O18" t="s">
        <v>92</v>
      </c>
      <c r="P18">
        <v>1870.589382773265</v>
      </c>
      <c r="Q18" t="s">
        <v>12</v>
      </c>
      <c r="R18" t="s">
        <v>344</v>
      </c>
    </row>
    <row r="19" spans="15:18">
      <c r="O19" t="s">
        <v>93</v>
      </c>
      <c r="P19">
        <v>1852.0686958151141</v>
      </c>
      <c r="Q19" t="s">
        <v>12</v>
      </c>
      <c r="R19" t="s">
        <v>344</v>
      </c>
    </row>
    <row r="20" spans="15:18">
      <c r="O20" t="s">
        <v>94</v>
      </c>
      <c r="P20">
        <v>2749.1149399335063</v>
      </c>
      <c r="Q20" t="s">
        <v>12</v>
      </c>
      <c r="R20" t="s">
        <v>344</v>
      </c>
    </row>
    <row r="21" spans="15:18">
      <c r="O21" t="s">
        <v>95</v>
      </c>
      <c r="P21">
        <v>4861.9211399288924</v>
      </c>
      <c r="Q21" t="s">
        <v>12</v>
      </c>
      <c r="R21" t="s">
        <v>344</v>
      </c>
    </row>
    <row r="22" spans="15:18">
      <c r="O22" t="s">
        <v>96</v>
      </c>
      <c r="P22">
        <v>5160.0608356879748</v>
      </c>
      <c r="Q22" t="s">
        <v>12</v>
      </c>
      <c r="R22" t="s">
        <v>344</v>
      </c>
    </row>
    <row r="23" spans="15:18">
      <c r="O23" t="s">
        <v>97</v>
      </c>
      <c r="P23">
        <v>4182.4718786279418</v>
      </c>
      <c r="Q23" t="s">
        <v>12</v>
      </c>
      <c r="R23" t="s">
        <v>344</v>
      </c>
    </row>
    <row r="24" spans="15:18">
      <c r="O24" t="s">
        <v>98</v>
      </c>
      <c r="P24">
        <v>3270.6824814913994</v>
      </c>
      <c r="Q24" t="s">
        <v>12</v>
      </c>
      <c r="R24" t="s">
        <v>344</v>
      </c>
    </row>
    <row r="25" spans="15:18">
      <c r="O25" t="s">
        <v>99</v>
      </c>
      <c r="P25">
        <v>2947.5062645837261</v>
      </c>
      <c r="Q25" t="s">
        <v>12</v>
      </c>
      <c r="R25" t="s">
        <v>344</v>
      </c>
    </row>
    <row r="26" spans="15:18">
      <c r="O26" t="s">
        <v>88</v>
      </c>
      <c r="P26">
        <v>76.624889086069217</v>
      </c>
      <c r="Q26" t="s">
        <v>4</v>
      </c>
      <c r="R26" t="s">
        <v>344</v>
      </c>
    </row>
    <row r="27" spans="15:18">
      <c r="O27" t="s">
        <v>89</v>
      </c>
      <c r="P27">
        <v>77.15766030906552</v>
      </c>
      <c r="Q27" t="s">
        <v>4</v>
      </c>
      <c r="R27" t="s">
        <v>344</v>
      </c>
    </row>
    <row r="28" spans="15:18">
      <c r="O28" t="s">
        <v>90</v>
      </c>
      <c r="P28">
        <v>114.02356555157918</v>
      </c>
      <c r="Q28" t="s">
        <v>4</v>
      </c>
      <c r="R28" t="s">
        <v>344</v>
      </c>
    </row>
    <row r="29" spans="15:18">
      <c r="O29" t="s">
        <v>91</v>
      </c>
      <c r="P29">
        <v>191.74860975901075</v>
      </c>
      <c r="Q29" t="s">
        <v>4</v>
      </c>
      <c r="R29" t="s">
        <v>344</v>
      </c>
    </row>
    <row r="30" spans="15:18">
      <c r="O30" t="s">
        <v>92</v>
      </c>
      <c r="P30">
        <v>238.10910052804257</v>
      </c>
      <c r="Q30" t="s">
        <v>4</v>
      </c>
      <c r="R30" t="s">
        <v>344</v>
      </c>
    </row>
    <row r="31" spans="15:18">
      <c r="O31" t="s">
        <v>93</v>
      </c>
      <c r="P31">
        <v>121.6696245799078</v>
      </c>
      <c r="Q31" t="s">
        <v>4</v>
      </c>
      <c r="R31" t="s">
        <v>344</v>
      </c>
    </row>
    <row r="32" spans="15:18">
      <c r="O32" t="s">
        <v>94</v>
      </c>
      <c r="P32">
        <v>81.123928693846338</v>
      </c>
      <c r="Q32" t="s">
        <v>4</v>
      </c>
      <c r="R32" t="s">
        <v>344</v>
      </c>
    </row>
    <row r="33" spans="15:18">
      <c r="O33" t="s">
        <v>95</v>
      </c>
      <c r="P33">
        <v>62.292241510797965</v>
      </c>
      <c r="Q33" t="s">
        <v>4</v>
      </c>
      <c r="R33" t="s">
        <v>344</v>
      </c>
    </row>
    <row r="34" spans="15:18">
      <c r="O34" t="s">
        <v>96</v>
      </c>
      <c r="P34">
        <v>63.622626846149984</v>
      </c>
      <c r="Q34" t="s">
        <v>4</v>
      </c>
      <c r="R34" t="s">
        <v>344</v>
      </c>
    </row>
    <row r="35" spans="15:18">
      <c r="O35" t="s">
        <v>97</v>
      </c>
      <c r="P35">
        <v>70.36137017035206</v>
      </c>
      <c r="Q35" t="s">
        <v>4</v>
      </c>
      <c r="R35" t="s">
        <v>344</v>
      </c>
    </row>
    <row r="36" spans="15:18">
      <c r="O36" t="s">
        <v>98</v>
      </c>
      <c r="P36">
        <v>73.218195137768788</v>
      </c>
      <c r="Q36" t="s">
        <v>4</v>
      </c>
      <c r="R36" t="s">
        <v>344</v>
      </c>
    </row>
    <row r="37" spans="15:18">
      <c r="O37" t="s">
        <v>99</v>
      </c>
      <c r="P37">
        <v>78.445225796558844</v>
      </c>
      <c r="Q37" t="s">
        <v>4</v>
      </c>
      <c r="R37" t="s">
        <v>344</v>
      </c>
    </row>
    <row r="38" spans="15:18">
      <c r="O38" t="s">
        <v>88</v>
      </c>
      <c r="P38">
        <v>7950.053238686779</v>
      </c>
      <c r="Q38" t="s">
        <v>373</v>
      </c>
      <c r="R38" t="s">
        <v>344</v>
      </c>
    </row>
    <row r="39" spans="15:18">
      <c r="O39" t="s">
        <v>89</v>
      </c>
      <c r="P39">
        <v>4314.8088766285682</v>
      </c>
      <c r="Q39" t="s">
        <v>373</v>
      </c>
      <c r="R39" t="s">
        <v>344</v>
      </c>
    </row>
    <row r="40" spans="15:18">
      <c r="O40" t="s">
        <v>90</v>
      </c>
      <c r="P40">
        <v>2537.7011683615406</v>
      </c>
      <c r="Q40" t="s">
        <v>373</v>
      </c>
      <c r="R40" t="s">
        <v>344</v>
      </c>
    </row>
    <row r="41" spans="15:18">
      <c r="O41" t="s">
        <v>91</v>
      </c>
      <c r="P41">
        <v>8161.3174944653338</v>
      </c>
      <c r="Q41" t="s">
        <v>373</v>
      </c>
      <c r="R41" t="s">
        <v>344</v>
      </c>
    </row>
    <row r="42" spans="15:18">
      <c r="O42" t="s">
        <v>92</v>
      </c>
      <c r="P42">
        <v>8080.5123707577559</v>
      </c>
      <c r="Q42" t="s">
        <v>373</v>
      </c>
      <c r="R42" t="s">
        <v>344</v>
      </c>
    </row>
    <row r="43" spans="15:18">
      <c r="O43" t="s">
        <v>93</v>
      </c>
      <c r="P43">
        <v>2991.032496352394</v>
      </c>
      <c r="Q43" t="s">
        <v>373</v>
      </c>
      <c r="R43" t="s">
        <v>344</v>
      </c>
    </row>
    <row r="44" spans="15:18">
      <c r="O44" t="s">
        <v>94</v>
      </c>
      <c r="P44">
        <v>15524.1255329132</v>
      </c>
      <c r="Q44" t="s">
        <v>373</v>
      </c>
      <c r="R44" t="s">
        <v>344</v>
      </c>
    </row>
    <row r="45" spans="15:18">
      <c r="O45" t="s">
        <v>95</v>
      </c>
      <c r="P45">
        <v>26252.787795866032</v>
      </c>
      <c r="Q45" t="s">
        <v>373</v>
      </c>
      <c r="R45" t="s">
        <v>344</v>
      </c>
    </row>
    <row r="46" spans="15:18">
      <c r="O46" t="s">
        <v>96</v>
      </c>
      <c r="P46">
        <v>28347.635310722959</v>
      </c>
      <c r="Q46" t="s">
        <v>373</v>
      </c>
      <c r="R46" t="s">
        <v>344</v>
      </c>
    </row>
    <row r="47" spans="15:18">
      <c r="O47" t="s">
        <v>97</v>
      </c>
      <c r="P47">
        <v>27067.823465830304</v>
      </c>
      <c r="Q47" t="s">
        <v>373</v>
      </c>
      <c r="R47" t="s">
        <v>344</v>
      </c>
    </row>
    <row r="48" spans="15:18">
      <c r="O48" t="s">
        <v>98</v>
      </c>
      <c r="P48">
        <v>31500.855225340802</v>
      </c>
      <c r="Q48" t="s">
        <v>373</v>
      </c>
      <c r="R48" t="s">
        <v>344</v>
      </c>
    </row>
    <row r="49" spans="15:18">
      <c r="O49" t="s">
        <v>99</v>
      </c>
      <c r="P49">
        <v>26376.22774160195</v>
      </c>
      <c r="Q49" t="s">
        <v>373</v>
      </c>
      <c r="R49" t="s">
        <v>344</v>
      </c>
    </row>
    <row r="50" spans="15:18">
      <c r="O50" t="s">
        <v>88</v>
      </c>
      <c r="P50">
        <v>3513.0246228926353</v>
      </c>
      <c r="Q50" t="s">
        <v>15</v>
      </c>
      <c r="R50" t="s">
        <v>344</v>
      </c>
    </row>
    <row r="51" spans="15:18">
      <c r="O51" t="s">
        <v>89</v>
      </c>
      <c r="P51">
        <v>1688.7820991504652</v>
      </c>
      <c r="Q51" t="s">
        <v>15</v>
      </c>
      <c r="R51" t="s">
        <v>344</v>
      </c>
    </row>
    <row r="52" spans="15:18">
      <c r="O52" t="s">
        <v>90</v>
      </c>
      <c r="P52">
        <v>1071.3800785228443</v>
      </c>
      <c r="Q52" t="s">
        <v>15</v>
      </c>
      <c r="R52" t="s">
        <v>344</v>
      </c>
    </row>
    <row r="53" spans="15:18">
      <c r="O53" t="s">
        <v>91</v>
      </c>
      <c r="P53">
        <v>3408.7285320132237</v>
      </c>
      <c r="Q53" t="s">
        <v>15</v>
      </c>
      <c r="R53" t="s">
        <v>344</v>
      </c>
    </row>
    <row r="54" spans="15:18">
      <c r="O54" t="s">
        <v>92</v>
      </c>
      <c r="P54">
        <v>3374.9787445675479</v>
      </c>
      <c r="Q54" t="s">
        <v>15</v>
      </c>
      <c r="R54" t="s">
        <v>344</v>
      </c>
    </row>
    <row r="55" spans="15:18">
      <c r="O55" t="s">
        <v>93</v>
      </c>
      <c r="P55">
        <v>1262.7587157965131</v>
      </c>
      <c r="Q55" t="s">
        <v>15</v>
      </c>
      <c r="R55" t="s">
        <v>344</v>
      </c>
    </row>
    <row r="56" spans="15:18">
      <c r="O56" t="s">
        <v>94</v>
      </c>
      <c r="P56">
        <v>6554.047771345503</v>
      </c>
      <c r="Q56" t="s">
        <v>15</v>
      </c>
      <c r="R56" t="s">
        <v>344</v>
      </c>
    </row>
    <row r="57" spans="15:18">
      <c r="O57" t="s">
        <v>95</v>
      </c>
      <c r="P57">
        <v>11083.545320569205</v>
      </c>
      <c r="Q57" t="s">
        <v>15</v>
      </c>
      <c r="R57" t="s">
        <v>344</v>
      </c>
    </row>
    <row r="58" spans="15:18">
      <c r="O58" t="s">
        <v>96</v>
      </c>
      <c r="P58">
        <v>11967.957871562019</v>
      </c>
      <c r="Q58" t="s">
        <v>15</v>
      </c>
      <c r="R58" t="s">
        <v>344</v>
      </c>
    </row>
    <row r="59" spans="15:18">
      <c r="O59" t="s">
        <v>97</v>
      </c>
      <c r="P59">
        <v>11427.64092985997</v>
      </c>
      <c r="Q59" t="s">
        <v>15</v>
      </c>
      <c r="R59" t="s">
        <v>344</v>
      </c>
    </row>
    <row r="60" spans="15:18">
      <c r="O60" t="s">
        <v>98</v>
      </c>
      <c r="P60">
        <v>13299.201169006754</v>
      </c>
      <c r="Q60" t="s">
        <v>15</v>
      </c>
      <c r="R60" t="s">
        <v>344</v>
      </c>
    </row>
    <row r="61" spans="15:18">
      <c r="O61" t="s">
        <v>99</v>
      </c>
      <c r="P61">
        <v>11135.659655115836</v>
      </c>
      <c r="Q61" t="s">
        <v>15</v>
      </c>
      <c r="R61" t="s">
        <v>344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N61"/>
  <sheetViews>
    <sheetView topLeftCell="D38" workbookViewId="0">
      <selection activeCell="J38" sqref="J38"/>
    </sheetView>
  </sheetViews>
  <sheetFormatPr baseColWidth="10" defaultRowHeight="15"/>
  <cols>
    <col min="2" max="2" width="12" bestFit="1" customWidth="1"/>
    <col min="3" max="3" width="16.42578125" bestFit="1" customWidth="1"/>
    <col min="4" max="4" width="13.42578125" bestFit="1" customWidth="1"/>
    <col min="11" max="13" width="21.85546875" bestFit="1" customWidth="1"/>
    <col min="14" max="14" width="23.28515625" bestFit="1" customWidth="1"/>
  </cols>
  <sheetData>
    <row r="1" spans="1:14">
      <c r="A1" t="s">
        <v>365</v>
      </c>
      <c r="B1" t="s">
        <v>366</v>
      </c>
      <c r="C1" t="s">
        <v>0</v>
      </c>
      <c r="D1" t="s">
        <v>364</v>
      </c>
    </row>
    <row r="2" spans="1:14">
      <c r="A2" t="s">
        <v>88</v>
      </c>
      <c r="B2">
        <v>1439.7471162377994</v>
      </c>
      <c r="C2" t="s">
        <v>8</v>
      </c>
      <c r="D2" t="s">
        <v>344</v>
      </c>
    </row>
    <row r="3" spans="1:14">
      <c r="A3" t="s">
        <v>89</v>
      </c>
      <c r="B3">
        <v>712.05755225034488</v>
      </c>
      <c r="C3" t="s">
        <v>8</v>
      </c>
      <c r="D3" t="s">
        <v>344</v>
      </c>
    </row>
    <row r="4" spans="1:14">
      <c r="A4" t="s">
        <v>90</v>
      </c>
      <c r="B4">
        <v>450.56759315226236</v>
      </c>
      <c r="C4" t="s">
        <v>8</v>
      </c>
      <c r="D4" t="s">
        <v>344</v>
      </c>
      <c r="J4" s="131" t="s">
        <v>85</v>
      </c>
      <c r="K4" s="131" t="s">
        <v>434</v>
      </c>
      <c r="L4" s="131" t="s">
        <v>435</v>
      </c>
      <c r="M4" s="131" t="s">
        <v>436</v>
      </c>
      <c r="N4" s="131" t="s">
        <v>437</v>
      </c>
    </row>
    <row r="5" spans="1:14">
      <c r="A5" t="s">
        <v>91</v>
      </c>
      <c r="B5">
        <v>1231.0282492226124</v>
      </c>
      <c r="C5" t="s">
        <v>8</v>
      </c>
      <c r="D5" t="s">
        <v>344</v>
      </c>
      <c r="J5" s="132">
        <v>45778</v>
      </c>
      <c r="K5" s="133">
        <v>1910772</v>
      </c>
      <c r="L5" s="133">
        <v>317.50900000000001</v>
      </c>
      <c r="M5" s="133" t="s">
        <v>438</v>
      </c>
      <c r="N5" s="133">
        <v>0</v>
      </c>
    </row>
    <row r="6" spans="1:14">
      <c r="A6" t="s">
        <v>92</v>
      </c>
      <c r="B6">
        <v>1521.04024349516</v>
      </c>
      <c r="C6" t="s">
        <v>8</v>
      </c>
      <c r="D6" t="s">
        <v>344</v>
      </c>
      <c r="J6" s="132">
        <v>45809</v>
      </c>
      <c r="K6" s="133">
        <v>1451098</v>
      </c>
      <c r="L6" s="133">
        <v>293.65499999999997</v>
      </c>
      <c r="M6" s="133" t="s">
        <v>439</v>
      </c>
      <c r="N6" s="133">
        <v>0</v>
      </c>
    </row>
    <row r="7" spans="1:14">
      <c r="A7" t="s">
        <v>93</v>
      </c>
      <c r="B7">
        <v>1183.5068093802313</v>
      </c>
      <c r="C7" t="s">
        <v>8</v>
      </c>
      <c r="D7" t="s">
        <v>344</v>
      </c>
      <c r="J7" s="132">
        <v>45839</v>
      </c>
      <c r="K7" s="133">
        <v>1006761</v>
      </c>
      <c r="L7" s="133" t="s">
        <v>440</v>
      </c>
      <c r="M7" s="133">
        <v>655.87599999999998</v>
      </c>
      <c r="N7" s="133">
        <v>0</v>
      </c>
    </row>
    <row r="8" spans="1:14">
      <c r="A8" t="s">
        <v>94</v>
      </c>
      <c r="B8">
        <v>1298.3652776420283</v>
      </c>
      <c r="C8" t="s">
        <v>8</v>
      </c>
      <c r="D8" t="s">
        <v>344</v>
      </c>
      <c r="J8" s="132">
        <v>45870</v>
      </c>
      <c r="K8" s="133">
        <v>0</v>
      </c>
      <c r="L8" s="133">
        <v>0</v>
      </c>
      <c r="M8" s="133" t="s">
        <v>441</v>
      </c>
      <c r="N8" s="133">
        <v>44.478999999999999</v>
      </c>
    </row>
    <row r="9" spans="1:14">
      <c r="A9" t="s">
        <v>95</v>
      </c>
      <c r="B9">
        <v>2367.1972491792544</v>
      </c>
      <c r="C9" t="s">
        <v>8</v>
      </c>
      <c r="D9" t="s">
        <v>344</v>
      </c>
      <c r="J9" s="132">
        <v>45901</v>
      </c>
      <c r="K9" s="133">
        <v>0</v>
      </c>
      <c r="L9" s="133">
        <v>0</v>
      </c>
      <c r="M9" s="133" t="s">
        <v>442</v>
      </c>
      <c r="N9" s="133" t="s">
        <v>443</v>
      </c>
    </row>
    <row r="10" spans="1:14">
      <c r="A10" t="s">
        <v>96</v>
      </c>
      <c r="B10">
        <v>3383.8336562449736</v>
      </c>
      <c r="C10" t="s">
        <v>8</v>
      </c>
      <c r="D10" t="s">
        <v>344</v>
      </c>
      <c r="J10" s="132">
        <v>45931</v>
      </c>
      <c r="K10" s="133">
        <v>10268999</v>
      </c>
      <c r="L10" s="133" t="s">
        <v>444</v>
      </c>
      <c r="M10" s="133" t="s">
        <v>445</v>
      </c>
      <c r="N10" s="133" t="s">
        <v>446</v>
      </c>
    </row>
    <row r="11" spans="1:14">
      <c r="A11" t="s">
        <v>97</v>
      </c>
      <c r="B11">
        <v>3055.301611603968</v>
      </c>
      <c r="C11" t="s">
        <v>8</v>
      </c>
      <c r="D11" t="s">
        <v>344</v>
      </c>
      <c r="J11" s="132">
        <v>45962</v>
      </c>
      <c r="K11" s="133" t="s">
        <v>447</v>
      </c>
      <c r="L11" s="133" t="s">
        <v>448</v>
      </c>
      <c r="M11" s="133" t="s">
        <v>449</v>
      </c>
      <c r="N11" s="133" t="s">
        <v>450</v>
      </c>
    </row>
    <row r="12" spans="1:14">
      <c r="A12" t="s">
        <v>98</v>
      </c>
      <c r="B12">
        <v>3301.4648485832613</v>
      </c>
      <c r="C12" t="s">
        <v>8</v>
      </c>
      <c r="D12" t="s">
        <v>344</v>
      </c>
      <c r="J12" s="132">
        <v>45992</v>
      </c>
      <c r="K12" s="133" t="s">
        <v>451</v>
      </c>
      <c r="L12" s="133" t="s">
        <v>452</v>
      </c>
      <c r="M12" s="133" t="s">
        <v>453</v>
      </c>
      <c r="N12" s="133" t="s">
        <v>454</v>
      </c>
    </row>
    <row r="13" spans="1:14">
      <c r="A13" t="s">
        <v>99</v>
      </c>
      <c r="B13">
        <v>3298.7645540864946</v>
      </c>
      <c r="C13" t="s">
        <v>8</v>
      </c>
      <c r="D13" t="s">
        <v>344</v>
      </c>
      <c r="J13" s="132">
        <v>46023</v>
      </c>
      <c r="K13" s="133" t="s">
        <v>455</v>
      </c>
      <c r="L13" s="133" t="s">
        <v>456</v>
      </c>
      <c r="M13" s="133" t="s">
        <v>457</v>
      </c>
      <c r="N13" s="133" t="s">
        <v>458</v>
      </c>
    </row>
    <row r="14" spans="1:14">
      <c r="A14" t="s">
        <v>88</v>
      </c>
      <c r="B14">
        <v>4047.7251552795033</v>
      </c>
      <c r="C14" t="s">
        <v>12</v>
      </c>
      <c r="D14" t="s">
        <v>344</v>
      </c>
      <c r="J14" s="132">
        <v>46054</v>
      </c>
      <c r="K14" s="133" t="s">
        <v>459</v>
      </c>
      <c r="L14" s="133" t="s">
        <v>460</v>
      </c>
      <c r="M14" s="133" t="s">
        <v>461</v>
      </c>
      <c r="N14" s="133" t="s">
        <v>462</v>
      </c>
    </row>
    <row r="15" spans="1:14">
      <c r="A15" t="s">
        <v>89</v>
      </c>
      <c r="B15">
        <v>3322.4641341685187</v>
      </c>
      <c r="C15" t="s">
        <v>12</v>
      </c>
      <c r="D15" t="s">
        <v>344</v>
      </c>
      <c r="J15" s="132">
        <v>46082</v>
      </c>
      <c r="K15" s="133" t="s">
        <v>463</v>
      </c>
      <c r="L15" s="133" t="s">
        <v>464</v>
      </c>
      <c r="M15" s="133" t="s">
        <v>465</v>
      </c>
      <c r="N15" s="133">
        <v>0</v>
      </c>
    </row>
    <row r="16" spans="1:14">
      <c r="A16" t="s">
        <v>90</v>
      </c>
      <c r="B16">
        <v>732.18525038039741</v>
      </c>
      <c r="C16" t="s">
        <v>12</v>
      </c>
      <c r="D16" t="s">
        <v>344</v>
      </c>
      <c r="J16" s="132">
        <v>46113</v>
      </c>
      <c r="K16" s="133" t="s">
        <v>466</v>
      </c>
      <c r="L16" s="133" t="s">
        <v>467</v>
      </c>
      <c r="M16" s="133" t="s">
        <v>468</v>
      </c>
      <c r="N16" s="133">
        <v>0</v>
      </c>
    </row>
    <row r="17" spans="1:14">
      <c r="A17" t="s">
        <v>91</v>
      </c>
      <c r="B17">
        <v>724.93589146574004</v>
      </c>
      <c r="C17" t="s">
        <v>12</v>
      </c>
      <c r="D17" t="s">
        <v>344</v>
      </c>
    </row>
    <row r="18" spans="1:14">
      <c r="A18" t="s">
        <v>92</v>
      </c>
      <c r="B18">
        <v>1870.589382773265</v>
      </c>
      <c r="C18" t="s">
        <v>12</v>
      </c>
      <c r="D18" t="s">
        <v>344</v>
      </c>
      <c r="J18" s="132">
        <v>45413</v>
      </c>
      <c r="K18" s="69">
        <v>3497248.99</v>
      </c>
      <c r="L18" s="129">
        <f>+[1]Hoja1!DU6</f>
        <v>1081690.3799999999</v>
      </c>
      <c r="M18" s="69">
        <f>+[1]Hoja1!DU36</f>
        <v>3258202.28</v>
      </c>
      <c r="N18" s="69">
        <f t="shared" ref="N18:N21" si="0">+N19*M18/M19</f>
        <v>1449186.8538116948</v>
      </c>
    </row>
    <row r="19" spans="1:14">
      <c r="A19" t="s">
        <v>93</v>
      </c>
      <c r="B19">
        <v>1852.0686958151141</v>
      </c>
      <c r="C19" t="s">
        <v>12</v>
      </c>
      <c r="D19" t="s">
        <v>344</v>
      </c>
      <c r="J19" s="132">
        <v>45444</v>
      </c>
      <c r="K19" s="69">
        <v>1702778.56</v>
      </c>
      <c r="L19" s="129">
        <f>+[1]Hoja1!DU7</f>
        <v>209014.05</v>
      </c>
      <c r="M19" s="69">
        <f>+[1]Hoja1!DU37</f>
        <v>2765112.74</v>
      </c>
      <c r="N19" s="69">
        <f t="shared" si="0"/>
        <v>1229869.9367785216</v>
      </c>
    </row>
    <row r="20" spans="1:14">
      <c r="A20" t="s">
        <v>94</v>
      </c>
      <c r="B20">
        <v>2749.1149399335063</v>
      </c>
      <c r="C20" t="s">
        <v>12</v>
      </c>
      <c r="D20" t="s">
        <v>344</v>
      </c>
      <c r="J20" s="132">
        <v>45474</v>
      </c>
      <c r="K20" s="69">
        <v>1410052.18</v>
      </c>
      <c r="L20" s="129">
        <f>+[1]Hoja1!DU8</f>
        <v>225326.18</v>
      </c>
      <c r="M20" s="69">
        <f>+[1]Hoja1!DU38</f>
        <v>1732584.14</v>
      </c>
      <c r="N20" s="69">
        <f t="shared" si="0"/>
        <v>770620.71137297247</v>
      </c>
    </row>
    <row r="21" spans="1:14">
      <c r="A21" t="s">
        <v>95</v>
      </c>
      <c r="B21">
        <v>4861.9211399288924</v>
      </c>
      <c r="C21" t="s">
        <v>12</v>
      </c>
      <c r="D21" t="s">
        <v>344</v>
      </c>
      <c r="J21" s="132">
        <v>45505</v>
      </c>
      <c r="K21" s="69">
        <v>1073141.03</v>
      </c>
      <c r="L21" s="129">
        <f>+[1]Hoja1!DU9</f>
        <v>8452475.3699999992</v>
      </c>
      <c r="M21" s="69">
        <f>+[1]Hoja1!DU39</f>
        <v>716255.88</v>
      </c>
      <c r="N21" s="69">
        <f t="shared" si="0"/>
        <v>318577.09130979027</v>
      </c>
    </row>
    <row r="22" spans="1:14">
      <c r="A22" t="s">
        <v>96</v>
      </c>
      <c r="B22">
        <v>5160.0608356879748</v>
      </c>
      <c r="C22" t="s">
        <v>12</v>
      </c>
      <c r="D22" t="s">
        <v>344</v>
      </c>
      <c r="J22" s="132">
        <v>45536</v>
      </c>
      <c r="K22" s="69">
        <v>2095800.62</v>
      </c>
      <c r="L22" s="129">
        <f>+[1]Hoja1!DU10</f>
        <v>1837105.58</v>
      </c>
      <c r="M22" s="69">
        <f>+[1]Hoja1!DU40</f>
        <v>2109785.0499999998</v>
      </c>
      <c r="N22" s="69">
        <f>+N23*M22/M23</f>
        <v>938392.55395415437</v>
      </c>
    </row>
    <row r="23" spans="1:14">
      <c r="A23" t="s">
        <v>97</v>
      </c>
      <c r="B23">
        <v>4182.4718786279418</v>
      </c>
      <c r="C23" t="s">
        <v>12</v>
      </c>
      <c r="D23" t="s">
        <v>344</v>
      </c>
      <c r="J23" s="132">
        <v>45566</v>
      </c>
      <c r="K23" s="69">
        <v>4969755.8</v>
      </c>
      <c r="L23" s="129">
        <v>2200000</v>
      </c>
      <c r="M23" s="69">
        <f>+[1]Hoja1!DU41</f>
        <v>3428718.66</v>
      </c>
      <c r="N23" s="69">
        <f>+[1]Hoja1!DU48</f>
        <v>1525029.32</v>
      </c>
    </row>
    <row r="24" spans="1:14">
      <c r="A24" t="s">
        <v>98</v>
      </c>
      <c r="B24">
        <v>3270.6824814913994</v>
      </c>
      <c r="C24" t="s">
        <v>12</v>
      </c>
      <c r="D24" t="s">
        <v>344</v>
      </c>
      <c r="J24" s="132">
        <v>45597</v>
      </c>
      <c r="K24" s="69">
        <v>9302261.3200000003</v>
      </c>
      <c r="L24" s="129">
        <f>+[1]Hoja1!DU12</f>
        <v>5723068.9299999997</v>
      </c>
      <c r="M24" s="69">
        <f>+[1]Hoja1!DU42</f>
        <v>5432870.54</v>
      </c>
      <c r="N24" s="69">
        <f>+[1]Hoja1!DU49</f>
        <v>2291690.9700000002</v>
      </c>
    </row>
    <row r="25" spans="1:14">
      <c r="A25" t="s">
        <v>99</v>
      </c>
      <c r="B25">
        <v>2947.5062645837261</v>
      </c>
      <c r="C25" t="s">
        <v>12</v>
      </c>
      <c r="D25" t="s">
        <v>344</v>
      </c>
      <c r="J25" s="132">
        <v>45627</v>
      </c>
      <c r="K25" s="69">
        <v>13813355.25</v>
      </c>
      <c r="L25" s="129">
        <f>+[1]Hoja1!DU13</f>
        <v>8161988.1299999999</v>
      </c>
      <c r="M25" s="69">
        <f>+[1]Hoja1!DU43</f>
        <v>9228603.0600000005</v>
      </c>
      <c r="N25" s="69">
        <f>+[1]Hoja1!DU50</f>
        <v>3859396.69</v>
      </c>
    </row>
    <row r="26" spans="1:14">
      <c r="A26" t="s">
        <v>88</v>
      </c>
      <c r="B26">
        <v>76.624889086069217</v>
      </c>
      <c r="C26" t="s">
        <v>4</v>
      </c>
      <c r="D26" t="s">
        <v>344</v>
      </c>
      <c r="J26" s="132">
        <v>45658</v>
      </c>
      <c r="K26" s="69">
        <v>15234153.109999999</v>
      </c>
      <c r="L26" s="129">
        <f>+[1]Hoja1!DU14</f>
        <v>9474038.3499999996</v>
      </c>
      <c r="M26" s="69">
        <f>+[1]Hoja1!DU44</f>
        <v>9805659.5399999991</v>
      </c>
      <c r="N26" s="69">
        <f>+[1]Hoja1!DU51</f>
        <v>4209152.3</v>
      </c>
    </row>
    <row r="27" spans="1:14">
      <c r="A27" t="s">
        <v>89</v>
      </c>
      <c r="B27">
        <v>77.15766030906552</v>
      </c>
      <c r="C27" t="s">
        <v>4</v>
      </c>
      <c r="D27" t="s">
        <v>344</v>
      </c>
      <c r="J27" s="132">
        <v>45689</v>
      </c>
      <c r="K27" s="69">
        <v>14827171.02</v>
      </c>
      <c r="L27" s="129">
        <f>+[1]Hoja1!DU15</f>
        <v>8090514.5899999999</v>
      </c>
      <c r="M27" s="69">
        <f>+[1]Hoja1!DU45</f>
        <v>9698187.2200000007</v>
      </c>
      <c r="N27" s="69">
        <f>+[1]Hoja1!DU52</f>
        <v>3408663.7</v>
      </c>
    </row>
    <row r="28" spans="1:14">
      <c r="A28" t="s">
        <v>90</v>
      </c>
      <c r="B28">
        <v>114.02356555157918</v>
      </c>
      <c r="C28" t="s">
        <v>4</v>
      </c>
      <c r="D28" t="s">
        <v>344</v>
      </c>
      <c r="J28" s="132">
        <v>45717</v>
      </c>
      <c r="K28" s="69">
        <v>18480023.52</v>
      </c>
      <c r="L28" s="129">
        <f>+[1]Hoja1!DU16</f>
        <v>8468232.2599999998</v>
      </c>
      <c r="M28" s="69">
        <f>+[1]Hoja1!DU46</f>
        <v>11469692.18</v>
      </c>
      <c r="N28" s="69">
        <f>+[1]Hoja1!DU53</f>
        <v>2651124.16</v>
      </c>
    </row>
    <row r="29" spans="1:14">
      <c r="A29" t="s">
        <v>91</v>
      </c>
      <c r="B29">
        <v>191.74860975901075</v>
      </c>
      <c r="C29" t="s">
        <v>4</v>
      </c>
      <c r="D29" t="s">
        <v>344</v>
      </c>
      <c r="J29" s="132">
        <v>45748</v>
      </c>
      <c r="K29" s="69">
        <v>6000000</v>
      </c>
      <c r="L29" s="69">
        <v>2500000</v>
      </c>
      <c r="M29" s="69">
        <f>+M28/3</f>
        <v>3823230.7266666666</v>
      </c>
      <c r="N29" s="69">
        <f>+N28/3</f>
        <v>883708.05333333334</v>
      </c>
    </row>
    <row r="30" spans="1:14">
      <c r="A30" t="s">
        <v>92</v>
      </c>
      <c r="B30">
        <v>238.10910052804257</v>
      </c>
      <c r="C30" t="s">
        <v>4</v>
      </c>
      <c r="D30" t="s">
        <v>344</v>
      </c>
    </row>
    <row r="31" spans="1:14">
      <c r="A31" t="s">
        <v>93</v>
      </c>
      <c r="B31">
        <v>121.6696245799078</v>
      </c>
      <c r="C31" t="s">
        <v>4</v>
      </c>
      <c r="D31" t="s">
        <v>344</v>
      </c>
      <c r="J31" s="131" t="s">
        <v>85</v>
      </c>
      <c r="K31" s="131" t="s">
        <v>434</v>
      </c>
      <c r="L31" s="131" t="s">
        <v>435</v>
      </c>
      <c r="M31" s="131" t="s">
        <v>436</v>
      </c>
      <c r="N31" s="131" t="s">
        <v>437</v>
      </c>
    </row>
    <row r="32" spans="1:14">
      <c r="A32" t="s">
        <v>94</v>
      </c>
      <c r="B32">
        <v>81.123928693846338</v>
      </c>
      <c r="C32" t="s">
        <v>4</v>
      </c>
      <c r="D32" t="s">
        <v>344</v>
      </c>
      <c r="J32" s="132">
        <v>45778</v>
      </c>
      <c r="K32" s="69">
        <f>+K18*1.25</f>
        <v>4371561.2375000007</v>
      </c>
      <c r="L32" s="69">
        <f>+L18*1.25</f>
        <v>1352112.9749999999</v>
      </c>
      <c r="M32" s="69">
        <f>+M18*1.25</f>
        <v>4072752.8499999996</v>
      </c>
      <c r="N32" s="69">
        <f>+N18*1.25</f>
        <v>1811483.5672646184</v>
      </c>
    </row>
    <row r="33" spans="1:14">
      <c r="A33" t="s">
        <v>95</v>
      </c>
      <c r="B33">
        <v>62.292241510797965</v>
      </c>
      <c r="C33" t="s">
        <v>4</v>
      </c>
      <c r="D33" t="s">
        <v>344</v>
      </c>
      <c r="J33" s="132">
        <v>45809</v>
      </c>
      <c r="K33" s="69">
        <f t="shared" ref="K33:N43" si="1">+K19*1.25</f>
        <v>2128473.2000000002</v>
      </c>
      <c r="L33" s="69">
        <f>+K33</f>
        <v>2128473.2000000002</v>
      </c>
      <c r="M33" s="69">
        <f t="shared" si="1"/>
        <v>3456390.9250000003</v>
      </c>
      <c r="N33" s="69">
        <f t="shared" si="1"/>
        <v>1537337.4209731519</v>
      </c>
    </row>
    <row r="34" spans="1:14">
      <c r="A34" t="s">
        <v>96</v>
      </c>
      <c r="B34">
        <v>63.622626846149984</v>
      </c>
      <c r="C34" t="s">
        <v>4</v>
      </c>
      <c r="D34" t="s">
        <v>344</v>
      </c>
      <c r="J34" s="132">
        <v>45839</v>
      </c>
      <c r="K34" s="69">
        <f t="shared" si="1"/>
        <v>1762565.2249999999</v>
      </c>
      <c r="L34" s="69">
        <f>+K34</f>
        <v>1762565.2249999999</v>
      </c>
      <c r="M34" s="69">
        <f t="shared" si="1"/>
        <v>2165730.1749999998</v>
      </c>
      <c r="N34" s="69">
        <f t="shared" si="1"/>
        <v>963275.88921621558</v>
      </c>
    </row>
    <row r="35" spans="1:14">
      <c r="A35" t="s">
        <v>97</v>
      </c>
      <c r="B35">
        <v>70.36137017035206</v>
      </c>
      <c r="C35" t="s">
        <v>4</v>
      </c>
      <c r="D35" t="s">
        <v>344</v>
      </c>
      <c r="J35" s="132">
        <v>45870</v>
      </c>
      <c r="K35" s="69">
        <f t="shared" si="1"/>
        <v>1341426.2875000001</v>
      </c>
      <c r="L35" s="69">
        <f t="shared" si="1"/>
        <v>10565594.212499999</v>
      </c>
      <c r="M35" s="69">
        <f t="shared" si="1"/>
        <v>895319.85</v>
      </c>
      <c r="N35" s="69">
        <f t="shared" si="1"/>
        <v>398221.36413723783</v>
      </c>
    </row>
    <row r="36" spans="1:14">
      <c r="A36" t="s">
        <v>98</v>
      </c>
      <c r="B36">
        <v>73.218195137768788</v>
      </c>
      <c r="C36" t="s">
        <v>4</v>
      </c>
      <c r="D36" t="s">
        <v>344</v>
      </c>
      <c r="J36" s="132">
        <v>45901</v>
      </c>
      <c r="K36" s="69">
        <f t="shared" si="1"/>
        <v>2619750.7750000004</v>
      </c>
      <c r="L36" s="69">
        <f t="shared" si="1"/>
        <v>2296381.9750000001</v>
      </c>
      <c r="M36" s="69">
        <f t="shared" si="1"/>
        <v>2637231.3125</v>
      </c>
      <c r="N36" s="69">
        <f t="shared" si="1"/>
        <v>1172990.692442693</v>
      </c>
    </row>
    <row r="37" spans="1:14">
      <c r="A37" t="s">
        <v>99</v>
      </c>
      <c r="B37">
        <v>78.445225796558844</v>
      </c>
      <c r="C37" t="s">
        <v>4</v>
      </c>
      <c r="D37" t="s">
        <v>344</v>
      </c>
      <c r="J37" s="132">
        <v>45931</v>
      </c>
      <c r="K37" s="69">
        <f t="shared" si="1"/>
        <v>6212194.75</v>
      </c>
      <c r="L37" s="69">
        <f>+L23*1.25*1.4</f>
        <v>3849999.9999999995</v>
      </c>
      <c r="M37" s="69">
        <f t="shared" ref="M37:N43" si="2">+M23*1.25</f>
        <v>4285898.3250000002</v>
      </c>
      <c r="N37" s="69">
        <f t="shared" si="2"/>
        <v>1906286.6500000001</v>
      </c>
    </row>
    <row r="38" spans="1:14">
      <c r="A38" t="s">
        <v>88</v>
      </c>
      <c r="B38">
        <v>7950.053238686779</v>
      </c>
      <c r="C38" t="s">
        <v>373</v>
      </c>
      <c r="D38" t="s">
        <v>344</v>
      </c>
      <c r="J38" s="132">
        <v>45962</v>
      </c>
      <c r="K38" s="69">
        <f t="shared" si="1"/>
        <v>11627826.65</v>
      </c>
      <c r="L38" s="69">
        <f t="shared" ref="L38:L43" si="3">+L24*1.25*1.4</f>
        <v>10015370.627499999</v>
      </c>
      <c r="M38" s="69">
        <f t="shared" si="2"/>
        <v>6791088.1749999998</v>
      </c>
      <c r="N38" s="69">
        <f t="shared" si="2"/>
        <v>2864613.7125000004</v>
      </c>
    </row>
    <row r="39" spans="1:14">
      <c r="A39" t="s">
        <v>89</v>
      </c>
      <c r="B39">
        <v>4314.8088766285682</v>
      </c>
      <c r="C39" t="s">
        <v>373</v>
      </c>
      <c r="D39" t="s">
        <v>344</v>
      </c>
      <c r="J39" s="132">
        <v>45992</v>
      </c>
      <c r="K39" s="69">
        <f t="shared" si="1"/>
        <v>17266694.0625</v>
      </c>
      <c r="L39" s="69">
        <f t="shared" si="3"/>
        <v>14283479.227499999</v>
      </c>
      <c r="M39" s="69">
        <f t="shared" si="2"/>
        <v>11535753.825000001</v>
      </c>
      <c r="N39" s="69">
        <f t="shared" si="2"/>
        <v>4824245.8624999998</v>
      </c>
    </row>
    <row r="40" spans="1:14">
      <c r="A40" t="s">
        <v>90</v>
      </c>
      <c r="B40">
        <v>2537.7011683615406</v>
      </c>
      <c r="C40" t="s">
        <v>373</v>
      </c>
      <c r="D40" t="s">
        <v>344</v>
      </c>
      <c r="J40" s="132">
        <v>46023</v>
      </c>
      <c r="K40" s="69">
        <f t="shared" si="1"/>
        <v>19042691.387499999</v>
      </c>
      <c r="L40" s="69">
        <f t="shared" si="3"/>
        <v>16579567.112499999</v>
      </c>
      <c r="M40" s="69">
        <f t="shared" si="2"/>
        <v>12257074.424999999</v>
      </c>
      <c r="N40" s="69">
        <f t="shared" si="2"/>
        <v>5261440.375</v>
      </c>
    </row>
    <row r="41" spans="1:14">
      <c r="A41" t="s">
        <v>91</v>
      </c>
      <c r="B41">
        <v>8161.3174944653338</v>
      </c>
      <c r="C41" t="s">
        <v>373</v>
      </c>
      <c r="D41" t="s">
        <v>344</v>
      </c>
      <c r="J41" s="132">
        <v>46054</v>
      </c>
      <c r="K41" s="69">
        <f t="shared" si="1"/>
        <v>18533963.774999999</v>
      </c>
      <c r="L41" s="69">
        <f t="shared" si="3"/>
        <v>14158400.532500001</v>
      </c>
      <c r="M41" s="69">
        <f t="shared" si="2"/>
        <v>12122734.025</v>
      </c>
      <c r="N41" s="69">
        <f t="shared" si="2"/>
        <v>4260829.625</v>
      </c>
    </row>
    <row r="42" spans="1:14">
      <c r="A42" t="s">
        <v>92</v>
      </c>
      <c r="B42">
        <v>8080.5123707577559</v>
      </c>
      <c r="C42" t="s">
        <v>373</v>
      </c>
      <c r="D42" t="s">
        <v>344</v>
      </c>
      <c r="J42" s="132">
        <v>46082</v>
      </c>
      <c r="K42" s="69">
        <f t="shared" si="1"/>
        <v>23100029.399999999</v>
      </c>
      <c r="L42" s="69">
        <f t="shared" si="3"/>
        <v>14819406.454999998</v>
      </c>
      <c r="M42" s="69">
        <f t="shared" si="2"/>
        <v>14337115.225</v>
      </c>
      <c r="N42" s="69">
        <f t="shared" si="2"/>
        <v>3313905.2</v>
      </c>
    </row>
    <row r="43" spans="1:14">
      <c r="A43" t="s">
        <v>93</v>
      </c>
      <c r="B43">
        <v>2991.032496352394</v>
      </c>
      <c r="C43" t="s">
        <v>373</v>
      </c>
      <c r="D43" t="s">
        <v>344</v>
      </c>
      <c r="J43" s="132">
        <v>46113</v>
      </c>
      <c r="K43" s="69">
        <f t="shared" si="1"/>
        <v>7500000</v>
      </c>
      <c r="L43" s="69">
        <f t="shared" si="3"/>
        <v>4375000</v>
      </c>
      <c r="M43" s="69">
        <f t="shared" si="2"/>
        <v>4779038.4083333332</v>
      </c>
      <c r="N43" s="69">
        <f t="shared" si="2"/>
        <v>1104635.0666666667</v>
      </c>
    </row>
    <row r="44" spans="1:14">
      <c r="A44" t="s">
        <v>94</v>
      </c>
      <c r="B44">
        <v>15524.1255329132</v>
      </c>
      <c r="C44" t="s">
        <v>373</v>
      </c>
      <c r="D44" t="s">
        <v>344</v>
      </c>
    </row>
    <row r="45" spans="1:14">
      <c r="A45" t="s">
        <v>95</v>
      </c>
      <c r="B45">
        <v>26252.787795866032</v>
      </c>
      <c r="C45" t="s">
        <v>373</v>
      </c>
      <c r="D45" t="s">
        <v>344</v>
      </c>
      <c r="J45" s="131" t="s">
        <v>85</v>
      </c>
      <c r="K45" s="131" t="s">
        <v>434</v>
      </c>
      <c r="L45" s="131" t="s">
        <v>435</v>
      </c>
      <c r="M45" s="131" t="s">
        <v>436</v>
      </c>
      <c r="N45" s="131" t="s">
        <v>437</v>
      </c>
    </row>
    <row r="46" spans="1:14">
      <c r="A46" t="s">
        <v>96</v>
      </c>
      <c r="B46">
        <v>28347.635310722959</v>
      </c>
      <c r="C46" t="s">
        <v>373</v>
      </c>
      <c r="D46" t="s">
        <v>344</v>
      </c>
      <c r="J46" s="132">
        <v>45778</v>
      </c>
      <c r="K46" s="69">
        <f>+K32/'Tabla Base'!$C2</f>
        <v>3878.9363243123344</v>
      </c>
      <c r="L46" s="69">
        <f>+L32/'Tabla Base'!$C2</f>
        <v>1199.7453194321206</v>
      </c>
      <c r="M46" s="69">
        <f>+M32/'Tabla Base'!$C2</f>
        <v>3613.8002218278612</v>
      </c>
      <c r="N46" s="69">
        <f>+N32/'Tabla Base'!$C2</f>
        <v>1607.3501040502381</v>
      </c>
    </row>
    <row r="47" spans="1:14">
      <c r="A47" t="s">
        <v>97</v>
      </c>
      <c r="B47">
        <v>27067.823465830304</v>
      </c>
      <c r="C47" t="s">
        <v>373</v>
      </c>
      <c r="D47" t="s">
        <v>344</v>
      </c>
      <c r="J47" s="132">
        <v>45809</v>
      </c>
      <c r="K47" s="69">
        <f>+K33/'Tabla Base'!$C3</f>
        <v>1869.9194391488841</v>
      </c>
      <c r="L47" s="69">
        <f>+L33/'Tabla Base'!$C3</f>
        <v>1869.9194391488841</v>
      </c>
      <c r="M47" s="69">
        <f>+M33/'Tabla Base'!$C3</f>
        <v>3036.5299313871051</v>
      </c>
      <c r="N47" s="69">
        <f>+N33/'Tabla Base'!$C3</f>
        <v>1350.5911786949951</v>
      </c>
    </row>
    <row r="48" spans="1:14">
      <c r="A48" t="s">
        <v>98</v>
      </c>
      <c r="B48">
        <v>31500.855225340802</v>
      </c>
      <c r="C48" t="s">
        <v>373</v>
      </c>
      <c r="D48" t="s">
        <v>344</v>
      </c>
      <c r="J48" s="132">
        <v>45839</v>
      </c>
      <c r="K48" s="69">
        <f>+K34/'Tabla Base'!$C4</f>
        <v>1533.1284178256615</v>
      </c>
      <c r="L48" s="69">
        <f>+L34/'Tabla Base'!$C4</f>
        <v>1533.1284178256615</v>
      </c>
      <c r="M48" s="69">
        <f>+M34/'Tabla Base'!$C4</f>
        <v>1883.8125418224126</v>
      </c>
      <c r="N48" s="69">
        <f>+N34/'Tabla Base'!$C4</f>
        <v>837.88424905731574</v>
      </c>
    </row>
    <row r="49" spans="1:14">
      <c r="A49" t="s">
        <v>99</v>
      </c>
      <c r="B49">
        <v>26376.22774160195</v>
      </c>
      <c r="C49" t="s">
        <v>373</v>
      </c>
      <c r="D49" t="s">
        <v>344</v>
      </c>
      <c r="J49" s="132">
        <v>45870</v>
      </c>
      <c r="K49" s="69">
        <f>+K35/'Tabla Base'!$C5</f>
        <v>1155.2574434948144</v>
      </c>
      <c r="L49" s="69">
        <f>+L35/'Tabla Base'!$C5</f>
        <v>9099.2561221418255</v>
      </c>
      <c r="M49" s="69">
        <f>+M35/'Tabla Base'!$C5</f>
        <v>771.0635542626942</v>
      </c>
      <c r="N49" s="69">
        <f>+N35/'Tabla Base'!$C5</f>
        <v>342.95450996087845</v>
      </c>
    </row>
    <row r="50" spans="1:14">
      <c r="A50" t="s">
        <v>88</v>
      </c>
      <c r="B50">
        <v>3513.0246228926353</v>
      </c>
      <c r="C50" t="s">
        <v>15</v>
      </c>
      <c r="D50" t="s">
        <v>344</v>
      </c>
      <c r="J50" s="132">
        <v>45901</v>
      </c>
      <c r="K50" s="69">
        <f>+K36/'Tabla Base'!$C6</f>
        <v>2233.8323001052572</v>
      </c>
      <c r="L50" s="69">
        <f>+L36/'Tabla Base'!$C6</f>
        <v>1958.0993268852083</v>
      </c>
      <c r="M50" s="69">
        <f>+M36/'Tabla Base'!$C6</f>
        <v>2248.7377596868851</v>
      </c>
      <c r="N50" s="69">
        <f>+N36/'Tabla Base'!$C6</f>
        <v>1000.1960955623036</v>
      </c>
    </row>
    <row r="51" spans="1:14">
      <c r="A51" t="s">
        <v>89</v>
      </c>
      <c r="B51">
        <v>1688.7820991504652</v>
      </c>
      <c r="C51" t="s">
        <v>15</v>
      </c>
      <c r="D51" t="s">
        <v>344</v>
      </c>
      <c r="J51" s="132">
        <v>45931</v>
      </c>
      <c r="K51" s="69">
        <f>+K37/'Tabla Base'!$C7</f>
        <v>5244.623025160412</v>
      </c>
      <c r="L51" s="69">
        <f>+L37/'Tabla Base'!$C7</f>
        <v>3250.3486222590791</v>
      </c>
      <c r="M51" s="69">
        <f>+M37/'Tabla Base'!$C7</f>
        <v>3618.3542118977266</v>
      </c>
      <c r="N51" s="69">
        <f>+N37/'Tabla Base'!$C7</f>
        <v>1609.3756328463314</v>
      </c>
    </row>
    <row r="52" spans="1:14">
      <c r="A52" t="s">
        <v>90</v>
      </c>
      <c r="B52">
        <v>1071.3800785228443</v>
      </c>
      <c r="C52" t="s">
        <v>15</v>
      </c>
      <c r="D52" t="s">
        <v>344</v>
      </c>
      <c r="J52" s="132">
        <v>45962</v>
      </c>
      <c r="K52" s="69">
        <f>+K38/'Tabla Base'!$C8</f>
        <v>9719.5551836684863</v>
      </c>
      <c r="L52" s="69">
        <f>+L38/'Tabla Base'!$C8</f>
        <v>8371.7233176054197</v>
      </c>
      <c r="M52" s="69">
        <f>+M38/'Tabla Base'!$C8</f>
        <v>5676.585853992844</v>
      </c>
      <c r="N52" s="69">
        <f>+N38/'Tabla Base'!$C8</f>
        <v>2394.4948524440897</v>
      </c>
    </row>
    <row r="53" spans="1:14">
      <c r="A53" t="s">
        <v>91</v>
      </c>
      <c r="B53">
        <v>3408.7285320132237</v>
      </c>
      <c r="C53" t="s">
        <v>15</v>
      </c>
      <c r="D53" t="s">
        <v>344</v>
      </c>
      <c r="J53" s="132">
        <v>45992</v>
      </c>
      <c r="K53" s="69">
        <f>+K39/'Tabla Base'!$C9</f>
        <v>14290.112952261086</v>
      </c>
      <c r="L53" s="69">
        <f>+L39/'Tabla Base'!$C9</f>
        <v>11821.170327882497</v>
      </c>
      <c r="M53" s="69">
        <f>+M39/'Tabla Base'!$C9</f>
        <v>9547.1214438637053</v>
      </c>
      <c r="N53" s="69">
        <f>+N39/'Tabla Base'!$C9</f>
        <v>3992.600901774575</v>
      </c>
    </row>
    <row r="54" spans="1:14">
      <c r="A54" t="s">
        <v>92</v>
      </c>
      <c r="B54">
        <v>3374.9787445675479</v>
      </c>
      <c r="C54" t="s">
        <v>15</v>
      </c>
      <c r="D54" t="s">
        <v>344</v>
      </c>
      <c r="J54" s="132">
        <v>46023</v>
      </c>
      <c r="K54" s="69">
        <f>+K40/'Tabla Base'!$C10</f>
        <v>15603.909500678503</v>
      </c>
      <c r="L54" s="69">
        <f>+L40/'Tabla Base'!$C10</f>
        <v>13585.583020774857</v>
      </c>
      <c r="M54" s="69">
        <f>+M40/'Tabla Base'!$C10</f>
        <v>10043.658019702336</v>
      </c>
      <c r="N54" s="69">
        <f>+N40/'Tabla Base'!$C10</f>
        <v>4311.3149178381054</v>
      </c>
    </row>
    <row r="55" spans="1:14">
      <c r="A55" t="s">
        <v>93</v>
      </c>
      <c r="B55">
        <v>1262.7587157965131</v>
      </c>
      <c r="C55" t="s">
        <v>15</v>
      </c>
      <c r="D55" t="s">
        <v>344</v>
      </c>
      <c r="J55" s="132">
        <v>46054</v>
      </c>
      <c r="K55" s="69">
        <f>+K41/'Tabla Base'!$C11</f>
        <v>15036.682502664078</v>
      </c>
      <c r="L55" s="69">
        <f>+L41/'Tabla Base'!$C11</f>
        <v>11486.769702222133</v>
      </c>
      <c r="M55" s="69">
        <f>+M41/'Tabla Base'!$C11</f>
        <v>9835.2249314336423</v>
      </c>
      <c r="N55" s="69">
        <f>+N41/'Tabla Base'!$C11</f>
        <v>3456.828935615541</v>
      </c>
    </row>
    <row r="56" spans="1:14">
      <c r="A56" t="s">
        <v>94</v>
      </c>
      <c r="B56">
        <v>6554.047771345503</v>
      </c>
      <c r="C56" t="s">
        <v>15</v>
      </c>
      <c r="D56" t="s">
        <v>344</v>
      </c>
      <c r="J56" s="132">
        <v>46082</v>
      </c>
      <c r="K56" s="69">
        <f>+K42/'Tabla Base'!$C12</f>
        <v>18555.594737217729</v>
      </c>
      <c r="L56" s="69">
        <f>+L42/'Tabla Base'!$C12</f>
        <v>11904.006512869999</v>
      </c>
      <c r="M56" s="69">
        <f>+M42/'Tabla Base'!$C12</f>
        <v>11516.595724154975</v>
      </c>
      <c r="N56" s="69">
        <f>+N42/'Tabla Base'!$C12</f>
        <v>2661.9655249771449</v>
      </c>
    </row>
    <row r="57" spans="1:14">
      <c r="A57" t="s">
        <v>95</v>
      </c>
      <c r="B57">
        <v>11083.545320569205</v>
      </c>
      <c r="C57" t="s">
        <v>15</v>
      </c>
      <c r="D57" t="s">
        <v>344</v>
      </c>
      <c r="J57" s="132">
        <v>46113</v>
      </c>
      <c r="K57" s="69">
        <f>+K43/'Tabla Base'!$C13</f>
        <v>5964.887206196574</v>
      </c>
      <c r="L57" s="69">
        <f>+L43/'Tabla Base'!$C13</f>
        <v>3479.5175369480016</v>
      </c>
      <c r="M57" s="69">
        <f>+M43/'Tabla Base'!$C13</f>
        <v>3800.8566746386055</v>
      </c>
      <c r="N57" s="69">
        <f>+N43/'Tabla Base'!$C13</f>
        <v>878.53647689014667</v>
      </c>
    </row>
    <row r="58" spans="1:14">
      <c r="A58" t="s">
        <v>96</v>
      </c>
      <c r="B58">
        <v>11967.957871562019</v>
      </c>
      <c r="C58" t="s">
        <v>15</v>
      </c>
      <c r="D58" t="s">
        <v>344</v>
      </c>
    </row>
    <row r="59" spans="1:14">
      <c r="A59" t="s">
        <v>97</v>
      </c>
      <c r="B59">
        <v>11427.64092985997</v>
      </c>
      <c r="C59" t="s">
        <v>15</v>
      </c>
      <c r="D59" t="s">
        <v>344</v>
      </c>
      <c r="J59" t="s">
        <v>311</v>
      </c>
      <c r="K59" s="134">
        <f>+SUM(K46:K57)</f>
        <v>95086.439032733819</v>
      </c>
      <c r="L59" s="134">
        <f t="shared" ref="L59:N59" si="4">+SUM(L46:L57)</f>
        <v>79559.267665995678</v>
      </c>
      <c r="M59" s="134">
        <f t="shared" si="4"/>
        <v>65592.340868670799</v>
      </c>
      <c r="N59" s="134">
        <f t="shared" si="4"/>
        <v>24444.093379711663</v>
      </c>
    </row>
    <row r="60" spans="1:14">
      <c r="A60" t="s">
        <v>98</v>
      </c>
      <c r="B60">
        <v>13299.201169006754</v>
      </c>
      <c r="C60" t="s">
        <v>15</v>
      </c>
      <c r="D60" t="s">
        <v>344</v>
      </c>
      <c r="J60" t="s">
        <v>469</v>
      </c>
      <c r="K60" s="69">
        <f>+SUM(K46:K57)/100</f>
        <v>950.86439032733824</v>
      </c>
      <c r="L60" s="69">
        <f>+SUM(L46:L57)/96.3</f>
        <v>826.16061958458647</v>
      </c>
      <c r="M60" s="69">
        <f>+SUM(M46:M57)/54.3</f>
        <v>1207.9620786127221</v>
      </c>
      <c r="N60" s="69">
        <f>+SUM(N46:N57)/40</f>
        <v>611.10233449279156</v>
      </c>
    </row>
    <row r="61" spans="1:14">
      <c r="A61" t="s">
        <v>99</v>
      </c>
      <c r="B61">
        <v>11135.659655115836</v>
      </c>
      <c r="C61" t="s">
        <v>15</v>
      </c>
      <c r="D61" t="s">
        <v>344</v>
      </c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121"/>
  <sheetViews>
    <sheetView workbookViewId="0">
      <selection activeCell="D13" sqref="D13"/>
    </sheetView>
  </sheetViews>
  <sheetFormatPr baseColWidth="10" defaultRowHeight="15"/>
  <cols>
    <col min="1" max="1" width="22.7109375" bestFit="1" customWidth="1"/>
    <col min="3" max="3" width="12" bestFit="1" customWidth="1"/>
    <col min="4" max="4" width="16.42578125" bestFit="1" customWidth="1"/>
  </cols>
  <sheetData>
    <row r="1" spans="1:4">
      <c r="A1" t="s">
        <v>364</v>
      </c>
      <c r="B1" t="s">
        <v>365</v>
      </c>
      <c r="C1" t="s">
        <v>366</v>
      </c>
      <c r="D1" t="s">
        <v>0</v>
      </c>
    </row>
    <row r="2" spans="1:4">
      <c r="A2" t="s">
        <v>330</v>
      </c>
      <c r="B2" t="s">
        <v>88</v>
      </c>
      <c r="C2">
        <v>1292.149931440001</v>
      </c>
      <c r="D2" t="s">
        <v>8</v>
      </c>
    </row>
    <row r="3" spans="1:4">
      <c r="A3" t="s">
        <v>330</v>
      </c>
      <c r="B3" t="s">
        <v>89</v>
      </c>
      <c r="C3">
        <v>1441.9732523426553</v>
      </c>
      <c r="D3" t="s">
        <v>8</v>
      </c>
    </row>
    <row r="4" spans="1:4">
      <c r="A4" t="s">
        <v>330</v>
      </c>
      <c r="B4" t="s">
        <v>90</v>
      </c>
      <c r="C4">
        <v>1257.4353619904343</v>
      </c>
      <c r="D4" t="s">
        <v>8</v>
      </c>
    </row>
    <row r="5" spans="1:4">
      <c r="A5" t="s">
        <v>330</v>
      </c>
      <c r="B5" t="s">
        <v>91</v>
      </c>
      <c r="C5">
        <v>1956.1210126372998</v>
      </c>
      <c r="D5" t="s">
        <v>8</v>
      </c>
    </row>
    <row r="6" spans="1:4">
      <c r="A6" t="s">
        <v>330</v>
      </c>
      <c r="B6" t="s">
        <v>92</v>
      </c>
      <c r="C6">
        <v>2141.6061953084504</v>
      </c>
      <c r="D6" t="s">
        <v>8</v>
      </c>
    </row>
    <row r="7" spans="1:4">
      <c r="A7" t="s">
        <v>330</v>
      </c>
      <c r="B7" t="s">
        <v>93</v>
      </c>
      <c r="C7">
        <v>2409.6580175037352</v>
      </c>
      <c r="D7" t="s">
        <v>8</v>
      </c>
    </row>
    <row r="8" spans="1:4">
      <c r="A8" t="s">
        <v>330</v>
      </c>
      <c r="B8" t="s">
        <v>94</v>
      </c>
      <c r="C8">
        <v>1583.5300585660143</v>
      </c>
      <c r="D8" t="s">
        <v>8</v>
      </c>
    </row>
    <row r="9" spans="1:4">
      <c r="A9" t="s">
        <v>330</v>
      </c>
      <c r="B9" t="s">
        <v>95</v>
      </c>
      <c r="C9">
        <v>2347.2175891799852</v>
      </c>
      <c r="D9" t="s">
        <v>8</v>
      </c>
    </row>
    <row r="10" spans="1:4">
      <c r="A10" t="s">
        <v>330</v>
      </c>
      <c r="B10" t="s">
        <v>96</v>
      </c>
      <c r="C10">
        <v>2190.1015349642876</v>
      </c>
      <c r="D10" t="s">
        <v>8</v>
      </c>
    </row>
    <row r="11" spans="1:4">
      <c r="A11" t="s">
        <v>330</v>
      </c>
      <c r="B11" t="s">
        <v>97</v>
      </c>
      <c r="C11">
        <v>1820.9434984636009</v>
      </c>
      <c r="D11" t="s">
        <v>8</v>
      </c>
    </row>
    <row r="12" spans="1:4">
      <c r="A12" t="s">
        <v>330</v>
      </c>
      <c r="B12" t="s">
        <v>98</v>
      </c>
      <c r="C12">
        <v>1962.6637687313214</v>
      </c>
      <c r="D12" t="s">
        <v>8</v>
      </c>
    </row>
    <row r="13" spans="1:4">
      <c r="A13" t="s">
        <v>330</v>
      </c>
      <c r="B13" t="s">
        <v>99</v>
      </c>
      <c r="C13">
        <v>2675.8997788722177</v>
      </c>
      <c r="D13" t="s">
        <v>8</v>
      </c>
    </row>
    <row r="14" spans="1:4">
      <c r="A14" t="s">
        <v>330</v>
      </c>
      <c r="B14" t="s">
        <v>88</v>
      </c>
      <c r="C14">
        <v>748.0868024126321</v>
      </c>
      <c r="D14" t="s">
        <v>12</v>
      </c>
    </row>
    <row r="15" spans="1:4">
      <c r="A15" t="s">
        <v>330</v>
      </c>
      <c r="B15" t="s">
        <v>89</v>
      </c>
      <c r="C15">
        <v>834.82661977732675</v>
      </c>
      <c r="D15" t="s">
        <v>12</v>
      </c>
    </row>
    <row r="16" spans="1:4">
      <c r="A16" t="s">
        <v>330</v>
      </c>
      <c r="B16" t="s">
        <v>90</v>
      </c>
      <c r="C16">
        <v>727.98889378393574</v>
      </c>
      <c r="D16" t="s">
        <v>12</v>
      </c>
    </row>
    <row r="17" spans="1:4">
      <c r="A17" t="s">
        <v>330</v>
      </c>
      <c r="B17" t="s">
        <v>91</v>
      </c>
      <c r="C17">
        <v>1132.4911125794895</v>
      </c>
      <c r="D17" t="s">
        <v>12</v>
      </c>
    </row>
    <row r="18" spans="1:4">
      <c r="A18" t="s">
        <v>330</v>
      </c>
      <c r="B18" t="s">
        <v>92</v>
      </c>
      <c r="C18">
        <v>1239.8772709680502</v>
      </c>
      <c r="D18" t="s">
        <v>12</v>
      </c>
    </row>
    <row r="19" spans="1:4">
      <c r="A19" t="s">
        <v>330</v>
      </c>
      <c r="B19" t="s">
        <v>93</v>
      </c>
      <c r="C19">
        <v>1395.0651680284784</v>
      </c>
      <c r="D19" t="s">
        <v>12</v>
      </c>
    </row>
    <row r="20" spans="1:4">
      <c r="A20" t="s">
        <v>330</v>
      </c>
      <c r="B20" t="s">
        <v>94</v>
      </c>
      <c r="C20">
        <v>916.78056022242936</v>
      </c>
      <c r="D20" t="s">
        <v>12</v>
      </c>
    </row>
    <row r="21" spans="1:4">
      <c r="A21" t="s">
        <v>330</v>
      </c>
      <c r="B21" t="s">
        <v>95</v>
      </c>
      <c r="C21">
        <v>1358.9154463673599</v>
      </c>
      <c r="D21" t="s">
        <v>12</v>
      </c>
    </row>
    <row r="22" spans="1:4">
      <c r="A22" t="s">
        <v>330</v>
      </c>
      <c r="B22" t="s">
        <v>96</v>
      </c>
      <c r="C22">
        <v>1267.9535202424825</v>
      </c>
      <c r="D22" t="s">
        <v>12</v>
      </c>
    </row>
    <row r="23" spans="1:4">
      <c r="A23" t="s">
        <v>330</v>
      </c>
      <c r="B23" t="s">
        <v>97</v>
      </c>
      <c r="C23">
        <v>1054.230446478927</v>
      </c>
      <c r="D23" t="s">
        <v>12</v>
      </c>
    </row>
    <row r="24" spans="1:4">
      <c r="A24" t="s">
        <v>330</v>
      </c>
      <c r="B24" t="s">
        <v>98</v>
      </c>
      <c r="C24">
        <v>1136.2790240023439</v>
      </c>
      <c r="D24" t="s">
        <v>12</v>
      </c>
    </row>
    <row r="25" spans="1:4">
      <c r="A25" t="s">
        <v>330</v>
      </c>
      <c r="B25" t="s">
        <v>99</v>
      </c>
      <c r="C25">
        <v>1549.2051351365469</v>
      </c>
      <c r="D25" t="s">
        <v>12</v>
      </c>
    </row>
    <row r="26" spans="1:4">
      <c r="A26" t="s">
        <v>330</v>
      </c>
      <c r="B26" t="s">
        <v>88</v>
      </c>
      <c r="C26">
        <v>544.06312902736875</v>
      </c>
      <c r="D26" t="s">
        <v>4</v>
      </c>
    </row>
    <row r="27" spans="1:4">
      <c r="A27" t="s">
        <v>330</v>
      </c>
      <c r="B27" t="s">
        <v>89</v>
      </c>
      <c r="C27">
        <v>607.14663256532856</v>
      </c>
      <c r="D27" t="s">
        <v>4</v>
      </c>
    </row>
    <row r="28" spans="1:4">
      <c r="A28" t="s">
        <v>330</v>
      </c>
      <c r="B28" t="s">
        <v>90</v>
      </c>
      <c r="C28">
        <v>529.44646820649871</v>
      </c>
      <c r="D28" t="s">
        <v>4</v>
      </c>
    </row>
    <row r="29" spans="1:4">
      <c r="A29" t="s">
        <v>330</v>
      </c>
      <c r="B29" t="s">
        <v>91</v>
      </c>
      <c r="C29">
        <v>823.62990005781046</v>
      </c>
      <c r="D29" t="s">
        <v>4</v>
      </c>
    </row>
    <row r="30" spans="1:4">
      <c r="A30" t="s">
        <v>330</v>
      </c>
      <c r="B30" t="s">
        <v>92</v>
      </c>
      <c r="C30">
        <v>901.72892434040011</v>
      </c>
      <c r="D30" t="s">
        <v>4</v>
      </c>
    </row>
    <row r="31" spans="1:4">
      <c r="A31" t="s">
        <v>330</v>
      </c>
      <c r="B31" t="s">
        <v>93</v>
      </c>
      <c r="C31">
        <v>1014.592849475257</v>
      </c>
      <c r="D31" t="s">
        <v>4</v>
      </c>
    </row>
    <row r="32" spans="1:4">
      <c r="A32" t="s">
        <v>330</v>
      </c>
      <c r="B32" t="s">
        <v>94</v>
      </c>
      <c r="C32">
        <v>666.74949834358506</v>
      </c>
      <c r="D32" t="s">
        <v>4</v>
      </c>
    </row>
    <row r="33" spans="1:4">
      <c r="A33" t="s">
        <v>330</v>
      </c>
      <c r="B33" t="s">
        <v>95</v>
      </c>
      <c r="C33">
        <v>988.30214281262545</v>
      </c>
      <c r="D33" t="s">
        <v>4</v>
      </c>
    </row>
    <row r="34" spans="1:4">
      <c r="A34" t="s">
        <v>330</v>
      </c>
      <c r="B34" t="s">
        <v>96</v>
      </c>
      <c r="C34">
        <v>922.14801472180534</v>
      </c>
      <c r="D34" t="s">
        <v>4</v>
      </c>
    </row>
    <row r="35" spans="1:4">
      <c r="A35" t="s">
        <v>330</v>
      </c>
      <c r="B35" t="s">
        <v>97</v>
      </c>
      <c r="C35">
        <v>766.71305198467417</v>
      </c>
      <c r="D35" t="s">
        <v>4</v>
      </c>
    </row>
    <row r="36" spans="1:4">
      <c r="A36" t="s">
        <v>330</v>
      </c>
      <c r="B36" t="s">
        <v>98</v>
      </c>
      <c r="C36">
        <v>826.38474472897735</v>
      </c>
      <c r="D36" t="s">
        <v>4</v>
      </c>
    </row>
    <row r="37" spans="1:4">
      <c r="A37" t="s">
        <v>330</v>
      </c>
      <c r="B37" t="s">
        <v>99</v>
      </c>
      <c r="C37">
        <v>1126.6946437356705</v>
      </c>
      <c r="D37" t="s">
        <v>4</v>
      </c>
    </row>
    <row r="38" spans="1:4">
      <c r="A38" t="s">
        <v>330</v>
      </c>
      <c r="B38" t="s">
        <v>88</v>
      </c>
      <c r="C38">
        <v>2992.3472096505284</v>
      </c>
      <c r="D38" t="s">
        <v>396</v>
      </c>
    </row>
    <row r="39" spans="1:4">
      <c r="A39" t="s">
        <v>330</v>
      </c>
      <c r="B39" t="s">
        <v>89</v>
      </c>
      <c r="C39">
        <v>3339.306479109307</v>
      </c>
      <c r="D39" t="s">
        <v>396</v>
      </c>
    </row>
    <row r="40" spans="1:4">
      <c r="A40" t="s">
        <v>330</v>
      </c>
      <c r="B40" t="s">
        <v>90</v>
      </c>
      <c r="C40">
        <v>2911.9555751357429</v>
      </c>
      <c r="D40" t="s">
        <v>396</v>
      </c>
    </row>
    <row r="41" spans="1:4">
      <c r="A41" t="s">
        <v>330</v>
      </c>
      <c r="B41" t="s">
        <v>91</v>
      </c>
      <c r="C41">
        <v>4529.9644503179579</v>
      </c>
      <c r="D41" t="s">
        <v>396</v>
      </c>
    </row>
    <row r="42" spans="1:4">
      <c r="A42" t="s">
        <v>330</v>
      </c>
      <c r="B42" t="s">
        <v>92</v>
      </c>
      <c r="C42">
        <v>4959.5090838722008</v>
      </c>
      <c r="D42" t="s">
        <v>396</v>
      </c>
    </row>
    <row r="43" spans="1:4">
      <c r="A43" t="s">
        <v>330</v>
      </c>
      <c r="B43" t="s">
        <v>93</v>
      </c>
      <c r="C43">
        <v>5580.2606721139136</v>
      </c>
      <c r="D43" t="s">
        <v>396</v>
      </c>
    </row>
    <row r="44" spans="1:4">
      <c r="A44" t="s">
        <v>330</v>
      </c>
      <c r="B44" t="s">
        <v>94</v>
      </c>
      <c r="C44">
        <v>3667.1222408897174</v>
      </c>
      <c r="D44" t="s">
        <v>396</v>
      </c>
    </row>
    <row r="45" spans="1:4">
      <c r="A45" t="s">
        <v>330</v>
      </c>
      <c r="B45" t="s">
        <v>95</v>
      </c>
      <c r="C45">
        <v>5435.6617854694396</v>
      </c>
      <c r="D45" t="s">
        <v>396</v>
      </c>
    </row>
    <row r="46" spans="1:4">
      <c r="A46" t="s">
        <v>330</v>
      </c>
      <c r="B46" t="s">
        <v>96</v>
      </c>
      <c r="C46">
        <v>5071.8140809699298</v>
      </c>
      <c r="D46" t="s">
        <v>396</v>
      </c>
    </row>
    <row r="47" spans="1:4">
      <c r="A47" t="s">
        <v>330</v>
      </c>
      <c r="B47" t="s">
        <v>97</v>
      </c>
      <c r="C47">
        <v>4216.9217859157079</v>
      </c>
      <c r="D47" t="s">
        <v>396</v>
      </c>
    </row>
    <row r="48" spans="1:4">
      <c r="A48" t="s">
        <v>330</v>
      </c>
      <c r="B48" t="s">
        <v>98</v>
      </c>
      <c r="C48">
        <v>4545.1160960093757</v>
      </c>
      <c r="D48" t="s">
        <v>396</v>
      </c>
    </row>
    <row r="49" spans="1:4">
      <c r="A49" t="s">
        <v>330</v>
      </c>
      <c r="B49" t="s">
        <v>99</v>
      </c>
      <c r="C49">
        <v>6196.8205405461877</v>
      </c>
      <c r="D49" t="s">
        <v>397</v>
      </c>
    </row>
    <row r="50" spans="1:4">
      <c r="A50" t="s">
        <v>330</v>
      </c>
      <c r="B50" t="s">
        <v>88</v>
      </c>
      <c r="C50">
        <v>1224.1420403115796</v>
      </c>
      <c r="D50" t="s">
        <v>397</v>
      </c>
    </row>
    <row r="51" spans="1:4">
      <c r="A51" t="s">
        <v>330</v>
      </c>
      <c r="B51" t="s">
        <v>89</v>
      </c>
      <c r="C51">
        <v>1366.0799232719892</v>
      </c>
      <c r="D51" t="s">
        <v>397</v>
      </c>
    </row>
    <row r="52" spans="1:4">
      <c r="A52" t="s">
        <v>330</v>
      </c>
      <c r="B52" t="s">
        <v>90</v>
      </c>
      <c r="C52">
        <v>1191.2545534646219</v>
      </c>
      <c r="D52" t="s">
        <v>397</v>
      </c>
    </row>
    <row r="53" spans="1:4">
      <c r="A53" t="s">
        <v>330</v>
      </c>
      <c r="B53" t="s">
        <v>91</v>
      </c>
      <c r="C53">
        <v>1853.1672751300734</v>
      </c>
      <c r="D53" t="s">
        <v>397</v>
      </c>
    </row>
    <row r="54" spans="1:4">
      <c r="A54" t="s">
        <v>330</v>
      </c>
      <c r="B54" t="s">
        <v>92</v>
      </c>
      <c r="C54">
        <v>2028.8900797659003</v>
      </c>
      <c r="D54" t="s">
        <v>397</v>
      </c>
    </row>
    <row r="55" spans="1:4">
      <c r="A55" t="s">
        <v>330</v>
      </c>
      <c r="B55" t="s">
        <v>93</v>
      </c>
      <c r="C55">
        <v>2282.8339113193279</v>
      </c>
      <c r="D55" t="s">
        <v>397</v>
      </c>
    </row>
    <row r="56" spans="1:4">
      <c r="A56" t="s">
        <v>330</v>
      </c>
      <c r="B56" t="s">
        <v>94</v>
      </c>
      <c r="C56">
        <v>1500.1863712730662</v>
      </c>
      <c r="D56" t="s">
        <v>397</v>
      </c>
    </row>
    <row r="57" spans="1:4">
      <c r="A57" t="s">
        <v>330</v>
      </c>
      <c r="B57" t="s">
        <v>95</v>
      </c>
      <c r="C57">
        <v>2223.6798213284069</v>
      </c>
      <c r="D57" t="s">
        <v>397</v>
      </c>
    </row>
    <row r="58" spans="1:4">
      <c r="A58" t="s">
        <v>330</v>
      </c>
      <c r="B58" t="s">
        <v>96</v>
      </c>
      <c r="C58">
        <v>2074.8330331240622</v>
      </c>
      <c r="D58" t="s">
        <v>397</v>
      </c>
    </row>
    <row r="59" spans="1:4">
      <c r="A59" t="s">
        <v>330</v>
      </c>
      <c r="B59" t="s">
        <v>97</v>
      </c>
      <c r="C59">
        <v>1725.1043669655166</v>
      </c>
      <c r="D59" t="s">
        <v>397</v>
      </c>
    </row>
    <row r="60" spans="1:4">
      <c r="A60" t="s">
        <v>330</v>
      </c>
      <c r="B60" t="s">
        <v>98</v>
      </c>
      <c r="C60">
        <v>1859.365675640199</v>
      </c>
      <c r="D60" t="s">
        <v>397</v>
      </c>
    </row>
    <row r="61" spans="1:4">
      <c r="A61" t="s">
        <v>330</v>
      </c>
      <c r="B61" t="s">
        <v>99</v>
      </c>
      <c r="C61">
        <v>2535.0629484052588</v>
      </c>
      <c r="D61" t="s">
        <v>397</v>
      </c>
    </row>
    <row r="62" spans="1:4">
      <c r="A62" t="s">
        <v>331</v>
      </c>
      <c r="B62" t="s">
        <v>88</v>
      </c>
      <c r="C62">
        <v>1602.7017043614323</v>
      </c>
      <c r="D62" t="s">
        <v>8</v>
      </c>
    </row>
    <row r="63" spans="1:4">
      <c r="A63" t="s">
        <v>331</v>
      </c>
      <c r="B63" t="s">
        <v>89</v>
      </c>
      <c r="C63">
        <v>2195.0576810073576</v>
      </c>
      <c r="D63" t="s">
        <v>8</v>
      </c>
    </row>
    <row r="64" spans="1:4">
      <c r="A64" t="s">
        <v>331</v>
      </c>
      <c r="B64" t="s">
        <v>90</v>
      </c>
      <c r="C64">
        <v>1636.4605884308405</v>
      </c>
      <c r="D64" t="s">
        <v>8</v>
      </c>
    </row>
    <row r="65" spans="1:4">
      <c r="A65" t="s">
        <v>331</v>
      </c>
      <c r="B65" t="s">
        <v>91</v>
      </c>
      <c r="C65">
        <v>1633.8755943975971</v>
      </c>
      <c r="D65" t="s">
        <v>8</v>
      </c>
    </row>
    <row r="66" spans="1:4">
      <c r="A66" t="s">
        <v>331</v>
      </c>
      <c r="B66" t="s">
        <v>92</v>
      </c>
      <c r="C66">
        <v>1630.3332290740368</v>
      </c>
      <c r="D66" t="s">
        <v>8</v>
      </c>
    </row>
    <row r="67" spans="1:4">
      <c r="A67" t="s">
        <v>331</v>
      </c>
      <c r="B67" t="s">
        <v>93</v>
      </c>
      <c r="C67">
        <v>1625.4298479757445</v>
      </c>
      <c r="D67" t="s">
        <v>8</v>
      </c>
    </row>
    <row r="68" spans="1:4">
      <c r="A68" t="s">
        <v>331</v>
      </c>
      <c r="B68" t="s">
        <v>94</v>
      </c>
      <c r="C68">
        <v>1625.4298479757445</v>
      </c>
      <c r="D68" t="s">
        <v>8</v>
      </c>
    </row>
    <row r="69" spans="1:4">
      <c r="A69" t="s">
        <v>331</v>
      </c>
      <c r="B69" t="s">
        <v>95</v>
      </c>
      <c r="C69">
        <v>2310.7015688098245</v>
      </c>
      <c r="D69" t="s">
        <v>8</v>
      </c>
    </row>
    <row r="70" spans="1:4">
      <c r="A70" t="s">
        <v>331</v>
      </c>
      <c r="B70" t="s">
        <v>96</v>
      </c>
      <c r="C70">
        <v>1625.4298479757445</v>
      </c>
      <c r="D70" t="s">
        <v>8</v>
      </c>
    </row>
    <row r="71" spans="1:4">
      <c r="A71" t="s">
        <v>331</v>
      </c>
      <c r="B71" t="s">
        <v>97</v>
      </c>
      <c r="C71">
        <v>1625.4298479757445</v>
      </c>
      <c r="D71" t="s">
        <v>8</v>
      </c>
    </row>
    <row r="72" spans="1:4">
      <c r="A72" t="s">
        <v>331</v>
      </c>
      <c r="B72" t="s">
        <v>98</v>
      </c>
      <c r="C72">
        <v>1625.4298479757445</v>
      </c>
      <c r="D72" t="s">
        <v>8</v>
      </c>
    </row>
    <row r="73" spans="1:4">
      <c r="A73" t="s">
        <v>331</v>
      </c>
      <c r="B73" t="s">
        <v>99</v>
      </c>
      <c r="C73">
        <v>1650.8055563975863</v>
      </c>
      <c r="D73" t="s">
        <v>8</v>
      </c>
    </row>
    <row r="74" spans="1:4">
      <c r="A74" t="s">
        <v>331</v>
      </c>
      <c r="B74" t="s">
        <v>88</v>
      </c>
      <c r="C74">
        <v>927.87993410398713</v>
      </c>
      <c r="D74" t="s">
        <v>12</v>
      </c>
    </row>
    <row r="75" spans="1:4">
      <c r="A75" t="s">
        <v>331</v>
      </c>
      <c r="B75" t="s">
        <v>89</v>
      </c>
      <c r="C75">
        <v>1270.822867951628</v>
      </c>
      <c r="D75" t="s">
        <v>12</v>
      </c>
    </row>
    <row r="76" spans="1:4">
      <c r="A76" t="s">
        <v>331</v>
      </c>
      <c r="B76" t="s">
        <v>90</v>
      </c>
      <c r="C76">
        <v>947.42455119680233</v>
      </c>
      <c r="D76" t="s">
        <v>12</v>
      </c>
    </row>
    <row r="77" spans="1:4">
      <c r="A77" t="s">
        <v>331</v>
      </c>
      <c r="B77" t="s">
        <v>91</v>
      </c>
      <c r="C77">
        <v>945.92797570387199</v>
      </c>
      <c r="D77" t="s">
        <v>12</v>
      </c>
    </row>
    <row r="78" spans="1:4">
      <c r="A78" t="s">
        <v>331</v>
      </c>
      <c r="B78" t="s">
        <v>92</v>
      </c>
      <c r="C78">
        <v>943.8771326218108</v>
      </c>
      <c r="D78" t="s">
        <v>12</v>
      </c>
    </row>
    <row r="79" spans="1:4">
      <c r="A79" t="s">
        <v>331</v>
      </c>
      <c r="B79" t="s">
        <v>93</v>
      </c>
      <c r="C79">
        <v>941.03833303858892</v>
      </c>
      <c r="D79" t="s">
        <v>12</v>
      </c>
    </row>
    <row r="80" spans="1:4">
      <c r="A80" t="s">
        <v>331</v>
      </c>
      <c r="B80" t="s">
        <v>94</v>
      </c>
      <c r="C80">
        <v>941.03833303858892</v>
      </c>
      <c r="D80" t="s">
        <v>12</v>
      </c>
    </row>
    <row r="81" spans="1:4">
      <c r="A81" t="s">
        <v>331</v>
      </c>
      <c r="B81" t="s">
        <v>95</v>
      </c>
      <c r="C81">
        <v>1337.7745924688459</v>
      </c>
      <c r="D81" t="s">
        <v>12</v>
      </c>
    </row>
    <row r="82" spans="1:4">
      <c r="A82" t="s">
        <v>331</v>
      </c>
      <c r="B82" t="s">
        <v>96</v>
      </c>
      <c r="C82">
        <v>941.03833303858892</v>
      </c>
      <c r="D82" t="s">
        <v>12</v>
      </c>
    </row>
    <row r="83" spans="1:4">
      <c r="A83" t="s">
        <v>331</v>
      </c>
      <c r="B83" t="s">
        <v>97</v>
      </c>
      <c r="C83">
        <v>941.03833303858892</v>
      </c>
      <c r="D83" t="s">
        <v>12</v>
      </c>
    </row>
    <row r="84" spans="1:4">
      <c r="A84" t="s">
        <v>331</v>
      </c>
      <c r="B84" t="s">
        <v>98</v>
      </c>
      <c r="C84">
        <v>941.03833303858892</v>
      </c>
      <c r="D84" t="s">
        <v>12</v>
      </c>
    </row>
    <row r="85" spans="1:4">
      <c r="A85" t="s">
        <v>331</v>
      </c>
      <c r="B85" t="s">
        <v>99</v>
      </c>
      <c r="C85">
        <v>955.72953265123419</v>
      </c>
      <c r="D85" t="s">
        <v>12</v>
      </c>
    </row>
    <row r="86" spans="1:4">
      <c r="A86" t="s">
        <v>331</v>
      </c>
      <c r="B86" t="s">
        <v>88</v>
      </c>
      <c r="C86">
        <v>674.82177025744522</v>
      </c>
      <c r="D86" t="s">
        <v>4</v>
      </c>
    </row>
    <row r="87" spans="1:4">
      <c r="A87" t="s">
        <v>331</v>
      </c>
      <c r="B87" t="s">
        <v>89</v>
      </c>
      <c r="C87">
        <v>924.23481305572943</v>
      </c>
      <c r="D87" t="s">
        <v>4</v>
      </c>
    </row>
    <row r="88" spans="1:4">
      <c r="A88" t="s">
        <v>331</v>
      </c>
      <c r="B88" t="s">
        <v>90</v>
      </c>
      <c r="C88">
        <v>689.03603723403808</v>
      </c>
      <c r="D88" t="s">
        <v>4</v>
      </c>
    </row>
    <row r="89" spans="1:4">
      <c r="A89" t="s">
        <v>331</v>
      </c>
      <c r="B89" t="s">
        <v>91</v>
      </c>
      <c r="C89">
        <v>687.94761869372508</v>
      </c>
      <c r="D89" t="s">
        <v>4</v>
      </c>
    </row>
    <row r="90" spans="1:4">
      <c r="A90" t="s">
        <v>331</v>
      </c>
      <c r="B90" t="s">
        <v>92</v>
      </c>
      <c r="C90">
        <v>686.45609645222601</v>
      </c>
      <c r="D90" t="s">
        <v>4</v>
      </c>
    </row>
    <row r="91" spans="1:4">
      <c r="A91" t="s">
        <v>331</v>
      </c>
      <c r="B91" t="s">
        <v>93</v>
      </c>
      <c r="C91">
        <v>684.39151493715565</v>
      </c>
      <c r="D91" t="s">
        <v>4</v>
      </c>
    </row>
    <row r="92" spans="1:4">
      <c r="A92" t="s">
        <v>331</v>
      </c>
      <c r="B92" t="s">
        <v>94</v>
      </c>
      <c r="C92">
        <v>684.39151493715565</v>
      </c>
      <c r="D92" t="s">
        <v>4</v>
      </c>
    </row>
    <row r="93" spans="1:4">
      <c r="A93" t="s">
        <v>331</v>
      </c>
      <c r="B93" t="s">
        <v>95</v>
      </c>
      <c r="C93">
        <v>972.92697634097874</v>
      </c>
      <c r="D93" t="s">
        <v>4</v>
      </c>
    </row>
    <row r="94" spans="1:4">
      <c r="A94" t="s">
        <v>331</v>
      </c>
      <c r="B94" t="s">
        <v>96</v>
      </c>
      <c r="C94">
        <v>684.39151493715565</v>
      </c>
      <c r="D94" t="s">
        <v>4</v>
      </c>
    </row>
    <row r="95" spans="1:4">
      <c r="A95" t="s">
        <v>331</v>
      </c>
      <c r="B95" t="s">
        <v>97</v>
      </c>
      <c r="C95">
        <v>684.39151493715565</v>
      </c>
      <c r="D95" t="s">
        <v>4</v>
      </c>
    </row>
    <row r="96" spans="1:4">
      <c r="A96" t="s">
        <v>331</v>
      </c>
      <c r="B96" t="s">
        <v>98</v>
      </c>
      <c r="C96">
        <v>684.39151493715565</v>
      </c>
      <c r="D96" t="s">
        <v>4</v>
      </c>
    </row>
    <row r="97" spans="1:4">
      <c r="A97" t="s">
        <v>331</v>
      </c>
      <c r="B97" t="s">
        <v>99</v>
      </c>
      <c r="C97">
        <v>695.07602374635212</v>
      </c>
      <c r="D97" t="s">
        <v>4</v>
      </c>
    </row>
    <row r="98" spans="1:4">
      <c r="A98" t="s">
        <v>331</v>
      </c>
      <c r="B98" t="s">
        <v>88</v>
      </c>
      <c r="C98">
        <v>3711.5197364159485</v>
      </c>
      <c r="D98" t="s">
        <v>396</v>
      </c>
    </row>
    <row r="99" spans="1:4">
      <c r="A99" t="s">
        <v>331</v>
      </c>
      <c r="B99" t="s">
        <v>89</v>
      </c>
      <c r="C99">
        <v>5083.2914718065122</v>
      </c>
      <c r="D99" t="s">
        <v>396</v>
      </c>
    </row>
    <row r="100" spans="1:4">
      <c r="A100" t="s">
        <v>331</v>
      </c>
      <c r="B100" t="s">
        <v>90</v>
      </c>
      <c r="C100">
        <v>3789.6982047872093</v>
      </c>
      <c r="D100" t="s">
        <v>396</v>
      </c>
    </row>
    <row r="101" spans="1:4">
      <c r="A101" t="s">
        <v>331</v>
      </c>
      <c r="B101" t="s">
        <v>91</v>
      </c>
      <c r="C101">
        <v>3783.711902815488</v>
      </c>
      <c r="D101" t="s">
        <v>396</v>
      </c>
    </row>
    <row r="102" spans="1:4">
      <c r="A102" t="s">
        <v>331</v>
      </c>
      <c r="B102" t="s">
        <v>92</v>
      </c>
      <c r="C102">
        <v>3775.5085304872432</v>
      </c>
      <c r="D102" t="s">
        <v>396</v>
      </c>
    </row>
    <row r="103" spans="1:4">
      <c r="A103" t="s">
        <v>331</v>
      </c>
      <c r="B103" t="s">
        <v>93</v>
      </c>
      <c r="C103">
        <v>3764.1533321543557</v>
      </c>
      <c r="D103" t="s">
        <v>396</v>
      </c>
    </row>
    <row r="104" spans="1:4">
      <c r="A104" t="s">
        <v>331</v>
      </c>
      <c r="B104" t="s">
        <v>94</v>
      </c>
      <c r="C104">
        <v>3764.1533321543557</v>
      </c>
      <c r="D104" t="s">
        <v>396</v>
      </c>
    </row>
    <row r="105" spans="1:4">
      <c r="A105" t="s">
        <v>331</v>
      </c>
      <c r="B105" t="s">
        <v>95</v>
      </c>
      <c r="C105">
        <v>5351.0983698753835</v>
      </c>
      <c r="D105" t="s">
        <v>396</v>
      </c>
    </row>
    <row r="106" spans="1:4">
      <c r="A106" t="s">
        <v>331</v>
      </c>
      <c r="B106" t="s">
        <v>96</v>
      </c>
      <c r="C106">
        <v>3764.1533321543557</v>
      </c>
      <c r="D106" t="s">
        <v>396</v>
      </c>
    </row>
    <row r="107" spans="1:4">
      <c r="A107" t="s">
        <v>331</v>
      </c>
      <c r="B107" t="s">
        <v>97</v>
      </c>
      <c r="C107">
        <v>3764.1533321543557</v>
      </c>
      <c r="D107" t="s">
        <v>396</v>
      </c>
    </row>
    <row r="108" spans="1:4">
      <c r="A108" t="s">
        <v>331</v>
      </c>
      <c r="B108" t="s">
        <v>98</v>
      </c>
      <c r="C108">
        <v>3764.1533321543557</v>
      </c>
      <c r="D108" t="s">
        <v>396</v>
      </c>
    </row>
    <row r="109" spans="1:4">
      <c r="A109" t="s">
        <v>331</v>
      </c>
      <c r="B109" t="s">
        <v>99</v>
      </c>
      <c r="C109">
        <v>3822.9181306049368</v>
      </c>
      <c r="D109" t="s">
        <v>397</v>
      </c>
    </row>
    <row r="110" spans="1:4">
      <c r="A110" t="s">
        <v>331</v>
      </c>
      <c r="B110" t="s">
        <v>88</v>
      </c>
      <c r="C110">
        <v>1518.3489830792516</v>
      </c>
      <c r="D110" t="s">
        <v>397</v>
      </c>
    </row>
    <row r="111" spans="1:4">
      <c r="A111" t="s">
        <v>331</v>
      </c>
      <c r="B111" t="s">
        <v>89</v>
      </c>
      <c r="C111">
        <v>2079.5283293753914</v>
      </c>
      <c r="D111" t="s">
        <v>397</v>
      </c>
    </row>
    <row r="112" spans="1:4">
      <c r="A112" t="s">
        <v>331</v>
      </c>
      <c r="B112" t="s">
        <v>90</v>
      </c>
      <c r="C112">
        <v>1550.3310837765857</v>
      </c>
      <c r="D112" t="s">
        <v>397</v>
      </c>
    </row>
    <row r="113" spans="1:4">
      <c r="A113" t="s">
        <v>331</v>
      </c>
      <c r="B113" t="s">
        <v>91</v>
      </c>
      <c r="C113">
        <v>1547.8821420608815</v>
      </c>
      <c r="D113" t="s">
        <v>397</v>
      </c>
    </row>
    <row r="114" spans="1:4">
      <c r="A114" t="s">
        <v>331</v>
      </c>
      <c r="B114" t="s">
        <v>92</v>
      </c>
      <c r="C114">
        <v>1544.5262170175085</v>
      </c>
      <c r="D114" t="s">
        <v>397</v>
      </c>
    </row>
    <row r="115" spans="1:4">
      <c r="A115" t="s">
        <v>331</v>
      </c>
      <c r="B115" t="s">
        <v>93</v>
      </c>
      <c r="C115">
        <v>1539.8809086086001</v>
      </c>
      <c r="D115" t="s">
        <v>397</v>
      </c>
    </row>
    <row r="116" spans="1:4">
      <c r="A116" t="s">
        <v>331</v>
      </c>
      <c r="B116" t="s">
        <v>94</v>
      </c>
      <c r="C116">
        <v>1539.8809086086001</v>
      </c>
      <c r="D116" t="s">
        <v>397</v>
      </c>
    </row>
    <row r="117" spans="1:4">
      <c r="A117" t="s">
        <v>331</v>
      </c>
      <c r="B117" t="s">
        <v>95</v>
      </c>
      <c r="C117">
        <v>2189.0856967672021</v>
      </c>
      <c r="D117" t="s">
        <v>397</v>
      </c>
    </row>
    <row r="118" spans="1:4">
      <c r="A118" t="s">
        <v>331</v>
      </c>
      <c r="B118" t="s">
        <v>96</v>
      </c>
      <c r="C118">
        <v>1539.8809086086001</v>
      </c>
      <c r="D118" t="s">
        <v>397</v>
      </c>
    </row>
    <row r="119" spans="1:4">
      <c r="A119" t="s">
        <v>331</v>
      </c>
      <c r="B119" t="s">
        <v>97</v>
      </c>
      <c r="C119">
        <v>1539.8809086086001</v>
      </c>
      <c r="D119" t="s">
        <v>397</v>
      </c>
    </row>
    <row r="120" spans="1:4">
      <c r="A120" t="s">
        <v>331</v>
      </c>
      <c r="B120" t="s">
        <v>98</v>
      </c>
      <c r="C120">
        <v>1539.8809086086001</v>
      </c>
      <c r="D120" t="s">
        <v>397</v>
      </c>
    </row>
    <row r="121" spans="1:4">
      <c r="A121" t="s">
        <v>331</v>
      </c>
      <c r="B121" t="s">
        <v>99</v>
      </c>
      <c r="C121">
        <v>1563.9210534292922</v>
      </c>
      <c r="D121" t="s">
        <v>397</v>
      </c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R121"/>
  <sheetViews>
    <sheetView topLeftCell="A5" workbookViewId="0">
      <selection activeCell="A5" sqref="A5"/>
    </sheetView>
  </sheetViews>
  <sheetFormatPr baseColWidth="10" defaultRowHeight="15"/>
  <cols>
    <col min="1" max="1" width="19.140625" bestFit="1" customWidth="1"/>
    <col min="17" max="17" width="12" bestFit="1" customWidth="1"/>
    <col min="18" max="18" width="16.42578125" bestFit="1" customWidth="1"/>
  </cols>
  <sheetData>
    <row r="1" spans="1:18">
      <c r="A1" t="s">
        <v>390</v>
      </c>
      <c r="B1" s="113">
        <v>121470</v>
      </c>
      <c r="C1" s="153" t="s">
        <v>405</v>
      </c>
      <c r="D1" s="153"/>
      <c r="E1" s="153"/>
      <c r="F1" s="153"/>
      <c r="G1" s="153"/>
      <c r="H1" s="153"/>
      <c r="I1" s="153"/>
      <c r="J1" s="153"/>
      <c r="K1" s="153"/>
      <c r="L1" s="153"/>
      <c r="M1" s="153"/>
      <c r="O1" s="115" t="s">
        <v>364</v>
      </c>
      <c r="P1" s="116" t="s">
        <v>365</v>
      </c>
      <c r="Q1" s="116" t="s">
        <v>366</v>
      </c>
      <c r="R1" s="116" t="s">
        <v>0</v>
      </c>
    </row>
    <row r="2" spans="1:18">
      <c r="B2" s="114">
        <v>5.5987396993843003E-2</v>
      </c>
      <c r="C2" s="114">
        <v>6.2479072257072582E-2</v>
      </c>
      <c r="D2" s="114">
        <v>5.4483253911099309E-2</v>
      </c>
      <c r="E2" s="114">
        <v>8.4756513960011784E-2</v>
      </c>
      <c r="F2" s="114">
        <v>9.27933774121594E-2</v>
      </c>
      <c r="G2" s="114">
        <v>0.10440776009253899</v>
      </c>
      <c r="H2" s="114">
        <v>6.861256877660997E-2</v>
      </c>
      <c r="I2" s="114">
        <v>0.10170228686225255</v>
      </c>
      <c r="J2" s="114">
        <v>9.4894625702005159E-2</v>
      </c>
      <c r="K2" s="114">
        <v>7.8899424959318565E-2</v>
      </c>
      <c r="L2" s="114">
        <v>8.5040004191258886E-2</v>
      </c>
      <c r="M2" s="114">
        <v>0.11594371488182993</v>
      </c>
      <c r="O2" t="s">
        <v>330</v>
      </c>
      <c r="P2" t="s">
        <v>88</v>
      </c>
      <c r="Q2" s="2">
        <v>1292.149931440001</v>
      </c>
      <c r="R2" t="s">
        <v>8</v>
      </c>
    </row>
    <row r="3" spans="1:18">
      <c r="A3" t="s">
        <v>365</v>
      </c>
      <c r="B3" t="s">
        <v>88</v>
      </c>
      <c r="C3" t="s">
        <v>89</v>
      </c>
      <c r="D3" t="s">
        <v>90</v>
      </c>
      <c r="E3" t="s">
        <v>91</v>
      </c>
      <c r="F3" t="s">
        <v>92</v>
      </c>
      <c r="G3" t="s">
        <v>93</v>
      </c>
      <c r="H3" t="s">
        <v>94</v>
      </c>
      <c r="I3" t="s">
        <v>95</v>
      </c>
      <c r="J3" t="s">
        <v>96</v>
      </c>
      <c r="K3" t="s">
        <v>97</v>
      </c>
      <c r="L3" t="s">
        <v>98</v>
      </c>
      <c r="M3" t="s">
        <v>99</v>
      </c>
      <c r="O3" t="s">
        <v>330</v>
      </c>
      <c r="P3" t="s">
        <v>89</v>
      </c>
      <c r="Q3" s="2">
        <v>1441.9732523426553</v>
      </c>
      <c r="R3" t="s">
        <v>8</v>
      </c>
    </row>
    <row r="4" spans="1:18">
      <c r="B4" s="2">
        <f>+B2*$B$1</f>
        <v>6800.7891128421097</v>
      </c>
      <c r="C4" s="2">
        <f t="shared" ref="C4:M4" si="0">+C2*$B$1</f>
        <v>7589.3329070666068</v>
      </c>
      <c r="D4" s="2">
        <f t="shared" si="0"/>
        <v>6618.0808525812336</v>
      </c>
      <c r="E4" s="2">
        <f t="shared" si="0"/>
        <v>10295.373750722631</v>
      </c>
      <c r="F4" s="2">
        <f t="shared" si="0"/>
        <v>11271.611554255001</v>
      </c>
      <c r="G4" s="2">
        <f t="shared" si="0"/>
        <v>12682.410618440712</v>
      </c>
      <c r="H4" s="2">
        <f t="shared" si="0"/>
        <v>8334.3687292948125</v>
      </c>
      <c r="I4" s="2">
        <f t="shared" si="0"/>
        <v>12353.776785157817</v>
      </c>
      <c r="J4" s="2">
        <f t="shared" si="0"/>
        <v>11526.850184022567</v>
      </c>
      <c r="K4" s="2">
        <f t="shared" si="0"/>
        <v>9583.9131498084262</v>
      </c>
      <c r="L4" s="2">
        <f t="shared" si="0"/>
        <v>10329.809309112217</v>
      </c>
      <c r="M4" s="2">
        <f t="shared" si="0"/>
        <v>14083.683046695882</v>
      </c>
      <c r="O4" t="s">
        <v>330</v>
      </c>
      <c r="P4" t="s">
        <v>90</v>
      </c>
      <c r="Q4" s="2">
        <v>1257.4353619904343</v>
      </c>
      <c r="R4" t="s">
        <v>8</v>
      </c>
    </row>
    <row r="5" spans="1:18">
      <c r="A5" t="s">
        <v>0</v>
      </c>
      <c r="B5" s="2">
        <f>+B4</f>
        <v>6800.7891128421097</v>
      </c>
      <c r="C5" s="2">
        <f t="shared" ref="C5:M5" si="1">+C4</f>
        <v>7589.3329070666068</v>
      </c>
      <c r="D5" s="2">
        <f t="shared" si="1"/>
        <v>6618.0808525812336</v>
      </c>
      <c r="E5" s="2">
        <f t="shared" si="1"/>
        <v>10295.373750722631</v>
      </c>
      <c r="F5" s="2">
        <f t="shared" si="1"/>
        <v>11271.611554255001</v>
      </c>
      <c r="G5" s="2">
        <f t="shared" si="1"/>
        <v>12682.410618440712</v>
      </c>
      <c r="H5" s="2">
        <f t="shared" si="1"/>
        <v>8334.3687292948125</v>
      </c>
      <c r="I5" s="2">
        <f t="shared" si="1"/>
        <v>12353.776785157817</v>
      </c>
      <c r="J5" s="2">
        <f t="shared" si="1"/>
        <v>11526.850184022567</v>
      </c>
      <c r="K5" s="2">
        <f t="shared" si="1"/>
        <v>9583.9131498084262</v>
      </c>
      <c r="L5" s="2">
        <f t="shared" si="1"/>
        <v>10329.809309112217</v>
      </c>
      <c r="M5" s="2">
        <f t="shared" si="1"/>
        <v>14083.683046695882</v>
      </c>
      <c r="O5" t="s">
        <v>330</v>
      </c>
      <c r="P5" t="s">
        <v>91</v>
      </c>
      <c r="Q5" s="2">
        <v>1956.1210126372998</v>
      </c>
      <c r="R5" t="s">
        <v>8</v>
      </c>
    </row>
    <row r="6" spans="1:18">
      <c r="A6" t="s">
        <v>391</v>
      </c>
      <c r="B6" s="2">
        <f>+B$5*0.19</f>
        <v>1292.149931440001</v>
      </c>
      <c r="C6" s="2">
        <f t="shared" ref="C6:M6" si="2">+C$5*0.19</f>
        <v>1441.9732523426553</v>
      </c>
      <c r="D6" s="2">
        <f t="shared" si="2"/>
        <v>1257.4353619904343</v>
      </c>
      <c r="E6" s="2">
        <f t="shared" si="2"/>
        <v>1956.1210126372998</v>
      </c>
      <c r="F6" s="2">
        <f t="shared" si="2"/>
        <v>2141.6061953084504</v>
      </c>
      <c r="G6" s="2">
        <f t="shared" si="2"/>
        <v>2409.6580175037352</v>
      </c>
      <c r="H6" s="2">
        <f t="shared" si="2"/>
        <v>1583.5300585660143</v>
      </c>
      <c r="I6" s="2">
        <f t="shared" si="2"/>
        <v>2347.2175891799852</v>
      </c>
      <c r="J6" s="2">
        <f t="shared" si="2"/>
        <v>2190.1015349642876</v>
      </c>
      <c r="K6" s="2">
        <f t="shared" si="2"/>
        <v>1820.9434984636009</v>
      </c>
      <c r="L6" s="2">
        <f t="shared" si="2"/>
        <v>1962.6637687313214</v>
      </c>
      <c r="M6" s="2">
        <f t="shared" si="2"/>
        <v>2675.8997788722177</v>
      </c>
      <c r="O6" t="s">
        <v>330</v>
      </c>
      <c r="P6" t="s">
        <v>92</v>
      </c>
      <c r="Q6" s="2">
        <v>2141.6061953084504</v>
      </c>
      <c r="R6" t="s">
        <v>8</v>
      </c>
    </row>
    <row r="7" spans="1:18">
      <c r="A7" t="s">
        <v>392</v>
      </c>
      <c r="B7" s="2">
        <f>+B$5*0.11</f>
        <v>748.0868024126321</v>
      </c>
      <c r="C7" s="2">
        <f t="shared" ref="C7:M7" si="3">+C$5*0.11</f>
        <v>834.82661977732675</v>
      </c>
      <c r="D7" s="2">
        <f t="shared" si="3"/>
        <v>727.98889378393574</v>
      </c>
      <c r="E7" s="2">
        <f t="shared" si="3"/>
        <v>1132.4911125794895</v>
      </c>
      <c r="F7" s="2">
        <f t="shared" si="3"/>
        <v>1239.8772709680502</v>
      </c>
      <c r="G7" s="2">
        <f t="shared" si="3"/>
        <v>1395.0651680284784</v>
      </c>
      <c r="H7" s="2">
        <f t="shared" si="3"/>
        <v>916.78056022242936</v>
      </c>
      <c r="I7" s="2">
        <f t="shared" si="3"/>
        <v>1358.9154463673599</v>
      </c>
      <c r="J7" s="2">
        <f t="shared" si="3"/>
        <v>1267.9535202424825</v>
      </c>
      <c r="K7" s="2">
        <f t="shared" si="3"/>
        <v>1054.230446478927</v>
      </c>
      <c r="L7" s="2">
        <f t="shared" si="3"/>
        <v>1136.2790240023439</v>
      </c>
      <c r="M7" s="2">
        <f t="shared" si="3"/>
        <v>1549.2051351365469</v>
      </c>
      <c r="O7" t="s">
        <v>330</v>
      </c>
      <c r="P7" t="s">
        <v>93</v>
      </c>
      <c r="Q7" s="2">
        <v>2409.6580175037352</v>
      </c>
      <c r="R7" t="s">
        <v>8</v>
      </c>
    </row>
    <row r="8" spans="1:18">
      <c r="A8" t="s">
        <v>393</v>
      </c>
      <c r="B8" s="2">
        <f>+B$5*0.08</f>
        <v>544.06312902736875</v>
      </c>
      <c r="C8" s="2">
        <f t="shared" ref="C8:M8" si="4">+C$5*0.08</f>
        <v>607.14663256532856</v>
      </c>
      <c r="D8" s="2">
        <f t="shared" si="4"/>
        <v>529.44646820649871</v>
      </c>
      <c r="E8" s="2">
        <f t="shared" si="4"/>
        <v>823.62990005781046</v>
      </c>
      <c r="F8" s="2">
        <f t="shared" si="4"/>
        <v>901.72892434040011</v>
      </c>
      <c r="G8" s="2">
        <f t="shared" si="4"/>
        <v>1014.592849475257</v>
      </c>
      <c r="H8" s="2">
        <f t="shared" si="4"/>
        <v>666.74949834358506</v>
      </c>
      <c r="I8" s="2">
        <f t="shared" si="4"/>
        <v>988.30214281262545</v>
      </c>
      <c r="J8" s="2">
        <f t="shared" si="4"/>
        <v>922.14801472180534</v>
      </c>
      <c r="K8" s="2">
        <f t="shared" si="4"/>
        <v>766.71305198467417</v>
      </c>
      <c r="L8" s="2">
        <f t="shared" si="4"/>
        <v>826.38474472897735</v>
      </c>
      <c r="M8" s="2">
        <f t="shared" si="4"/>
        <v>1126.6946437356705</v>
      </c>
      <c r="O8" t="s">
        <v>330</v>
      </c>
      <c r="P8" t="s">
        <v>94</v>
      </c>
      <c r="Q8" s="2">
        <v>1583.5300585660143</v>
      </c>
      <c r="R8" t="s">
        <v>8</v>
      </c>
    </row>
    <row r="9" spans="1:18">
      <c r="A9" t="s">
        <v>394</v>
      </c>
      <c r="B9" s="2">
        <f>+B$5*0.44</f>
        <v>2992.3472096505284</v>
      </c>
      <c r="C9" s="2">
        <f t="shared" ref="C9:M9" si="5">+C$5*0.44</f>
        <v>3339.306479109307</v>
      </c>
      <c r="D9" s="2">
        <f t="shared" si="5"/>
        <v>2911.9555751357429</v>
      </c>
      <c r="E9" s="2">
        <f t="shared" si="5"/>
        <v>4529.9644503179579</v>
      </c>
      <c r="F9" s="2">
        <f t="shared" si="5"/>
        <v>4959.5090838722008</v>
      </c>
      <c r="G9" s="2">
        <f t="shared" si="5"/>
        <v>5580.2606721139136</v>
      </c>
      <c r="H9" s="2">
        <f t="shared" si="5"/>
        <v>3667.1222408897174</v>
      </c>
      <c r="I9" s="2">
        <f t="shared" si="5"/>
        <v>5435.6617854694396</v>
      </c>
      <c r="J9" s="2">
        <f t="shared" si="5"/>
        <v>5071.8140809699298</v>
      </c>
      <c r="K9" s="2">
        <f t="shared" si="5"/>
        <v>4216.9217859157079</v>
      </c>
      <c r="L9" s="2">
        <f t="shared" si="5"/>
        <v>4545.1160960093757</v>
      </c>
      <c r="M9" s="2">
        <f t="shared" si="5"/>
        <v>6196.8205405461877</v>
      </c>
      <c r="O9" t="s">
        <v>330</v>
      </c>
      <c r="P9" t="s">
        <v>95</v>
      </c>
      <c r="Q9" s="2">
        <v>2347.2175891799852</v>
      </c>
      <c r="R9" t="s">
        <v>8</v>
      </c>
    </row>
    <row r="10" spans="1:18">
      <c r="A10" t="s">
        <v>395</v>
      </c>
      <c r="B10" s="2">
        <f>+B$5*0.18</f>
        <v>1224.1420403115796</v>
      </c>
      <c r="C10" s="2">
        <f t="shared" ref="C10:M10" si="6">+C$5*0.18</f>
        <v>1366.0799232719892</v>
      </c>
      <c r="D10" s="2">
        <f t="shared" si="6"/>
        <v>1191.2545534646219</v>
      </c>
      <c r="E10" s="2">
        <f t="shared" si="6"/>
        <v>1853.1672751300734</v>
      </c>
      <c r="F10" s="2">
        <f t="shared" si="6"/>
        <v>2028.8900797659003</v>
      </c>
      <c r="G10" s="2">
        <f t="shared" si="6"/>
        <v>2282.8339113193279</v>
      </c>
      <c r="H10" s="2">
        <f t="shared" si="6"/>
        <v>1500.1863712730662</v>
      </c>
      <c r="I10" s="2">
        <f t="shared" si="6"/>
        <v>2223.6798213284069</v>
      </c>
      <c r="J10" s="2">
        <f t="shared" si="6"/>
        <v>2074.8330331240622</v>
      </c>
      <c r="K10" s="2">
        <f t="shared" si="6"/>
        <v>1725.1043669655166</v>
      </c>
      <c r="L10" s="2">
        <f t="shared" si="6"/>
        <v>1859.365675640199</v>
      </c>
      <c r="M10" s="2">
        <f t="shared" si="6"/>
        <v>2535.0629484052588</v>
      </c>
      <c r="O10" t="s">
        <v>330</v>
      </c>
      <c r="P10" t="s">
        <v>96</v>
      </c>
      <c r="Q10" s="2">
        <v>2190.1015349642876</v>
      </c>
      <c r="R10" t="s">
        <v>8</v>
      </c>
    </row>
    <row r="11" spans="1:18">
      <c r="O11" t="s">
        <v>330</v>
      </c>
      <c r="P11" t="s">
        <v>97</v>
      </c>
      <c r="Q11" s="2">
        <v>1820.9434984636009</v>
      </c>
      <c r="R11" t="s">
        <v>8</v>
      </c>
    </row>
    <row r="12" spans="1:18">
      <c r="A12" s="153" t="s">
        <v>406</v>
      </c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O12" t="s">
        <v>330</v>
      </c>
      <c r="P12" t="s">
        <v>98</v>
      </c>
      <c r="Q12" s="2">
        <v>1962.6637687313214</v>
      </c>
      <c r="R12" t="s">
        <v>8</v>
      </c>
    </row>
    <row r="13" spans="1:18">
      <c r="A13" t="s">
        <v>398</v>
      </c>
      <c r="B13" s="2">
        <v>2482.6986084538221</v>
      </c>
      <c r="C13" s="2">
        <v>3786.2786734661695</v>
      </c>
      <c r="D13" s="2">
        <v>2540.7261422763845</v>
      </c>
      <c r="E13" s="2">
        <v>2536.282842895198</v>
      </c>
      <c r="F13" s="2">
        <v>2530.1939353589732</v>
      </c>
      <c r="G13" s="2">
        <v>2521.7656024809944</v>
      </c>
      <c r="H13" s="2">
        <v>2521.7656024809944</v>
      </c>
      <c r="I13" s="2">
        <v>3782.6484037214914</v>
      </c>
      <c r="J13" s="2">
        <v>2521.7656024809944</v>
      </c>
      <c r="K13" s="2">
        <v>2521.7656024809944</v>
      </c>
      <c r="L13" s="2">
        <v>2521.7656024809944</v>
      </c>
      <c r="M13" s="2">
        <v>2565.3834476589477</v>
      </c>
      <c r="O13" t="s">
        <v>330</v>
      </c>
      <c r="P13" t="s">
        <v>99</v>
      </c>
      <c r="Q13" s="2">
        <v>2675.8997788722177</v>
      </c>
      <c r="R13" t="s">
        <v>8</v>
      </c>
    </row>
    <row r="14" spans="1:18">
      <c r="A14" t="s">
        <v>399</v>
      </c>
      <c r="B14" s="2">
        <v>1214.6049832922497</v>
      </c>
      <c r="C14" s="2">
        <v>1852.3524882423187</v>
      </c>
      <c r="D14" s="2">
        <v>1242.9936614463563</v>
      </c>
      <c r="E14" s="2">
        <v>1240.8198762143224</v>
      </c>
      <c r="F14" s="2">
        <v>1237.8410138541785</v>
      </c>
      <c r="G14" s="2">
        <v>1233.7176397645565</v>
      </c>
      <c r="H14" s="2">
        <v>1233.7176397645565</v>
      </c>
      <c r="I14" s="2">
        <v>1850.5764596468346</v>
      </c>
      <c r="J14" s="2">
        <v>1233.7176397645565</v>
      </c>
      <c r="K14" s="2">
        <v>1233.7176397645565</v>
      </c>
      <c r="L14" s="2">
        <v>1233.7176397645567</v>
      </c>
      <c r="M14" s="2">
        <v>1255.0566987760753</v>
      </c>
      <c r="O14" t="s">
        <v>330</v>
      </c>
      <c r="P14" t="s">
        <v>88</v>
      </c>
      <c r="Q14" s="2">
        <v>748.0868024126321</v>
      </c>
      <c r="R14" t="s">
        <v>12</v>
      </c>
    </row>
    <row r="15" spans="1:18">
      <c r="A15" t="s">
        <v>400</v>
      </c>
      <c r="B15" s="2">
        <v>776.01058687792852</v>
      </c>
      <c r="C15" s="2">
        <v>1183.4671858577783</v>
      </c>
      <c r="D15" s="2">
        <v>794.14810080063921</v>
      </c>
      <c r="E15" s="2">
        <v>792.75927037687063</v>
      </c>
      <c r="F15" s="2">
        <v>790.85607653185775</v>
      </c>
      <c r="G15" s="2">
        <v>788.22165464884222</v>
      </c>
      <c r="H15" s="2">
        <v>788.22165464884222</v>
      </c>
      <c r="I15" s="2">
        <v>1182.3324819732636</v>
      </c>
      <c r="J15" s="2">
        <v>788.22165464884233</v>
      </c>
      <c r="K15" s="2">
        <v>788.22165464884245</v>
      </c>
      <c r="L15" s="2">
        <v>788.22165464884256</v>
      </c>
      <c r="M15" s="2">
        <v>801.85517001781989</v>
      </c>
      <c r="O15" t="s">
        <v>330</v>
      </c>
      <c r="P15" t="s">
        <v>89</v>
      </c>
      <c r="Q15" s="2">
        <v>834.82661977732675</v>
      </c>
      <c r="R15" t="s">
        <v>12</v>
      </c>
    </row>
    <row r="16" spans="1:18">
      <c r="A16" t="s">
        <v>401</v>
      </c>
      <c r="B16" s="2">
        <v>384.84728896768758</v>
      </c>
      <c r="C16" s="2">
        <v>391.27828559829544</v>
      </c>
      <c r="D16" s="2">
        <v>393.8422346292561</v>
      </c>
      <c r="E16" s="2">
        <v>393.15347131537715</v>
      </c>
      <c r="F16" s="2">
        <v>392.20961951229805</v>
      </c>
      <c r="G16" s="2">
        <v>390.90312945041035</v>
      </c>
      <c r="H16" s="2">
        <v>390.90312945041035</v>
      </c>
      <c r="I16" s="2">
        <v>390.90312945041035</v>
      </c>
      <c r="J16" s="2">
        <v>390.9031294504104</v>
      </c>
      <c r="K16" s="2">
        <v>390.9031294504104</v>
      </c>
      <c r="L16" s="2">
        <v>390.90312945041046</v>
      </c>
      <c r="M16" s="2">
        <v>397.66440502779591</v>
      </c>
      <c r="O16" t="s">
        <v>330</v>
      </c>
      <c r="P16" t="s">
        <v>90</v>
      </c>
      <c r="Q16" s="2">
        <v>727.98889378393574</v>
      </c>
      <c r="R16" t="s">
        <v>12</v>
      </c>
    </row>
    <row r="17" spans="1:18">
      <c r="A17" t="s">
        <v>402</v>
      </c>
      <c r="B17" s="2">
        <v>2031.1384695516845</v>
      </c>
      <c r="C17" s="2">
        <v>2478.0958087892045</v>
      </c>
      <c r="D17" s="2">
        <v>2078.6117938766297</v>
      </c>
      <c r="E17" s="2">
        <v>2074.9766541644908</v>
      </c>
      <c r="F17" s="2">
        <v>2069.9952140926844</v>
      </c>
      <c r="G17" s="2">
        <v>2063.0998498771655</v>
      </c>
      <c r="H17" s="2">
        <v>2063.099849877166</v>
      </c>
      <c r="I17" s="2">
        <v>3094.649774815749</v>
      </c>
      <c r="J17" s="2">
        <v>2063.099849877166</v>
      </c>
      <c r="K17" s="2">
        <v>2063.0998498771664</v>
      </c>
      <c r="L17" s="2">
        <v>2063.0998498771664</v>
      </c>
      <c r="M17" s="2">
        <v>2098.7843598689228</v>
      </c>
      <c r="O17" t="s">
        <v>330</v>
      </c>
      <c r="P17" t="s">
        <v>91</v>
      </c>
      <c r="Q17" s="2">
        <v>1132.4911125794895</v>
      </c>
      <c r="R17" t="s">
        <v>12</v>
      </c>
    </row>
    <row r="18" spans="1:18">
      <c r="A18" t="s">
        <v>403</v>
      </c>
      <c r="B18" s="2">
        <v>833.33333333333337</v>
      </c>
      <c r="C18" s="2">
        <v>833.33333333333337</v>
      </c>
      <c r="D18" s="2">
        <v>833.33333333333337</v>
      </c>
      <c r="E18" s="2">
        <v>833.33333333333337</v>
      </c>
      <c r="F18" s="2">
        <v>833.33333333333337</v>
      </c>
      <c r="G18" s="2">
        <v>833.33333333333337</v>
      </c>
      <c r="H18" s="2">
        <v>833.33333333333337</v>
      </c>
      <c r="I18" s="2">
        <v>833.33333333333337</v>
      </c>
      <c r="J18" s="2">
        <v>833.33333333333337</v>
      </c>
      <c r="K18" s="2">
        <v>833.33333333333337</v>
      </c>
      <c r="L18" s="2">
        <v>833.33333333333337</v>
      </c>
      <c r="M18" s="2">
        <v>833.33333333333337</v>
      </c>
      <c r="O18" t="s">
        <v>330</v>
      </c>
      <c r="P18" t="s">
        <v>92</v>
      </c>
      <c r="Q18" s="2">
        <v>1239.8772709680502</v>
      </c>
      <c r="R18" t="s">
        <v>12</v>
      </c>
    </row>
    <row r="19" spans="1:18">
      <c r="A19" t="s">
        <v>404</v>
      </c>
      <c r="B19" s="2">
        <v>712.63885774135974</v>
      </c>
      <c r="C19" s="2">
        <v>1028.1293879095178</v>
      </c>
      <c r="D19" s="2">
        <v>729.29519906287544</v>
      </c>
      <c r="E19" s="2">
        <v>728.01978537197101</v>
      </c>
      <c r="F19" s="2">
        <v>726.27201296950022</v>
      </c>
      <c r="G19" s="2">
        <v>723.85272715914277</v>
      </c>
      <c r="H19" s="2">
        <v>723.85272715914277</v>
      </c>
      <c r="I19" s="2">
        <v>1027.1436213211523</v>
      </c>
      <c r="J19" s="2">
        <v>723.85272715914277</v>
      </c>
      <c r="K19" s="2">
        <v>723.85272715914289</v>
      </c>
      <c r="L19" s="2">
        <v>723.85272715914277</v>
      </c>
      <c r="M19" s="2">
        <v>736.37288214650732</v>
      </c>
      <c r="O19" t="s">
        <v>330</v>
      </c>
      <c r="P19" t="s">
        <v>93</v>
      </c>
      <c r="Q19" s="2">
        <v>1395.0651680284784</v>
      </c>
      <c r="R19" t="s">
        <v>12</v>
      </c>
    </row>
    <row r="20" spans="1:18">
      <c r="B20" s="2">
        <f>SUM(B13:B19)</f>
        <v>8435.2721282180646</v>
      </c>
      <c r="C20" s="2">
        <f t="shared" ref="C20:M20" si="7">SUM(C13:C19)</f>
        <v>11552.935163196618</v>
      </c>
      <c r="D20" s="2">
        <f t="shared" si="7"/>
        <v>8612.9504654254761</v>
      </c>
      <c r="E20" s="2">
        <f t="shared" si="7"/>
        <v>8599.3452336715636</v>
      </c>
      <c r="F20" s="2">
        <f t="shared" si="7"/>
        <v>8580.7012056528256</v>
      </c>
      <c r="G20" s="2">
        <f t="shared" si="7"/>
        <v>8554.8939367144449</v>
      </c>
      <c r="H20" s="2">
        <f t="shared" si="7"/>
        <v>8554.8939367144449</v>
      </c>
      <c r="I20" s="2">
        <f t="shared" si="7"/>
        <v>12161.587204262234</v>
      </c>
      <c r="J20" s="2">
        <f t="shared" si="7"/>
        <v>8554.8939367144449</v>
      </c>
      <c r="K20" s="2">
        <f t="shared" si="7"/>
        <v>8554.8939367144449</v>
      </c>
      <c r="L20" s="2">
        <f t="shared" si="7"/>
        <v>8554.8939367144449</v>
      </c>
      <c r="M20" s="2">
        <f t="shared" si="7"/>
        <v>8688.4502968294019</v>
      </c>
      <c r="O20" t="s">
        <v>330</v>
      </c>
      <c r="P20" t="s">
        <v>94</v>
      </c>
      <c r="Q20" s="2">
        <v>916.78056022242936</v>
      </c>
      <c r="R20" t="s">
        <v>12</v>
      </c>
    </row>
    <row r="21" spans="1:18">
      <c r="O21" t="s">
        <v>330</v>
      </c>
      <c r="P21" t="s">
        <v>95</v>
      </c>
      <c r="Q21" s="2">
        <v>1358.9154463673599</v>
      </c>
      <c r="R21" t="s">
        <v>12</v>
      </c>
    </row>
    <row r="22" spans="1:18">
      <c r="A22" t="s">
        <v>391</v>
      </c>
      <c r="B22" s="2">
        <f>+B$20*0.19</f>
        <v>1602.7017043614323</v>
      </c>
      <c r="C22" s="2">
        <f t="shared" ref="C22:M22" si="8">+C$20*0.19</f>
        <v>2195.0576810073576</v>
      </c>
      <c r="D22" s="2">
        <f t="shared" si="8"/>
        <v>1636.4605884308405</v>
      </c>
      <c r="E22" s="2">
        <f t="shared" si="8"/>
        <v>1633.8755943975971</v>
      </c>
      <c r="F22" s="2">
        <f t="shared" si="8"/>
        <v>1630.3332290740368</v>
      </c>
      <c r="G22" s="2">
        <f t="shared" si="8"/>
        <v>1625.4298479757445</v>
      </c>
      <c r="H22" s="2">
        <f t="shared" si="8"/>
        <v>1625.4298479757445</v>
      </c>
      <c r="I22" s="2">
        <f t="shared" si="8"/>
        <v>2310.7015688098245</v>
      </c>
      <c r="J22" s="2">
        <f t="shared" si="8"/>
        <v>1625.4298479757445</v>
      </c>
      <c r="K22" s="2">
        <f t="shared" si="8"/>
        <v>1625.4298479757445</v>
      </c>
      <c r="L22" s="2">
        <f t="shared" si="8"/>
        <v>1625.4298479757445</v>
      </c>
      <c r="M22" s="2">
        <f t="shared" si="8"/>
        <v>1650.8055563975863</v>
      </c>
      <c r="O22" t="s">
        <v>330</v>
      </c>
      <c r="P22" t="s">
        <v>96</v>
      </c>
      <c r="Q22" s="2">
        <v>1267.9535202424825</v>
      </c>
      <c r="R22" t="s">
        <v>12</v>
      </c>
    </row>
    <row r="23" spans="1:18">
      <c r="A23" t="s">
        <v>392</v>
      </c>
      <c r="B23" s="2">
        <f>+B$20*0.11</f>
        <v>927.87993410398713</v>
      </c>
      <c r="C23" s="2">
        <f t="shared" ref="C23:M23" si="9">+C$20*0.11</f>
        <v>1270.822867951628</v>
      </c>
      <c r="D23" s="2">
        <f t="shared" si="9"/>
        <v>947.42455119680233</v>
      </c>
      <c r="E23" s="2">
        <f t="shared" si="9"/>
        <v>945.92797570387199</v>
      </c>
      <c r="F23" s="2">
        <f t="shared" si="9"/>
        <v>943.8771326218108</v>
      </c>
      <c r="G23" s="2">
        <f t="shared" si="9"/>
        <v>941.03833303858892</v>
      </c>
      <c r="H23" s="2">
        <f t="shared" si="9"/>
        <v>941.03833303858892</v>
      </c>
      <c r="I23" s="2">
        <f t="shared" si="9"/>
        <v>1337.7745924688459</v>
      </c>
      <c r="J23" s="2">
        <f t="shared" si="9"/>
        <v>941.03833303858892</v>
      </c>
      <c r="K23" s="2">
        <f t="shared" si="9"/>
        <v>941.03833303858892</v>
      </c>
      <c r="L23" s="2">
        <f t="shared" si="9"/>
        <v>941.03833303858892</v>
      </c>
      <c r="M23" s="2">
        <f t="shared" si="9"/>
        <v>955.72953265123419</v>
      </c>
      <c r="O23" t="s">
        <v>330</v>
      </c>
      <c r="P23" t="s">
        <v>97</v>
      </c>
      <c r="Q23" s="2">
        <v>1054.230446478927</v>
      </c>
      <c r="R23" t="s">
        <v>12</v>
      </c>
    </row>
    <row r="24" spans="1:18">
      <c r="A24" t="s">
        <v>393</v>
      </c>
      <c r="B24" s="2">
        <f>+B$20*0.08</f>
        <v>674.82177025744522</v>
      </c>
      <c r="C24" s="2">
        <f t="shared" ref="C24:M24" si="10">+C$20*0.08</f>
        <v>924.23481305572943</v>
      </c>
      <c r="D24" s="2">
        <f t="shared" si="10"/>
        <v>689.03603723403808</v>
      </c>
      <c r="E24" s="2">
        <f t="shared" si="10"/>
        <v>687.94761869372508</v>
      </c>
      <c r="F24" s="2">
        <f t="shared" si="10"/>
        <v>686.45609645222601</v>
      </c>
      <c r="G24" s="2">
        <f t="shared" si="10"/>
        <v>684.39151493715565</v>
      </c>
      <c r="H24" s="2">
        <f t="shared" si="10"/>
        <v>684.39151493715565</v>
      </c>
      <c r="I24" s="2">
        <f t="shared" si="10"/>
        <v>972.92697634097874</v>
      </c>
      <c r="J24" s="2">
        <f t="shared" si="10"/>
        <v>684.39151493715565</v>
      </c>
      <c r="K24" s="2">
        <f t="shared" si="10"/>
        <v>684.39151493715565</v>
      </c>
      <c r="L24" s="2">
        <f t="shared" si="10"/>
        <v>684.39151493715565</v>
      </c>
      <c r="M24" s="2">
        <f t="shared" si="10"/>
        <v>695.07602374635212</v>
      </c>
      <c r="O24" t="s">
        <v>330</v>
      </c>
      <c r="P24" t="s">
        <v>98</v>
      </c>
      <c r="Q24" s="2">
        <v>1136.2790240023439</v>
      </c>
      <c r="R24" t="s">
        <v>12</v>
      </c>
    </row>
    <row r="25" spans="1:18">
      <c r="A25" t="s">
        <v>394</v>
      </c>
      <c r="B25" s="2">
        <f>+B$20*0.44</f>
        <v>3711.5197364159485</v>
      </c>
      <c r="C25" s="2">
        <f t="shared" ref="C25:M25" si="11">+C$20*0.44</f>
        <v>5083.2914718065122</v>
      </c>
      <c r="D25" s="2">
        <f t="shared" si="11"/>
        <v>3789.6982047872093</v>
      </c>
      <c r="E25" s="2">
        <f t="shared" si="11"/>
        <v>3783.711902815488</v>
      </c>
      <c r="F25" s="2">
        <f t="shared" si="11"/>
        <v>3775.5085304872432</v>
      </c>
      <c r="G25" s="2">
        <f t="shared" si="11"/>
        <v>3764.1533321543557</v>
      </c>
      <c r="H25" s="2">
        <f t="shared" si="11"/>
        <v>3764.1533321543557</v>
      </c>
      <c r="I25" s="2">
        <f t="shared" si="11"/>
        <v>5351.0983698753835</v>
      </c>
      <c r="J25" s="2">
        <f t="shared" si="11"/>
        <v>3764.1533321543557</v>
      </c>
      <c r="K25" s="2">
        <f t="shared" si="11"/>
        <v>3764.1533321543557</v>
      </c>
      <c r="L25" s="2">
        <f t="shared" si="11"/>
        <v>3764.1533321543557</v>
      </c>
      <c r="M25" s="2">
        <f t="shared" si="11"/>
        <v>3822.9181306049368</v>
      </c>
      <c r="O25" t="s">
        <v>330</v>
      </c>
      <c r="P25" t="s">
        <v>99</v>
      </c>
      <c r="Q25" s="2">
        <v>1549.2051351365469</v>
      </c>
      <c r="R25" t="s">
        <v>12</v>
      </c>
    </row>
    <row r="26" spans="1:18">
      <c r="A26" t="s">
        <v>395</v>
      </c>
      <c r="B26" s="2">
        <f>+B$20*0.18</f>
        <v>1518.3489830792516</v>
      </c>
      <c r="C26" s="2">
        <f t="shared" ref="C26:M26" si="12">+C$20*0.18</f>
        <v>2079.5283293753914</v>
      </c>
      <c r="D26" s="2">
        <f t="shared" si="12"/>
        <v>1550.3310837765857</v>
      </c>
      <c r="E26" s="2">
        <f t="shared" si="12"/>
        <v>1547.8821420608815</v>
      </c>
      <c r="F26" s="2">
        <f t="shared" si="12"/>
        <v>1544.5262170175085</v>
      </c>
      <c r="G26" s="2">
        <f t="shared" si="12"/>
        <v>1539.8809086086001</v>
      </c>
      <c r="H26" s="2">
        <f t="shared" si="12"/>
        <v>1539.8809086086001</v>
      </c>
      <c r="I26" s="2">
        <f t="shared" si="12"/>
        <v>2189.0856967672021</v>
      </c>
      <c r="J26" s="2">
        <f t="shared" si="12"/>
        <v>1539.8809086086001</v>
      </c>
      <c r="K26" s="2">
        <f t="shared" si="12"/>
        <v>1539.8809086086001</v>
      </c>
      <c r="L26" s="2">
        <f t="shared" si="12"/>
        <v>1539.8809086086001</v>
      </c>
      <c r="M26" s="2">
        <f t="shared" si="12"/>
        <v>1563.9210534292922</v>
      </c>
      <c r="O26" t="s">
        <v>330</v>
      </c>
      <c r="P26" t="s">
        <v>88</v>
      </c>
      <c r="Q26" s="2">
        <v>544.06312902736875</v>
      </c>
      <c r="R26" t="s">
        <v>4</v>
      </c>
    </row>
    <row r="27" spans="1:18">
      <c r="O27" t="s">
        <v>330</v>
      </c>
      <c r="P27" t="s">
        <v>89</v>
      </c>
      <c r="Q27" s="2">
        <v>607.14663256532856</v>
      </c>
      <c r="R27" t="s">
        <v>4</v>
      </c>
    </row>
    <row r="28" spans="1:18">
      <c r="O28" t="s">
        <v>330</v>
      </c>
      <c r="P28" t="s">
        <v>90</v>
      </c>
      <c r="Q28" s="2">
        <v>529.44646820649871</v>
      </c>
      <c r="R28" t="s">
        <v>4</v>
      </c>
    </row>
    <row r="29" spans="1:18">
      <c r="O29" t="s">
        <v>330</v>
      </c>
      <c r="P29" t="s">
        <v>91</v>
      </c>
      <c r="Q29" s="2">
        <v>823.62990005781046</v>
      </c>
      <c r="R29" t="s">
        <v>4</v>
      </c>
    </row>
    <row r="30" spans="1:18">
      <c r="O30" t="s">
        <v>330</v>
      </c>
      <c r="P30" t="s">
        <v>92</v>
      </c>
      <c r="Q30" s="2">
        <v>901.72892434040011</v>
      </c>
      <c r="R30" t="s">
        <v>4</v>
      </c>
    </row>
    <row r="31" spans="1:18">
      <c r="O31" t="s">
        <v>330</v>
      </c>
      <c r="P31" t="s">
        <v>93</v>
      </c>
      <c r="Q31" s="2">
        <v>1014.592849475257</v>
      </c>
      <c r="R31" t="s">
        <v>4</v>
      </c>
    </row>
    <row r="32" spans="1:18">
      <c r="O32" t="s">
        <v>330</v>
      </c>
      <c r="P32" t="s">
        <v>94</v>
      </c>
      <c r="Q32" s="2">
        <v>666.74949834358506</v>
      </c>
      <c r="R32" t="s">
        <v>4</v>
      </c>
    </row>
    <row r="33" spans="15:18">
      <c r="O33" t="s">
        <v>330</v>
      </c>
      <c r="P33" t="s">
        <v>95</v>
      </c>
      <c r="Q33" s="2">
        <v>988.30214281262545</v>
      </c>
      <c r="R33" t="s">
        <v>4</v>
      </c>
    </row>
    <row r="34" spans="15:18">
      <c r="O34" t="s">
        <v>330</v>
      </c>
      <c r="P34" t="s">
        <v>96</v>
      </c>
      <c r="Q34" s="2">
        <v>922.14801472180534</v>
      </c>
      <c r="R34" t="s">
        <v>4</v>
      </c>
    </row>
    <row r="35" spans="15:18">
      <c r="O35" t="s">
        <v>330</v>
      </c>
      <c r="P35" t="s">
        <v>97</v>
      </c>
      <c r="Q35" s="2">
        <v>766.71305198467417</v>
      </c>
      <c r="R35" t="s">
        <v>4</v>
      </c>
    </row>
    <row r="36" spans="15:18">
      <c r="O36" t="s">
        <v>330</v>
      </c>
      <c r="P36" t="s">
        <v>98</v>
      </c>
      <c r="Q36" s="2">
        <v>826.38474472897735</v>
      </c>
      <c r="R36" t="s">
        <v>4</v>
      </c>
    </row>
    <row r="37" spans="15:18">
      <c r="O37" t="s">
        <v>330</v>
      </c>
      <c r="P37" t="s">
        <v>99</v>
      </c>
      <c r="Q37" s="2">
        <v>1126.6946437356705</v>
      </c>
      <c r="R37" t="s">
        <v>4</v>
      </c>
    </row>
    <row r="38" spans="15:18">
      <c r="O38" t="s">
        <v>330</v>
      </c>
      <c r="P38" t="s">
        <v>88</v>
      </c>
      <c r="Q38" s="2">
        <v>2992.3472096505284</v>
      </c>
      <c r="R38" t="s">
        <v>396</v>
      </c>
    </row>
    <row r="39" spans="15:18">
      <c r="O39" t="s">
        <v>330</v>
      </c>
      <c r="P39" t="s">
        <v>89</v>
      </c>
      <c r="Q39" s="2">
        <v>3339.306479109307</v>
      </c>
      <c r="R39" t="s">
        <v>396</v>
      </c>
    </row>
    <row r="40" spans="15:18">
      <c r="O40" t="s">
        <v>330</v>
      </c>
      <c r="P40" t="s">
        <v>90</v>
      </c>
      <c r="Q40" s="2">
        <v>2911.9555751357429</v>
      </c>
      <c r="R40" t="s">
        <v>396</v>
      </c>
    </row>
    <row r="41" spans="15:18">
      <c r="O41" t="s">
        <v>330</v>
      </c>
      <c r="P41" t="s">
        <v>91</v>
      </c>
      <c r="Q41" s="2">
        <v>4529.9644503179579</v>
      </c>
      <c r="R41" t="s">
        <v>396</v>
      </c>
    </row>
    <row r="42" spans="15:18">
      <c r="O42" t="s">
        <v>330</v>
      </c>
      <c r="P42" t="s">
        <v>92</v>
      </c>
      <c r="Q42" s="2">
        <v>4959.5090838722008</v>
      </c>
      <c r="R42" t="s">
        <v>396</v>
      </c>
    </row>
    <row r="43" spans="15:18">
      <c r="O43" t="s">
        <v>330</v>
      </c>
      <c r="P43" t="s">
        <v>93</v>
      </c>
      <c r="Q43" s="2">
        <v>5580.2606721139136</v>
      </c>
      <c r="R43" t="s">
        <v>396</v>
      </c>
    </row>
    <row r="44" spans="15:18">
      <c r="O44" t="s">
        <v>330</v>
      </c>
      <c r="P44" t="s">
        <v>94</v>
      </c>
      <c r="Q44" s="2">
        <v>3667.1222408897174</v>
      </c>
      <c r="R44" t="s">
        <v>396</v>
      </c>
    </row>
    <row r="45" spans="15:18">
      <c r="O45" t="s">
        <v>330</v>
      </c>
      <c r="P45" t="s">
        <v>95</v>
      </c>
      <c r="Q45" s="2">
        <v>5435.6617854694396</v>
      </c>
      <c r="R45" t="s">
        <v>396</v>
      </c>
    </row>
    <row r="46" spans="15:18">
      <c r="O46" t="s">
        <v>330</v>
      </c>
      <c r="P46" t="s">
        <v>96</v>
      </c>
      <c r="Q46" s="2">
        <v>5071.8140809699298</v>
      </c>
      <c r="R46" t="s">
        <v>396</v>
      </c>
    </row>
    <row r="47" spans="15:18">
      <c r="O47" t="s">
        <v>330</v>
      </c>
      <c r="P47" t="s">
        <v>97</v>
      </c>
      <c r="Q47" s="2">
        <v>4216.9217859157079</v>
      </c>
      <c r="R47" t="s">
        <v>396</v>
      </c>
    </row>
    <row r="48" spans="15:18">
      <c r="O48" t="s">
        <v>330</v>
      </c>
      <c r="P48" t="s">
        <v>98</v>
      </c>
      <c r="Q48" s="2">
        <v>4545.1160960093757</v>
      </c>
      <c r="R48" t="s">
        <v>396</v>
      </c>
    </row>
    <row r="49" spans="15:18">
      <c r="O49" t="s">
        <v>330</v>
      </c>
      <c r="P49" t="s">
        <v>99</v>
      </c>
      <c r="Q49" s="2">
        <v>6196.8205405461877</v>
      </c>
      <c r="R49" t="s">
        <v>397</v>
      </c>
    </row>
    <row r="50" spans="15:18">
      <c r="O50" t="s">
        <v>330</v>
      </c>
      <c r="P50" t="s">
        <v>88</v>
      </c>
      <c r="Q50" s="2">
        <v>1224.1420403115796</v>
      </c>
      <c r="R50" t="s">
        <v>397</v>
      </c>
    </row>
    <row r="51" spans="15:18">
      <c r="O51" t="s">
        <v>330</v>
      </c>
      <c r="P51" t="s">
        <v>89</v>
      </c>
      <c r="Q51" s="2">
        <v>1366.0799232719892</v>
      </c>
      <c r="R51" t="s">
        <v>397</v>
      </c>
    </row>
    <row r="52" spans="15:18">
      <c r="O52" t="s">
        <v>330</v>
      </c>
      <c r="P52" t="s">
        <v>90</v>
      </c>
      <c r="Q52" s="2">
        <v>1191.2545534646219</v>
      </c>
      <c r="R52" t="s">
        <v>397</v>
      </c>
    </row>
    <row r="53" spans="15:18">
      <c r="O53" t="s">
        <v>330</v>
      </c>
      <c r="P53" t="s">
        <v>91</v>
      </c>
      <c r="Q53" s="2">
        <v>1853.1672751300734</v>
      </c>
      <c r="R53" t="s">
        <v>397</v>
      </c>
    </row>
    <row r="54" spans="15:18">
      <c r="O54" t="s">
        <v>330</v>
      </c>
      <c r="P54" t="s">
        <v>92</v>
      </c>
      <c r="Q54" s="2">
        <v>2028.8900797659003</v>
      </c>
      <c r="R54" t="s">
        <v>397</v>
      </c>
    </row>
    <row r="55" spans="15:18">
      <c r="O55" t="s">
        <v>330</v>
      </c>
      <c r="P55" t="s">
        <v>93</v>
      </c>
      <c r="Q55" s="2">
        <v>2282.8339113193279</v>
      </c>
      <c r="R55" t="s">
        <v>397</v>
      </c>
    </row>
    <row r="56" spans="15:18">
      <c r="O56" t="s">
        <v>330</v>
      </c>
      <c r="P56" t="s">
        <v>94</v>
      </c>
      <c r="Q56" s="2">
        <v>1500.1863712730662</v>
      </c>
      <c r="R56" t="s">
        <v>397</v>
      </c>
    </row>
    <row r="57" spans="15:18">
      <c r="O57" t="s">
        <v>330</v>
      </c>
      <c r="P57" t="s">
        <v>95</v>
      </c>
      <c r="Q57" s="2">
        <v>2223.6798213284069</v>
      </c>
      <c r="R57" t="s">
        <v>397</v>
      </c>
    </row>
    <row r="58" spans="15:18">
      <c r="O58" t="s">
        <v>330</v>
      </c>
      <c r="P58" t="s">
        <v>96</v>
      </c>
      <c r="Q58" s="2">
        <v>2074.8330331240622</v>
      </c>
      <c r="R58" t="s">
        <v>397</v>
      </c>
    </row>
    <row r="59" spans="15:18">
      <c r="O59" t="s">
        <v>330</v>
      </c>
      <c r="P59" t="s">
        <v>97</v>
      </c>
      <c r="Q59" s="2">
        <v>1725.1043669655166</v>
      </c>
      <c r="R59" t="s">
        <v>397</v>
      </c>
    </row>
    <row r="60" spans="15:18">
      <c r="O60" t="s">
        <v>330</v>
      </c>
      <c r="P60" t="s">
        <v>98</v>
      </c>
      <c r="Q60" s="2">
        <v>1859.365675640199</v>
      </c>
      <c r="R60" t="s">
        <v>397</v>
      </c>
    </row>
    <row r="61" spans="15:18">
      <c r="O61" t="s">
        <v>330</v>
      </c>
      <c r="P61" t="s">
        <v>99</v>
      </c>
      <c r="Q61" s="2">
        <v>2535.0629484052588</v>
      </c>
      <c r="R61" t="s">
        <v>397</v>
      </c>
    </row>
    <row r="62" spans="15:18">
      <c r="O62" t="s">
        <v>331</v>
      </c>
      <c r="P62" t="s">
        <v>88</v>
      </c>
      <c r="Q62" s="2">
        <v>1602.7017043614323</v>
      </c>
      <c r="R62" t="s">
        <v>8</v>
      </c>
    </row>
    <row r="63" spans="15:18">
      <c r="O63" t="s">
        <v>331</v>
      </c>
      <c r="P63" t="s">
        <v>89</v>
      </c>
      <c r="Q63" s="2">
        <v>2195.0576810073576</v>
      </c>
      <c r="R63" t="s">
        <v>8</v>
      </c>
    </row>
    <row r="64" spans="15:18">
      <c r="O64" t="s">
        <v>331</v>
      </c>
      <c r="P64" t="s">
        <v>90</v>
      </c>
      <c r="Q64" s="2">
        <v>1636.4605884308405</v>
      </c>
      <c r="R64" t="s">
        <v>8</v>
      </c>
    </row>
    <row r="65" spans="15:18">
      <c r="O65" t="s">
        <v>331</v>
      </c>
      <c r="P65" t="s">
        <v>91</v>
      </c>
      <c r="Q65" s="2">
        <v>1633.8755943975971</v>
      </c>
      <c r="R65" t="s">
        <v>8</v>
      </c>
    </row>
    <row r="66" spans="15:18">
      <c r="O66" t="s">
        <v>331</v>
      </c>
      <c r="P66" t="s">
        <v>92</v>
      </c>
      <c r="Q66" s="2">
        <v>1630.3332290740368</v>
      </c>
      <c r="R66" t="s">
        <v>8</v>
      </c>
    </row>
    <row r="67" spans="15:18">
      <c r="O67" t="s">
        <v>331</v>
      </c>
      <c r="P67" t="s">
        <v>93</v>
      </c>
      <c r="Q67" s="2">
        <v>1625.4298479757445</v>
      </c>
      <c r="R67" t="s">
        <v>8</v>
      </c>
    </row>
    <row r="68" spans="15:18">
      <c r="O68" t="s">
        <v>331</v>
      </c>
      <c r="P68" t="s">
        <v>94</v>
      </c>
      <c r="Q68" s="2">
        <v>1625.4298479757445</v>
      </c>
      <c r="R68" t="s">
        <v>8</v>
      </c>
    </row>
    <row r="69" spans="15:18">
      <c r="O69" t="s">
        <v>331</v>
      </c>
      <c r="P69" t="s">
        <v>95</v>
      </c>
      <c r="Q69" s="2">
        <v>2310.7015688098245</v>
      </c>
      <c r="R69" t="s">
        <v>8</v>
      </c>
    </row>
    <row r="70" spans="15:18">
      <c r="O70" t="s">
        <v>331</v>
      </c>
      <c r="P70" t="s">
        <v>96</v>
      </c>
      <c r="Q70" s="2">
        <v>1625.4298479757445</v>
      </c>
      <c r="R70" t="s">
        <v>8</v>
      </c>
    </row>
    <row r="71" spans="15:18">
      <c r="O71" t="s">
        <v>331</v>
      </c>
      <c r="P71" t="s">
        <v>97</v>
      </c>
      <c r="Q71" s="2">
        <v>1625.4298479757445</v>
      </c>
      <c r="R71" t="s">
        <v>8</v>
      </c>
    </row>
    <row r="72" spans="15:18">
      <c r="O72" t="s">
        <v>331</v>
      </c>
      <c r="P72" t="s">
        <v>98</v>
      </c>
      <c r="Q72" s="2">
        <v>1625.4298479757445</v>
      </c>
      <c r="R72" t="s">
        <v>8</v>
      </c>
    </row>
    <row r="73" spans="15:18">
      <c r="O73" t="s">
        <v>331</v>
      </c>
      <c r="P73" t="s">
        <v>99</v>
      </c>
      <c r="Q73" s="2">
        <v>1650.8055563975863</v>
      </c>
      <c r="R73" t="s">
        <v>8</v>
      </c>
    </row>
    <row r="74" spans="15:18">
      <c r="O74" t="s">
        <v>331</v>
      </c>
      <c r="P74" t="s">
        <v>88</v>
      </c>
      <c r="Q74" s="2">
        <v>927.87993410398713</v>
      </c>
      <c r="R74" t="s">
        <v>12</v>
      </c>
    </row>
    <row r="75" spans="15:18">
      <c r="O75" t="s">
        <v>331</v>
      </c>
      <c r="P75" t="s">
        <v>89</v>
      </c>
      <c r="Q75" s="2">
        <v>1270.822867951628</v>
      </c>
      <c r="R75" t="s">
        <v>12</v>
      </c>
    </row>
    <row r="76" spans="15:18">
      <c r="O76" t="s">
        <v>331</v>
      </c>
      <c r="P76" t="s">
        <v>90</v>
      </c>
      <c r="Q76" s="2">
        <v>947.42455119680233</v>
      </c>
      <c r="R76" t="s">
        <v>12</v>
      </c>
    </row>
    <row r="77" spans="15:18">
      <c r="O77" t="s">
        <v>331</v>
      </c>
      <c r="P77" t="s">
        <v>91</v>
      </c>
      <c r="Q77" s="2">
        <v>945.92797570387199</v>
      </c>
      <c r="R77" t="s">
        <v>12</v>
      </c>
    </row>
    <row r="78" spans="15:18">
      <c r="O78" t="s">
        <v>331</v>
      </c>
      <c r="P78" t="s">
        <v>92</v>
      </c>
      <c r="Q78" s="2">
        <v>943.8771326218108</v>
      </c>
      <c r="R78" t="s">
        <v>12</v>
      </c>
    </row>
    <row r="79" spans="15:18">
      <c r="O79" t="s">
        <v>331</v>
      </c>
      <c r="P79" t="s">
        <v>93</v>
      </c>
      <c r="Q79" s="2">
        <v>941.03833303858892</v>
      </c>
      <c r="R79" t="s">
        <v>12</v>
      </c>
    </row>
    <row r="80" spans="15:18">
      <c r="O80" t="s">
        <v>331</v>
      </c>
      <c r="P80" t="s">
        <v>94</v>
      </c>
      <c r="Q80" s="2">
        <v>941.03833303858892</v>
      </c>
      <c r="R80" t="s">
        <v>12</v>
      </c>
    </row>
    <row r="81" spans="15:18">
      <c r="O81" t="s">
        <v>331</v>
      </c>
      <c r="P81" t="s">
        <v>95</v>
      </c>
      <c r="Q81" s="2">
        <v>1337.7745924688459</v>
      </c>
      <c r="R81" t="s">
        <v>12</v>
      </c>
    </row>
    <row r="82" spans="15:18">
      <c r="O82" t="s">
        <v>331</v>
      </c>
      <c r="P82" t="s">
        <v>96</v>
      </c>
      <c r="Q82" s="2">
        <v>941.03833303858892</v>
      </c>
      <c r="R82" t="s">
        <v>12</v>
      </c>
    </row>
    <row r="83" spans="15:18">
      <c r="O83" t="s">
        <v>331</v>
      </c>
      <c r="P83" t="s">
        <v>97</v>
      </c>
      <c r="Q83" s="2">
        <v>941.03833303858892</v>
      </c>
      <c r="R83" t="s">
        <v>12</v>
      </c>
    </row>
    <row r="84" spans="15:18">
      <c r="O84" t="s">
        <v>331</v>
      </c>
      <c r="P84" t="s">
        <v>98</v>
      </c>
      <c r="Q84" s="2">
        <v>941.03833303858892</v>
      </c>
      <c r="R84" t="s">
        <v>12</v>
      </c>
    </row>
    <row r="85" spans="15:18">
      <c r="O85" t="s">
        <v>331</v>
      </c>
      <c r="P85" t="s">
        <v>99</v>
      </c>
      <c r="Q85" s="2">
        <v>955.72953265123419</v>
      </c>
      <c r="R85" t="s">
        <v>12</v>
      </c>
    </row>
    <row r="86" spans="15:18">
      <c r="O86" t="s">
        <v>331</v>
      </c>
      <c r="P86" t="s">
        <v>88</v>
      </c>
      <c r="Q86" s="2">
        <v>674.82177025744522</v>
      </c>
      <c r="R86" t="s">
        <v>4</v>
      </c>
    </row>
    <row r="87" spans="15:18">
      <c r="O87" t="s">
        <v>331</v>
      </c>
      <c r="P87" t="s">
        <v>89</v>
      </c>
      <c r="Q87" s="2">
        <v>924.23481305572943</v>
      </c>
      <c r="R87" t="s">
        <v>4</v>
      </c>
    </row>
    <row r="88" spans="15:18">
      <c r="O88" t="s">
        <v>331</v>
      </c>
      <c r="P88" t="s">
        <v>90</v>
      </c>
      <c r="Q88" s="2">
        <v>689.03603723403808</v>
      </c>
      <c r="R88" t="s">
        <v>4</v>
      </c>
    </row>
    <row r="89" spans="15:18">
      <c r="O89" t="s">
        <v>331</v>
      </c>
      <c r="P89" t="s">
        <v>91</v>
      </c>
      <c r="Q89" s="2">
        <v>687.94761869372508</v>
      </c>
      <c r="R89" t="s">
        <v>4</v>
      </c>
    </row>
    <row r="90" spans="15:18">
      <c r="O90" t="s">
        <v>331</v>
      </c>
      <c r="P90" t="s">
        <v>92</v>
      </c>
      <c r="Q90" s="2">
        <v>686.45609645222601</v>
      </c>
      <c r="R90" t="s">
        <v>4</v>
      </c>
    </row>
    <row r="91" spans="15:18">
      <c r="O91" t="s">
        <v>331</v>
      </c>
      <c r="P91" t="s">
        <v>93</v>
      </c>
      <c r="Q91" s="2">
        <v>684.39151493715565</v>
      </c>
      <c r="R91" t="s">
        <v>4</v>
      </c>
    </row>
    <row r="92" spans="15:18">
      <c r="O92" t="s">
        <v>331</v>
      </c>
      <c r="P92" t="s">
        <v>94</v>
      </c>
      <c r="Q92" s="2">
        <v>684.39151493715565</v>
      </c>
      <c r="R92" t="s">
        <v>4</v>
      </c>
    </row>
    <row r="93" spans="15:18">
      <c r="O93" t="s">
        <v>331</v>
      </c>
      <c r="P93" t="s">
        <v>95</v>
      </c>
      <c r="Q93" s="2">
        <v>972.92697634097874</v>
      </c>
      <c r="R93" t="s">
        <v>4</v>
      </c>
    </row>
    <row r="94" spans="15:18">
      <c r="O94" t="s">
        <v>331</v>
      </c>
      <c r="P94" t="s">
        <v>96</v>
      </c>
      <c r="Q94" s="2">
        <v>684.39151493715565</v>
      </c>
      <c r="R94" t="s">
        <v>4</v>
      </c>
    </row>
    <row r="95" spans="15:18">
      <c r="O95" t="s">
        <v>331</v>
      </c>
      <c r="P95" t="s">
        <v>97</v>
      </c>
      <c r="Q95" s="2">
        <v>684.39151493715565</v>
      </c>
      <c r="R95" t="s">
        <v>4</v>
      </c>
    </row>
    <row r="96" spans="15:18">
      <c r="O96" t="s">
        <v>331</v>
      </c>
      <c r="P96" t="s">
        <v>98</v>
      </c>
      <c r="Q96" s="2">
        <v>684.39151493715565</v>
      </c>
      <c r="R96" t="s">
        <v>4</v>
      </c>
    </row>
    <row r="97" spans="15:18">
      <c r="O97" t="s">
        <v>331</v>
      </c>
      <c r="P97" t="s">
        <v>99</v>
      </c>
      <c r="Q97" s="2">
        <v>695.07602374635212</v>
      </c>
      <c r="R97" t="s">
        <v>4</v>
      </c>
    </row>
    <row r="98" spans="15:18">
      <c r="O98" t="s">
        <v>331</v>
      </c>
      <c r="P98" t="s">
        <v>88</v>
      </c>
      <c r="Q98" s="2">
        <v>3711.5197364159485</v>
      </c>
      <c r="R98" t="s">
        <v>396</v>
      </c>
    </row>
    <row r="99" spans="15:18">
      <c r="O99" t="s">
        <v>331</v>
      </c>
      <c r="P99" t="s">
        <v>89</v>
      </c>
      <c r="Q99" s="2">
        <v>5083.2914718065122</v>
      </c>
      <c r="R99" t="s">
        <v>396</v>
      </c>
    </row>
    <row r="100" spans="15:18">
      <c r="O100" t="s">
        <v>331</v>
      </c>
      <c r="P100" t="s">
        <v>90</v>
      </c>
      <c r="Q100" s="2">
        <v>3789.6982047872093</v>
      </c>
      <c r="R100" t="s">
        <v>396</v>
      </c>
    </row>
    <row r="101" spans="15:18">
      <c r="O101" t="s">
        <v>331</v>
      </c>
      <c r="P101" t="s">
        <v>91</v>
      </c>
      <c r="Q101" s="2">
        <v>3783.711902815488</v>
      </c>
      <c r="R101" t="s">
        <v>396</v>
      </c>
    </row>
    <row r="102" spans="15:18">
      <c r="O102" t="s">
        <v>331</v>
      </c>
      <c r="P102" t="s">
        <v>92</v>
      </c>
      <c r="Q102" s="2">
        <v>3775.5085304872432</v>
      </c>
      <c r="R102" t="s">
        <v>396</v>
      </c>
    </row>
    <row r="103" spans="15:18">
      <c r="O103" t="s">
        <v>331</v>
      </c>
      <c r="P103" t="s">
        <v>93</v>
      </c>
      <c r="Q103" s="2">
        <v>3764.1533321543557</v>
      </c>
      <c r="R103" t="s">
        <v>396</v>
      </c>
    </row>
    <row r="104" spans="15:18">
      <c r="O104" t="s">
        <v>331</v>
      </c>
      <c r="P104" t="s">
        <v>94</v>
      </c>
      <c r="Q104" s="2">
        <v>3764.1533321543557</v>
      </c>
      <c r="R104" t="s">
        <v>396</v>
      </c>
    </row>
    <row r="105" spans="15:18">
      <c r="O105" t="s">
        <v>331</v>
      </c>
      <c r="P105" t="s">
        <v>95</v>
      </c>
      <c r="Q105" s="2">
        <v>5351.0983698753835</v>
      </c>
      <c r="R105" t="s">
        <v>396</v>
      </c>
    </row>
    <row r="106" spans="15:18">
      <c r="O106" t="s">
        <v>331</v>
      </c>
      <c r="P106" t="s">
        <v>96</v>
      </c>
      <c r="Q106" s="2">
        <v>3764.1533321543557</v>
      </c>
      <c r="R106" t="s">
        <v>396</v>
      </c>
    </row>
    <row r="107" spans="15:18">
      <c r="O107" t="s">
        <v>331</v>
      </c>
      <c r="P107" t="s">
        <v>97</v>
      </c>
      <c r="Q107" s="2">
        <v>3764.1533321543557</v>
      </c>
      <c r="R107" t="s">
        <v>396</v>
      </c>
    </row>
    <row r="108" spans="15:18">
      <c r="O108" t="s">
        <v>331</v>
      </c>
      <c r="P108" t="s">
        <v>98</v>
      </c>
      <c r="Q108" s="2">
        <v>3764.1533321543557</v>
      </c>
      <c r="R108" t="s">
        <v>396</v>
      </c>
    </row>
    <row r="109" spans="15:18">
      <c r="O109" t="s">
        <v>331</v>
      </c>
      <c r="P109" t="s">
        <v>99</v>
      </c>
      <c r="Q109" s="2">
        <v>3822.9181306049368</v>
      </c>
      <c r="R109" t="s">
        <v>397</v>
      </c>
    </row>
    <row r="110" spans="15:18">
      <c r="O110" t="s">
        <v>331</v>
      </c>
      <c r="P110" t="s">
        <v>88</v>
      </c>
      <c r="Q110" s="2">
        <v>1518.3489830792516</v>
      </c>
      <c r="R110" t="s">
        <v>397</v>
      </c>
    </row>
    <row r="111" spans="15:18">
      <c r="O111" t="s">
        <v>331</v>
      </c>
      <c r="P111" t="s">
        <v>89</v>
      </c>
      <c r="Q111" s="2">
        <v>2079.5283293753914</v>
      </c>
      <c r="R111" t="s">
        <v>397</v>
      </c>
    </row>
    <row r="112" spans="15:18">
      <c r="O112" t="s">
        <v>331</v>
      </c>
      <c r="P112" t="s">
        <v>90</v>
      </c>
      <c r="Q112" s="2">
        <v>1550.3310837765857</v>
      </c>
      <c r="R112" t="s">
        <v>397</v>
      </c>
    </row>
    <row r="113" spans="15:18">
      <c r="O113" t="s">
        <v>331</v>
      </c>
      <c r="P113" t="s">
        <v>91</v>
      </c>
      <c r="Q113" s="2">
        <v>1547.8821420608815</v>
      </c>
      <c r="R113" t="s">
        <v>397</v>
      </c>
    </row>
    <row r="114" spans="15:18">
      <c r="O114" t="s">
        <v>331</v>
      </c>
      <c r="P114" t="s">
        <v>92</v>
      </c>
      <c r="Q114" s="2">
        <v>1544.5262170175085</v>
      </c>
      <c r="R114" t="s">
        <v>397</v>
      </c>
    </row>
    <row r="115" spans="15:18">
      <c r="O115" t="s">
        <v>331</v>
      </c>
      <c r="P115" t="s">
        <v>93</v>
      </c>
      <c r="Q115" s="2">
        <v>1539.8809086086001</v>
      </c>
      <c r="R115" t="s">
        <v>397</v>
      </c>
    </row>
    <row r="116" spans="15:18">
      <c r="O116" t="s">
        <v>331</v>
      </c>
      <c r="P116" t="s">
        <v>94</v>
      </c>
      <c r="Q116" s="2">
        <v>1539.8809086086001</v>
      </c>
      <c r="R116" t="s">
        <v>397</v>
      </c>
    </row>
    <row r="117" spans="15:18">
      <c r="O117" t="s">
        <v>331</v>
      </c>
      <c r="P117" t="s">
        <v>95</v>
      </c>
      <c r="Q117" s="2">
        <v>2189.0856967672021</v>
      </c>
      <c r="R117" t="s">
        <v>397</v>
      </c>
    </row>
    <row r="118" spans="15:18">
      <c r="O118" t="s">
        <v>331</v>
      </c>
      <c r="P118" t="s">
        <v>96</v>
      </c>
      <c r="Q118" s="2">
        <v>1539.8809086086001</v>
      </c>
      <c r="R118" t="s">
        <v>397</v>
      </c>
    </row>
    <row r="119" spans="15:18">
      <c r="O119" t="s">
        <v>331</v>
      </c>
      <c r="P119" t="s">
        <v>97</v>
      </c>
      <c r="Q119" s="2">
        <v>1539.8809086086001</v>
      </c>
      <c r="R119" t="s">
        <v>397</v>
      </c>
    </row>
    <row r="120" spans="15:18">
      <c r="O120" t="s">
        <v>331</v>
      </c>
      <c r="P120" t="s">
        <v>98</v>
      </c>
      <c r="Q120" s="2">
        <v>1539.8809086086001</v>
      </c>
      <c r="R120" t="s">
        <v>397</v>
      </c>
    </row>
    <row r="121" spans="15:18">
      <c r="O121" t="s">
        <v>331</v>
      </c>
      <c r="P121" t="s">
        <v>99</v>
      </c>
      <c r="Q121" s="2">
        <v>1563.9210534292922</v>
      </c>
      <c r="R121" t="s">
        <v>397</v>
      </c>
    </row>
  </sheetData>
  <mergeCells count="2">
    <mergeCell ref="C1:M1"/>
    <mergeCell ref="A12:M12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34"/>
  <sheetViews>
    <sheetView workbookViewId="0"/>
  </sheetViews>
  <sheetFormatPr baseColWidth="10" defaultRowHeight="15"/>
  <cols>
    <col min="2" max="2" width="16.42578125" bestFit="1" customWidth="1"/>
    <col min="3" max="3" width="8" bestFit="1" customWidth="1"/>
    <col min="4" max="4" width="11.28515625" bestFit="1" customWidth="1"/>
  </cols>
  <sheetData>
    <row r="1" spans="1:4">
      <c r="A1" t="s">
        <v>365</v>
      </c>
      <c r="B1" t="s">
        <v>0</v>
      </c>
      <c r="C1" t="s">
        <v>366</v>
      </c>
      <c r="D1" t="s">
        <v>364</v>
      </c>
    </row>
    <row r="2" spans="1:4">
      <c r="A2" t="s">
        <v>88</v>
      </c>
      <c r="B2" t="s">
        <v>8</v>
      </c>
      <c r="C2">
        <v>5225</v>
      </c>
      <c r="D2" t="s">
        <v>357</v>
      </c>
    </row>
    <row r="3" spans="1:4">
      <c r="A3" t="s">
        <v>89</v>
      </c>
      <c r="B3" t="s">
        <v>8</v>
      </c>
      <c r="C3">
        <v>3976</v>
      </c>
      <c r="D3" t="s">
        <v>357</v>
      </c>
    </row>
    <row r="4" spans="1:4">
      <c r="A4" t="s">
        <v>90</v>
      </c>
      <c r="B4" t="s">
        <v>8</v>
      </c>
      <c r="C4">
        <v>34476</v>
      </c>
      <c r="D4" t="s">
        <v>357</v>
      </c>
    </row>
    <row r="5" spans="1:4">
      <c r="A5" t="s">
        <v>91</v>
      </c>
      <c r="B5" t="s">
        <v>8</v>
      </c>
      <c r="C5">
        <v>376</v>
      </c>
      <c r="D5" t="s">
        <v>357</v>
      </c>
    </row>
    <row r="6" spans="1:4">
      <c r="A6" t="s">
        <v>92</v>
      </c>
      <c r="B6" t="s">
        <v>8</v>
      </c>
      <c r="C6">
        <v>53377</v>
      </c>
      <c r="D6" t="s">
        <v>357</v>
      </c>
    </row>
    <row r="7" spans="1:4">
      <c r="A7" t="s">
        <v>94</v>
      </c>
      <c r="B7" t="s">
        <v>8</v>
      </c>
      <c r="C7">
        <v>5274</v>
      </c>
      <c r="D7" t="s">
        <v>357</v>
      </c>
    </row>
    <row r="8" spans="1:4">
      <c r="A8" t="s">
        <v>88</v>
      </c>
      <c r="B8" t="s">
        <v>12</v>
      </c>
      <c r="C8">
        <v>1335</v>
      </c>
      <c r="D8" t="s">
        <v>357</v>
      </c>
    </row>
    <row r="9" spans="1:4">
      <c r="A9" t="s">
        <v>89</v>
      </c>
      <c r="B9" t="s">
        <v>12</v>
      </c>
      <c r="C9">
        <v>1505</v>
      </c>
      <c r="D9" t="s">
        <v>357</v>
      </c>
    </row>
    <row r="10" spans="1:4">
      <c r="A10" t="s">
        <v>90</v>
      </c>
      <c r="B10" t="s">
        <v>12</v>
      </c>
      <c r="C10">
        <v>2505</v>
      </c>
      <c r="D10" t="s">
        <v>357</v>
      </c>
    </row>
    <row r="11" spans="1:4">
      <c r="A11" t="s">
        <v>91</v>
      </c>
      <c r="B11" t="s">
        <v>12</v>
      </c>
      <c r="C11">
        <v>15000</v>
      </c>
      <c r="D11" t="s">
        <v>357</v>
      </c>
    </row>
    <row r="12" spans="1:4">
      <c r="A12" t="s">
        <v>92</v>
      </c>
      <c r="B12" t="s">
        <v>12</v>
      </c>
      <c r="C12">
        <v>51200</v>
      </c>
      <c r="D12" t="s">
        <v>357</v>
      </c>
    </row>
    <row r="13" spans="1:4">
      <c r="A13" t="s">
        <v>94</v>
      </c>
      <c r="B13" t="s">
        <v>12</v>
      </c>
      <c r="C13">
        <v>37110</v>
      </c>
      <c r="D13" t="s">
        <v>357</v>
      </c>
    </row>
    <row r="14" spans="1:4">
      <c r="A14" t="s">
        <v>95</v>
      </c>
      <c r="B14" t="s">
        <v>12</v>
      </c>
      <c r="C14">
        <v>15000</v>
      </c>
      <c r="D14" t="s">
        <v>357</v>
      </c>
    </row>
    <row r="15" spans="1:4">
      <c r="A15" t="s">
        <v>88</v>
      </c>
      <c r="B15" t="s">
        <v>4</v>
      </c>
      <c r="C15">
        <v>890</v>
      </c>
      <c r="D15" t="s">
        <v>357</v>
      </c>
    </row>
    <row r="16" spans="1:4">
      <c r="A16" t="s">
        <v>89</v>
      </c>
      <c r="B16" t="s">
        <v>4</v>
      </c>
      <c r="C16">
        <v>9450</v>
      </c>
      <c r="D16" t="s">
        <v>357</v>
      </c>
    </row>
    <row r="17" spans="1:4">
      <c r="A17" t="s">
        <v>90</v>
      </c>
      <c r="B17" t="s">
        <v>4</v>
      </c>
      <c r="C17">
        <v>19900</v>
      </c>
      <c r="D17" t="s">
        <v>357</v>
      </c>
    </row>
    <row r="18" spans="1:4">
      <c r="A18" t="s">
        <v>91</v>
      </c>
      <c r="B18" t="s">
        <v>4</v>
      </c>
      <c r="C18">
        <v>18900</v>
      </c>
      <c r="D18" t="s">
        <v>357</v>
      </c>
    </row>
    <row r="19" spans="1:4">
      <c r="A19" t="s">
        <v>92</v>
      </c>
      <c r="B19" t="s">
        <v>4</v>
      </c>
      <c r="C19">
        <v>54750</v>
      </c>
      <c r="D19" t="s">
        <v>357</v>
      </c>
    </row>
    <row r="20" spans="1:4">
      <c r="A20" t="s">
        <v>94</v>
      </c>
      <c r="B20" t="s">
        <v>4</v>
      </c>
      <c r="C20">
        <v>1055</v>
      </c>
      <c r="D20" t="s">
        <v>357</v>
      </c>
    </row>
    <row r="21" spans="1:4">
      <c r="A21" t="s">
        <v>88</v>
      </c>
      <c r="B21" t="s">
        <v>373</v>
      </c>
      <c r="C21">
        <v>4009</v>
      </c>
      <c r="D21" t="s">
        <v>357</v>
      </c>
    </row>
    <row r="22" spans="1:4">
      <c r="A22" t="s">
        <v>89</v>
      </c>
      <c r="B22" t="s">
        <v>373</v>
      </c>
      <c r="C22">
        <v>6290</v>
      </c>
      <c r="D22" t="s">
        <v>357</v>
      </c>
    </row>
    <row r="23" spans="1:4">
      <c r="A23" t="s">
        <v>90</v>
      </c>
      <c r="B23" t="s">
        <v>373</v>
      </c>
      <c r="C23">
        <v>20876</v>
      </c>
      <c r="D23" t="s">
        <v>357</v>
      </c>
    </row>
    <row r="24" spans="1:4">
      <c r="A24" t="s">
        <v>91</v>
      </c>
      <c r="B24" t="s">
        <v>373</v>
      </c>
      <c r="C24">
        <v>56602</v>
      </c>
      <c r="D24" t="s">
        <v>357</v>
      </c>
    </row>
    <row r="25" spans="1:4">
      <c r="A25" t="s">
        <v>92</v>
      </c>
      <c r="B25" t="s">
        <v>373</v>
      </c>
      <c r="C25">
        <v>38085</v>
      </c>
      <c r="D25" t="s">
        <v>357</v>
      </c>
    </row>
    <row r="26" spans="1:4">
      <c r="A26" t="s">
        <v>93</v>
      </c>
      <c r="B26" t="s">
        <v>373</v>
      </c>
      <c r="C26">
        <v>36667</v>
      </c>
      <c r="D26" t="s">
        <v>357</v>
      </c>
    </row>
    <row r="27" spans="1:4">
      <c r="A27" t="s">
        <v>94</v>
      </c>
      <c r="B27" t="s">
        <v>373</v>
      </c>
      <c r="C27">
        <v>60827</v>
      </c>
      <c r="D27" t="s">
        <v>357</v>
      </c>
    </row>
    <row r="28" spans="1:4">
      <c r="A28" t="s">
        <v>95</v>
      </c>
      <c r="B28" t="s">
        <v>373</v>
      </c>
      <c r="C28">
        <v>18565</v>
      </c>
      <c r="D28" t="s">
        <v>357</v>
      </c>
    </row>
    <row r="29" spans="1:4">
      <c r="A29" t="s">
        <v>88</v>
      </c>
      <c r="B29" t="s">
        <v>15</v>
      </c>
      <c r="C29">
        <v>2673</v>
      </c>
      <c r="D29" t="s">
        <v>357</v>
      </c>
    </row>
    <row r="30" spans="1:4">
      <c r="A30" t="s">
        <v>89</v>
      </c>
      <c r="B30" t="s">
        <v>15</v>
      </c>
      <c r="C30">
        <v>3289</v>
      </c>
      <c r="D30" t="s">
        <v>357</v>
      </c>
    </row>
    <row r="31" spans="1:4">
      <c r="A31" t="s">
        <v>90</v>
      </c>
      <c r="B31" t="s">
        <v>15</v>
      </c>
      <c r="C31">
        <v>60143</v>
      </c>
      <c r="D31" t="s">
        <v>357</v>
      </c>
    </row>
    <row r="32" spans="1:4">
      <c r="A32" t="s">
        <v>91</v>
      </c>
      <c r="B32" t="s">
        <v>15</v>
      </c>
      <c r="C32">
        <v>257</v>
      </c>
      <c r="D32" t="s">
        <v>357</v>
      </c>
    </row>
    <row r="33" spans="1:4">
      <c r="A33" t="s">
        <v>92</v>
      </c>
      <c r="B33" t="s">
        <v>15</v>
      </c>
      <c r="C33">
        <v>4071</v>
      </c>
      <c r="D33" t="s">
        <v>357</v>
      </c>
    </row>
    <row r="34" spans="1:4">
      <c r="A34" t="s">
        <v>94</v>
      </c>
      <c r="B34" t="s">
        <v>15</v>
      </c>
      <c r="C34">
        <v>10200</v>
      </c>
      <c r="D34" t="s">
        <v>357</v>
      </c>
    </row>
  </sheetData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41"/>
  <sheetViews>
    <sheetView workbookViewId="0">
      <selection activeCell="H13" sqref="H13"/>
    </sheetView>
  </sheetViews>
  <sheetFormatPr baseColWidth="10" defaultRowHeight="15"/>
  <sheetData>
    <row r="1" spans="1:4">
      <c r="A1" t="s">
        <v>365</v>
      </c>
      <c r="B1" t="s">
        <v>0</v>
      </c>
      <c r="C1" t="s">
        <v>366</v>
      </c>
      <c r="D1" t="s">
        <v>364</v>
      </c>
    </row>
    <row r="2" spans="1:4">
      <c r="A2" t="s">
        <v>88</v>
      </c>
      <c r="B2" t="s">
        <v>8</v>
      </c>
      <c r="C2">
        <v>5225</v>
      </c>
      <c r="D2" t="s">
        <v>357</v>
      </c>
    </row>
    <row r="3" spans="1:4">
      <c r="A3" t="s">
        <v>89</v>
      </c>
      <c r="B3" t="s">
        <v>8</v>
      </c>
      <c r="C3">
        <v>3976</v>
      </c>
      <c r="D3" t="s">
        <v>357</v>
      </c>
    </row>
    <row r="4" spans="1:4">
      <c r="A4" t="s">
        <v>90</v>
      </c>
      <c r="B4" t="s">
        <v>8</v>
      </c>
      <c r="C4">
        <v>34476</v>
      </c>
      <c r="D4" t="s">
        <v>357</v>
      </c>
    </row>
    <row r="5" spans="1:4">
      <c r="A5" t="s">
        <v>91</v>
      </c>
      <c r="B5" t="s">
        <v>8</v>
      </c>
      <c r="C5">
        <v>376</v>
      </c>
      <c r="D5" t="s">
        <v>357</v>
      </c>
    </row>
    <row r="6" spans="1:4">
      <c r="A6" t="s">
        <v>92</v>
      </c>
      <c r="B6" t="s">
        <v>8</v>
      </c>
      <c r="C6">
        <v>53377</v>
      </c>
      <c r="D6" t="s">
        <v>357</v>
      </c>
    </row>
    <row r="7" spans="1:4">
      <c r="A7" t="s">
        <v>93</v>
      </c>
      <c r="B7" t="s">
        <v>8</v>
      </c>
      <c r="C7" t="s">
        <v>407</v>
      </c>
      <c r="D7" t="s">
        <v>357</v>
      </c>
    </row>
    <row r="8" spans="1:4">
      <c r="A8" t="s">
        <v>94</v>
      </c>
      <c r="B8" t="s">
        <v>8</v>
      </c>
      <c r="C8">
        <v>5274</v>
      </c>
      <c r="D8" t="s">
        <v>357</v>
      </c>
    </row>
    <row r="9" spans="1:4">
      <c r="A9" t="s">
        <v>95</v>
      </c>
      <c r="B9" t="s">
        <v>8</v>
      </c>
      <c r="C9" t="s">
        <v>407</v>
      </c>
      <c r="D9" t="s">
        <v>357</v>
      </c>
    </row>
    <row r="10" spans="1:4">
      <c r="A10" t="s">
        <v>88</v>
      </c>
      <c r="B10" t="s">
        <v>12</v>
      </c>
      <c r="C10">
        <v>1335</v>
      </c>
      <c r="D10" t="s">
        <v>357</v>
      </c>
    </row>
    <row r="11" spans="1:4">
      <c r="A11" t="s">
        <v>89</v>
      </c>
      <c r="B11" t="s">
        <v>12</v>
      </c>
      <c r="C11">
        <v>1505</v>
      </c>
      <c r="D11" t="s">
        <v>357</v>
      </c>
    </row>
    <row r="12" spans="1:4">
      <c r="A12" t="s">
        <v>90</v>
      </c>
      <c r="B12" t="s">
        <v>12</v>
      </c>
      <c r="C12">
        <v>2505</v>
      </c>
      <c r="D12" t="s">
        <v>357</v>
      </c>
    </row>
    <row r="13" spans="1:4">
      <c r="A13" t="s">
        <v>91</v>
      </c>
      <c r="B13" t="s">
        <v>12</v>
      </c>
      <c r="C13">
        <v>15000</v>
      </c>
      <c r="D13" t="s">
        <v>357</v>
      </c>
    </row>
    <row r="14" spans="1:4">
      <c r="A14" t="s">
        <v>92</v>
      </c>
      <c r="B14" t="s">
        <v>12</v>
      </c>
      <c r="C14">
        <v>51200</v>
      </c>
      <c r="D14" t="s">
        <v>357</v>
      </c>
    </row>
    <row r="15" spans="1:4">
      <c r="A15" t="s">
        <v>93</v>
      </c>
      <c r="B15" t="s">
        <v>12</v>
      </c>
      <c r="C15" t="s">
        <v>407</v>
      </c>
      <c r="D15" t="s">
        <v>357</v>
      </c>
    </row>
    <row r="16" spans="1:4">
      <c r="A16" t="s">
        <v>94</v>
      </c>
      <c r="B16" t="s">
        <v>12</v>
      </c>
      <c r="C16">
        <v>37110</v>
      </c>
      <c r="D16" t="s">
        <v>357</v>
      </c>
    </row>
    <row r="17" spans="1:4">
      <c r="A17" t="s">
        <v>95</v>
      </c>
      <c r="B17" t="s">
        <v>12</v>
      </c>
      <c r="C17">
        <v>15000</v>
      </c>
      <c r="D17" t="s">
        <v>357</v>
      </c>
    </row>
    <row r="18" spans="1:4">
      <c r="A18" t="s">
        <v>88</v>
      </c>
      <c r="B18" t="s">
        <v>4</v>
      </c>
      <c r="C18">
        <v>890</v>
      </c>
      <c r="D18" t="s">
        <v>357</v>
      </c>
    </row>
    <row r="19" spans="1:4">
      <c r="A19" t="s">
        <v>89</v>
      </c>
      <c r="B19" t="s">
        <v>4</v>
      </c>
      <c r="C19">
        <v>9450</v>
      </c>
      <c r="D19" t="s">
        <v>357</v>
      </c>
    </row>
    <row r="20" spans="1:4">
      <c r="A20" t="s">
        <v>90</v>
      </c>
      <c r="B20" t="s">
        <v>4</v>
      </c>
      <c r="C20">
        <v>19900</v>
      </c>
      <c r="D20" t="s">
        <v>357</v>
      </c>
    </row>
    <row r="21" spans="1:4">
      <c r="A21" t="s">
        <v>91</v>
      </c>
      <c r="B21" t="s">
        <v>4</v>
      </c>
      <c r="C21">
        <v>18900</v>
      </c>
      <c r="D21" t="s">
        <v>357</v>
      </c>
    </row>
    <row r="22" spans="1:4">
      <c r="A22" t="s">
        <v>92</v>
      </c>
      <c r="B22" t="s">
        <v>4</v>
      </c>
      <c r="C22">
        <v>54750</v>
      </c>
      <c r="D22" t="s">
        <v>357</v>
      </c>
    </row>
    <row r="23" spans="1:4">
      <c r="A23" t="s">
        <v>93</v>
      </c>
      <c r="B23" t="s">
        <v>4</v>
      </c>
      <c r="C23" t="s">
        <v>407</v>
      </c>
      <c r="D23" t="s">
        <v>357</v>
      </c>
    </row>
    <row r="24" spans="1:4">
      <c r="A24" t="s">
        <v>94</v>
      </c>
      <c r="B24" t="s">
        <v>4</v>
      </c>
      <c r="C24">
        <v>1055</v>
      </c>
      <c r="D24" t="s">
        <v>357</v>
      </c>
    </row>
    <row r="25" spans="1:4">
      <c r="A25" t="s">
        <v>95</v>
      </c>
      <c r="B25" t="s">
        <v>4</v>
      </c>
      <c r="C25" t="s">
        <v>407</v>
      </c>
      <c r="D25" t="s">
        <v>357</v>
      </c>
    </row>
    <row r="26" spans="1:4">
      <c r="A26" t="s">
        <v>88</v>
      </c>
      <c r="B26" t="s">
        <v>373</v>
      </c>
      <c r="C26">
        <v>4009</v>
      </c>
      <c r="D26" t="s">
        <v>357</v>
      </c>
    </row>
    <row r="27" spans="1:4">
      <c r="A27" t="s">
        <v>89</v>
      </c>
      <c r="B27" t="s">
        <v>373</v>
      </c>
      <c r="C27">
        <v>6290</v>
      </c>
      <c r="D27" t="s">
        <v>357</v>
      </c>
    </row>
    <row r="28" spans="1:4">
      <c r="A28" t="s">
        <v>90</v>
      </c>
      <c r="B28" t="s">
        <v>373</v>
      </c>
      <c r="C28">
        <v>20876</v>
      </c>
      <c r="D28" t="s">
        <v>357</v>
      </c>
    </row>
    <row r="29" spans="1:4">
      <c r="A29" t="s">
        <v>91</v>
      </c>
      <c r="B29" t="s">
        <v>373</v>
      </c>
      <c r="C29">
        <v>56602</v>
      </c>
      <c r="D29" t="s">
        <v>357</v>
      </c>
    </row>
    <row r="30" spans="1:4">
      <c r="A30" t="s">
        <v>92</v>
      </c>
      <c r="B30" t="s">
        <v>373</v>
      </c>
      <c r="C30">
        <v>38085</v>
      </c>
      <c r="D30" t="s">
        <v>357</v>
      </c>
    </row>
    <row r="31" spans="1:4">
      <c r="A31" t="s">
        <v>93</v>
      </c>
      <c r="B31" t="s">
        <v>373</v>
      </c>
      <c r="C31">
        <v>36667</v>
      </c>
      <c r="D31" t="s">
        <v>357</v>
      </c>
    </row>
    <row r="32" spans="1:4">
      <c r="A32" t="s">
        <v>94</v>
      </c>
      <c r="B32" t="s">
        <v>373</v>
      </c>
      <c r="C32">
        <v>60827</v>
      </c>
      <c r="D32" t="s">
        <v>357</v>
      </c>
    </row>
    <row r="33" spans="1:4">
      <c r="A33" t="s">
        <v>95</v>
      </c>
      <c r="B33" t="s">
        <v>373</v>
      </c>
      <c r="C33">
        <v>18565</v>
      </c>
      <c r="D33" t="s">
        <v>357</v>
      </c>
    </row>
    <row r="34" spans="1:4">
      <c r="A34" t="s">
        <v>88</v>
      </c>
      <c r="B34" t="s">
        <v>15</v>
      </c>
      <c r="C34">
        <v>2673</v>
      </c>
      <c r="D34" t="s">
        <v>357</v>
      </c>
    </row>
    <row r="35" spans="1:4">
      <c r="A35" t="s">
        <v>89</v>
      </c>
      <c r="B35" t="s">
        <v>15</v>
      </c>
      <c r="C35">
        <v>3289</v>
      </c>
      <c r="D35" t="s">
        <v>357</v>
      </c>
    </row>
    <row r="36" spans="1:4">
      <c r="A36" t="s">
        <v>90</v>
      </c>
      <c r="B36" t="s">
        <v>15</v>
      </c>
      <c r="C36">
        <v>60143</v>
      </c>
      <c r="D36" t="s">
        <v>357</v>
      </c>
    </row>
    <row r="37" spans="1:4">
      <c r="A37" t="s">
        <v>91</v>
      </c>
      <c r="B37" t="s">
        <v>15</v>
      </c>
      <c r="C37">
        <v>257</v>
      </c>
      <c r="D37" t="s">
        <v>357</v>
      </c>
    </row>
    <row r="38" spans="1:4">
      <c r="A38" t="s">
        <v>92</v>
      </c>
      <c r="B38" t="s">
        <v>15</v>
      </c>
      <c r="C38">
        <v>4071</v>
      </c>
      <c r="D38" t="s">
        <v>357</v>
      </c>
    </row>
    <row r="39" spans="1:4">
      <c r="A39" t="s">
        <v>93</v>
      </c>
      <c r="B39" t="s">
        <v>15</v>
      </c>
      <c r="C39" t="s">
        <v>407</v>
      </c>
      <c r="D39" t="s">
        <v>357</v>
      </c>
    </row>
    <row r="40" spans="1:4">
      <c r="A40" t="s">
        <v>94</v>
      </c>
      <c r="B40" t="s">
        <v>15</v>
      </c>
      <c r="C40">
        <v>10200</v>
      </c>
      <c r="D40" t="s">
        <v>357</v>
      </c>
    </row>
    <row r="41" spans="1:4">
      <c r="A41" t="s">
        <v>95</v>
      </c>
      <c r="B41" t="s">
        <v>15</v>
      </c>
      <c r="C41" t="s">
        <v>407</v>
      </c>
      <c r="D41" t="s">
        <v>357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1455"/>
  <sheetViews>
    <sheetView workbookViewId="0">
      <selection activeCell="K6" sqref="K6"/>
    </sheetView>
  </sheetViews>
  <sheetFormatPr baseColWidth="10" defaultRowHeight="15"/>
  <cols>
    <col min="1" max="1" width="24.5703125" bestFit="1" customWidth="1"/>
    <col min="3" max="3" width="8" bestFit="1" customWidth="1"/>
    <col min="4" max="4" width="16.42578125" bestFit="1" customWidth="1"/>
    <col min="5" max="5" width="31.140625" bestFit="1" customWidth="1"/>
    <col min="6" max="6" width="12.5703125" bestFit="1" customWidth="1"/>
  </cols>
  <sheetData>
    <row r="1" spans="1:7">
      <c r="A1" t="s">
        <v>374</v>
      </c>
      <c r="B1" t="s">
        <v>85</v>
      </c>
      <c r="C1" t="s">
        <v>375</v>
      </c>
      <c r="D1" t="s">
        <v>489</v>
      </c>
      <c r="E1" t="s">
        <v>488</v>
      </c>
      <c r="F1" t="s">
        <v>490</v>
      </c>
      <c r="G1" t="s">
        <v>491</v>
      </c>
    </row>
    <row r="2" spans="1:7">
      <c r="A2" t="s">
        <v>334</v>
      </c>
      <c r="B2" t="s">
        <v>88</v>
      </c>
      <c r="C2" s="2">
        <v>2837.4809224850992</v>
      </c>
      <c r="D2" t="s">
        <v>8</v>
      </c>
      <c r="E2" t="str">
        <f>+INDEX(Check!$B$5:$B$33,MATCH(Compilado[[#This Row],[Items]],Check!$C$5:$C$33,0))</f>
        <v>PERSONAL FINCA</v>
      </c>
      <c r="F2" s="69">
        <f>+IFERROR(INDEX(Tabla2[TC],MATCH(Compilado[[#This Row],[Mes]],Tabla2[Mes],0))*Compilado[[#This Row],[USD]],0)</f>
        <v>3197840.9996407069</v>
      </c>
      <c r="G2" s="150">
        <v>45778</v>
      </c>
    </row>
    <row r="3" spans="1:7">
      <c r="A3" t="s">
        <v>334</v>
      </c>
      <c r="B3" t="s">
        <v>89</v>
      </c>
      <c r="C3" s="2">
        <v>8014.3943811013069</v>
      </c>
      <c r="D3" t="s">
        <v>8</v>
      </c>
      <c r="E3" t="str">
        <f>+INDEX(Check!$B$5:$B$33,MATCH(Compilado[[#This Row],[Items]],Check!$C$5:$C$33,0))</f>
        <v>PERSONAL FINCA</v>
      </c>
      <c r="F3" s="69">
        <f>+IFERROR(INDEX(Tabla2[TC],MATCH(Compilado[[#This Row],[Mes]],Tabla2[Mes],0))*Compilado[[#This Row],[USD]],0)</f>
        <v>9122544.6921761837</v>
      </c>
      <c r="G3" s="150">
        <v>45809</v>
      </c>
    </row>
    <row r="4" spans="1:7">
      <c r="A4" t="s">
        <v>334</v>
      </c>
      <c r="B4" t="s">
        <v>90</v>
      </c>
      <c r="C4" s="2">
        <v>5604.4874688482205</v>
      </c>
      <c r="D4" t="s">
        <v>8</v>
      </c>
      <c r="E4" t="str">
        <f>+INDEX(Check!$B$5:$B$33,MATCH(Compilado[[#This Row],[Items]],Check!$C$5:$C$33,0))</f>
        <v>PERSONAL FINCA</v>
      </c>
      <c r="F4" s="69">
        <f>+IFERROR(INDEX(Tabla2[TC],MATCH(Compilado[[#This Row],[Mes]],Tabla2[Mes],0))*Compilado[[#This Row],[USD]],0)</f>
        <v>6443214.1506775226</v>
      </c>
      <c r="G4" s="150">
        <v>45839</v>
      </c>
    </row>
    <row r="5" spans="1:7">
      <c r="A5" t="s">
        <v>334</v>
      </c>
      <c r="B5" t="s">
        <v>91</v>
      </c>
      <c r="C5" s="2">
        <v>8076.4774048821519</v>
      </c>
      <c r="D5" t="s">
        <v>8</v>
      </c>
      <c r="E5" t="str">
        <f>+INDEX(Check!$B$5:$B$33,MATCH(Compilado[[#This Row],[Items]],Check!$C$5:$C$33,0))</f>
        <v>PERSONAL FINCA</v>
      </c>
      <c r="F5" s="69">
        <f>+IFERROR(INDEX(Tabla2[TC],MATCH(Compilado[[#This Row],[Mes]],Tabla2[Mes],0))*Compilado[[#This Row],[USD]],0)</f>
        <v>9377995.4955618773</v>
      </c>
      <c r="G5" s="150">
        <v>45870</v>
      </c>
    </row>
    <row r="6" spans="1:7">
      <c r="A6" t="s">
        <v>334</v>
      </c>
      <c r="B6" t="s">
        <v>92</v>
      </c>
      <c r="C6" s="2">
        <v>1965.2233812542279</v>
      </c>
      <c r="D6" t="s">
        <v>8</v>
      </c>
      <c r="E6" t="str">
        <f>+INDEX(Check!$B$5:$B$33,MATCH(Compilado[[#This Row],[Items]],Check!$C$5:$C$33,0))</f>
        <v>PERSONAL FINCA</v>
      </c>
      <c r="F6" s="69">
        <f>+IFERROR(INDEX(Tabla2[TC],MATCH(Compilado[[#This Row],[Mes]],Tabla2[Mes],0))*Compilado[[#This Row],[USD]],0)</f>
        <v>2304736.78612593</v>
      </c>
      <c r="G6" s="150">
        <v>45901</v>
      </c>
    </row>
    <row r="7" spans="1:7">
      <c r="A7" t="s">
        <v>334</v>
      </c>
      <c r="B7" t="s">
        <v>93</v>
      </c>
      <c r="C7" s="2">
        <v>2116.0944848195732</v>
      </c>
      <c r="D7" t="s">
        <v>8</v>
      </c>
      <c r="E7" t="str">
        <f>+INDEX(Check!$B$5:$B$33,MATCH(Compilado[[#This Row],[Items]],Check!$C$5:$C$33,0))</f>
        <v>PERSONAL FINCA</v>
      </c>
      <c r="F7" s="69">
        <f>+IFERROR(INDEX(Tabla2[TC],MATCH(Compilado[[#This Row],[Mes]],Tabla2[Mes],0))*Compilado[[#This Row],[USD]],0)</f>
        <v>2506489.2149608857</v>
      </c>
      <c r="G7" s="150">
        <v>45931</v>
      </c>
    </row>
    <row r="8" spans="1:7">
      <c r="A8" t="s">
        <v>334</v>
      </c>
      <c r="B8" t="s">
        <v>94</v>
      </c>
      <c r="C8" s="2">
        <v>2705.0098072276742</v>
      </c>
      <c r="D8" t="s">
        <v>8</v>
      </c>
      <c r="E8" t="str">
        <f>+INDEX(Check!$B$5:$B$33,MATCH(Compilado[[#This Row],[Items]],Check!$C$5:$C$33,0))</f>
        <v>PERSONAL FINCA</v>
      </c>
      <c r="F8" s="69">
        <f>+IFERROR(INDEX(Tabla2[TC],MATCH(Compilado[[#This Row],[Mes]],Tabla2[Mes],0))*Compilado[[#This Row],[USD]],0)</f>
        <v>3236093.0650245817</v>
      </c>
      <c r="G8" s="150">
        <v>45962</v>
      </c>
    </row>
    <row r="9" spans="1:7">
      <c r="A9" t="s">
        <v>334</v>
      </c>
      <c r="B9" t="s">
        <v>95</v>
      </c>
      <c r="C9" s="2">
        <v>1767.4623877772551</v>
      </c>
      <c r="D9" t="s">
        <v>8</v>
      </c>
      <c r="E9" t="str">
        <f>+INDEX(Check!$B$5:$B$33,MATCH(Compilado[[#This Row],[Items]],Check!$C$5:$C$33,0))</f>
        <v>PERSONAL FINCA</v>
      </c>
      <c r="F9" s="69">
        <f>+IFERROR(INDEX(Tabla2[TC],MATCH(Compilado[[#This Row],[Mes]],Tabla2[Mes],0))*Compilado[[#This Row],[USD]],0)</f>
        <v>2135618.690956308</v>
      </c>
      <c r="G9" s="150">
        <v>45992</v>
      </c>
    </row>
    <row r="10" spans="1:7">
      <c r="A10" t="s">
        <v>334</v>
      </c>
      <c r="B10" t="s">
        <v>96</v>
      </c>
      <c r="C10" s="2">
        <v>1253.9970642520209</v>
      </c>
      <c r="D10" t="s">
        <v>8</v>
      </c>
      <c r="E10" t="str">
        <f>+INDEX(Check!$B$5:$B$33,MATCH(Compilado[[#This Row],[Items]],Check!$C$5:$C$33,0))</f>
        <v>PERSONAL FINCA</v>
      </c>
      <c r="F10" s="69">
        <f>+IFERROR(INDEX(Tabla2[TC],MATCH(Compilado[[#This Row],[Mes]],Tabla2[Mes],0))*Compilado[[#This Row],[USD]],0)</f>
        <v>1530352.3193558571</v>
      </c>
      <c r="G10" s="150">
        <v>46023</v>
      </c>
    </row>
    <row r="11" spans="1:7">
      <c r="A11" t="s">
        <v>334</v>
      </c>
      <c r="B11" t="s">
        <v>97</v>
      </c>
      <c r="C11" s="2">
        <v>5914.3557528967758</v>
      </c>
      <c r="D11" t="s">
        <v>8</v>
      </c>
      <c r="E11" t="str">
        <f>+INDEX(Check!$B$5:$B$33,MATCH(Compilado[[#This Row],[Items]],Check!$C$5:$C$33,0))</f>
        <v>PERSONAL FINCA</v>
      </c>
      <c r="F11" s="69">
        <f>+IFERROR(INDEX(Tabla2[TC],MATCH(Compilado[[#This Row],[Mes]],Tabla2[Mes],0))*Compilado[[#This Row],[USD]],0)</f>
        <v>7289936.1449728506</v>
      </c>
      <c r="G11" s="150">
        <v>46054</v>
      </c>
    </row>
    <row r="12" spans="1:7">
      <c r="A12" t="s">
        <v>334</v>
      </c>
      <c r="B12" t="s">
        <v>98</v>
      </c>
      <c r="C12" s="2">
        <v>5416.7660184316546</v>
      </c>
      <c r="D12" t="s">
        <v>8</v>
      </c>
      <c r="E12" t="str">
        <f>+INDEX(Check!$B$5:$B$33,MATCH(Compilado[[#This Row],[Items]],Check!$C$5:$C$33,0))</f>
        <v>PERSONAL FINCA</v>
      </c>
      <c r="F12" s="69">
        <f>+IFERROR(INDEX(Tabla2[TC],MATCH(Compilado[[#This Row],[Mes]],Tabla2[Mes],0))*Compilado[[#This Row],[USD]],0)</f>
        <v>6743381.5003363276</v>
      </c>
      <c r="G12" s="150">
        <v>46082</v>
      </c>
    </row>
    <row r="13" spans="1:7">
      <c r="A13" t="s">
        <v>334</v>
      </c>
      <c r="B13" t="s">
        <v>99</v>
      </c>
      <c r="C13" s="2">
        <v>2045.6973406909235</v>
      </c>
      <c r="D13" t="s">
        <v>8</v>
      </c>
      <c r="E13" t="str">
        <f>+INDEX(Check!$B$5:$B$33,MATCH(Compilado[[#This Row],[Items]],Check!$C$5:$C$33,0))</f>
        <v>PERSONAL FINCA</v>
      </c>
      <c r="F13" s="69">
        <f>+IFERROR(INDEX(Tabla2[TC],MATCH(Compilado[[#This Row],[Mes]],Tabla2[Mes],0))*Compilado[[#This Row],[USD]],0)</f>
        <v>2572174.3806392946</v>
      </c>
      <c r="G13" s="150">
        <v>46113</v>
      </c>
    </row>
    <row r="14" spans="1:7">
      <c r="A14" t="s">
        <v>339</v>
      </c>
      <c r="B14" t="s">
        <v>88</v>
      </c>
      <c r="C14" s="2">
        <v>1127</v>
      </c>
      <c r="D14" t="s">
        <v>8</v>
      </c>
      <c r="E14" t="str">
        <f>+INDEX(Check!$B$5:$B$33,MATCH(Compilado[[#This Row],[Items]],Check!$C$5:$C$33,0))</f>
        <v>COMBUSTIBLE Y MANTENIMIENTO</v>
      </c>
      <c r="F14" s="69">
        <f>+IFERROR(INDEX(Tabla2[TC],MATCH(Compilado[[#This Row],[Mes]],Tabla2[Mes],0))*Compilado[[#This Row],[USD]],0)</f>
        <v>1270129</v>
      </c>
      <c r="G14" s="150">
        <v>45778</v>
      </c>
    </row>
    <row r="15" spans="1:7">
      <c r="A15" t="s">
        <v>339</v>
      </c>
      <c r="B15" t="s">
        <v>89</v>
      </c>
      <c r="C15" s="2">
        <v>1138.27</v>
      </c>
      <c r="D15" t="s">
        <v>8</v>
      </c>
      <c r="E15" t="str">
        <f>+INDEX(Check!$B$5:$B$33,MATCH(Compilado[[#This Row],[Items]],Check!$C$5:$C$33,0))</f>
        <v>COMBUSTIBLE Y MANTENIMIENTO</v>
      </c>
      <c r="F15" s="69">
        <f>+IFERROR(INDEX(Tabla2[TC],MATCH(Compilado[[#This Row],[Mes]],Tabla2[Mes],0))*Compilado[[#This Row],[USD]],0)</f>
        <v>1295658.5929</v>
      </c>
      <c r="G15" s="150">
        <v>45809</v>
      </c>
    </row>
    <row r="16" spans="1:7">
      <c r="A16" t="s">
        <v>339</v>
      </c>
      <c r="B16" t="s">
        <v>90</v>
      </c>
      <c r="C16" s="2">
        <v>1149.6527000000001</v>
      </c>
      <c r="D16" t="s">
        <v>8</v>
      </c>
      <c r="E16" t="str">
        <f>+INDEX(Check!$B$5:$B$33,MATCH(Compilado[[#This Row],[Items]],Check!$C$5:$C$33,0))</f>
        <v>COMBUSTIBLE Y MANTENIMIENTO</v>
      </c>
      <c r="F16" s="69">
        <f>+IFERROR(INDEX(Tabla2[TC],MATCH(Compilado[[#This Row],[Mes]],Tabla2[Mes],0))*Compilado[[#This Row],[USD]],0)</f>
        <v>1321701.3306172902</v>
      </c>
      <c r="G16" s="150">
        <v>45839</v>
      </c>
    </row>
    <row r="17" spans="1:7">
      <c r="A17" t="s">
        <v>339</v>
      </c>
      <c r="B17" t="s">
        <v>91</v>
      </c>
      <c r="C17" s="2">
        <v>1161.1492270000001</v>
      </c>
      <c r="D17" t="s">
        <v>8</v>
      </c>
      <c r="E17" t="str">
        <f>+INDEX(Check!$B$5:$B$33,MATCH(Compilado[[#This Row],[Items]],Check!$C$5:$C$33,0))</f>
        <v>COMBUSTIBLE Y MANTENIMIENTO</v>
      </c>
      <c r="F17" s="69">
        <f>+IFERROR(INDEX(Tabla2[TC],MATCH(Compilado[[#This Row],[Mes]],Tabla2[Mes],0))*Compilado[[#This Row],[USD]],0)</f>
        <v>1348267.5273626978</v>
      </c>
      <c r="G17" s="150">
        <v>45870</v>
      </c>
    </row>
    <row r="18" spans="1:7">
      <c r="A18" t="s">
        <v>339</v>
      </c>
      <c r="B18" t="s">
        <v>92</v>
      </c>
      <c r="C18" s="2">
        <v>1172.7607192700002</v>
      </c>
      <c r="D18" t="s">
        <v>8</v>
      </c>
      <c r="E18" t="str">
        <f>+INDEX(Check!$B$5:$B$33,MATCH(Compilado[[#This Row],[Items]],Check!$C$5:$C$33,0))</f>
        <v>COMBUSTIBLE Y MANTENIMIENTO</v>
      </c>
      <c r="F18" s="69">
        <f>+IFERROR(INDEX(Tabla2[TC],MATCH(Compilado[[#This Row],[Mes]],Tabla2[Mes],0))*Compilado[[#This Row],[USD]],0)</f>
        <v>1375367.7046626883</v>
      </c>
      <c r="G18" s="150">
        <v>45901</v>
      </c>
    </row>
    <row r="19" spans="1:7">
      <c r="A19" t="s">
        <v>339</v>
      </c>
      <c r="B19" t="s">
        <v>93</v>
      </c>
      <c r="C19" s="2">
        <v>1184.4883264626999</v>
      </c>
      <c r="D19" t="s">
        <v>8</v>
      </c>
      <c r="E19" t="str">
        <f>+INDEX(Check!$B$5:$B$33,MATCH(Compilado[[#This Row],[Items]],Check!$C$5:$C$33,0))</f>
        <v>COMBUSTIBLE Y MANTENIMIENTO</v>
      </c>
      <c r="F19" s="69">
        <f>+IFERROR(INDEX(Tabla2[TC],MATCH(Compilado[[#This Row],[Mes]],Tabla2[Mes],0))*Compilado[[#This Row],[USD]],0)</f>
        <v>1403012.5955264077</v>
      </c>
      <c r="G19" s="150">
        <v>45931</v>
      </c>
    </row>
    <row r="20" spans="1:7">
      <c r="A20" t="s">
        <v>339</v>
      </c>
      <c r="B20" t="s">
        <v>94</v>
      </c>
      <c r="C20" s="2">
        <v>1196.3332097273271</v>
      </c>
      <c r="D20" t="s">
        <v>8</v>
      </c>
      <c r="E20" t="str">
        <f>+INDEX(Check!$B$5:$B$33,MATCH(Compilado[[#This Row],[Items]],Check!$C$5:$C$33,0))</f>
        <v>COMBUSTIBLE Y MANTENIMIENTO</v>
      </c>
      <c r="F20" s="69">
        <f>+IFERROR(INDEX(Tabla2[TC],MATCH(Compilado[[#This Row],[Mes]],Tabla2[Mes],0))*Compilado[[#This Row],[USD]],0)</f>
        <v>1431213.1486964889</v>
      </c>
      <c r="G20" s="150">
        <v>45962</v>
      </c>
    </row>
    <row r="21" spans="1:7">
      <c r="A21" t="s">
        <v>339</v>
      </c>
      <c r="B21" t="s">
        <v>95</v>
      </c>
      <c r="C21" s="2">
        <v>1208.2965418246004</v>
      </c>
      <c r="D21" t="s">
        <v>8</v>
      </c>
      <c r="E21" t="str">
        <f>+INDEX(Check!$B$5:$B$33,MATCH(Compilado[[#This Row],[Items]],Check!$C$5:$C$33,0))</f>
        <v>COMBUSTIBLE Y MANTENIMIENTO</v>
      </c>
      <c r="F21" s="69">
        <f>+IFERROR(INDEX(Tabla2[TC],MATCH(Compilado[[#This Row],[Mes]],Tabla2[Mes],0))*Compilado[[#This Row],[USD]],0)</f>
        <v>1459980.5329852882</v>
      </c>
      <c r="G21" s="150">
        <v>45992</v>
      </c>
    </row>
    <row r="22" spans="1:7">
      <c r="A22" t="s">
        <v>339</v>
      </c>
      <c r="B22" t="s">
        <v>96</v>
      </c>
      <c r="C22" s="2">
        <v>1220.3795072428463</v>
      </c>
      <c r="D22" t="s">
        <v>8</v>
      </c>
      <c r="E22" t="str">
        <f>+INDEX(Check!$B$5:$B$33,MATCH(Compilado[[#This Row],[Items]],Check!$C$5:$C$33,0))</f>
        <v>COMBUSTIBLE Y MANTENIMIENTO</v>
      </c>
      <c r="F22" s="69">
        <f>+IFERROR(INDEX(Tabla2[TC],MATCH(Compilado[[#This Row],[Mes]],Tabla2[Mes],0))*Compilado[[#This Row],[USD]],0)</f>
        <v>1489326.1416982925</v>
      </c>
      <c r="G22" s="150">
        <v>46023</v>
      </c>
    </row>
    <row r="23" spans="1:7">
      <c r="A23" t="s">
        <v>339</v>
      </c>
      <c r="B23" t="s">
        <v>97</v>
      </c>
      <c r="C23" s="2">
        <v>1232.5833023152748</v>
      </c>
      <c r="D23" t="s">
        <v>8</v>
      </c>
      <c r="E23" t="str">
        <f>+INDEX(Check!$B$5:$B$33,MATCH(Compilado[[#This Row],[Items]],Check!$C$5:$C$33,0))</f>
        <v>COMBUSTIBLE Y MANTENIMIENTO</v>
      </c>
      <c r="F23" s="69">
        <f>+IFERROR(INDEX(Tabla2[TC],MATCH(Compilado[[#This Row],[Mes]],Tabla2[Mes],0))*Compilado[[#This Row],[USD]],0)</f>
        <v>1519261.597146428</v>
      </c>
      <c r="G23" s="150">
        <v>46054</v>
      </c>
    </row>
    <row r="24" spans="1:7">
      <c r="A24" t="s">
        <v>339</v>
      </c>
      <c r="B24" t="s">
        <v>98</v>
      </c>
      <c r="C24" s="2">
        <v>1244.9091353384274</v>
      </c>
      <c r="D24" t="s">
        <v>8</v>
      </c>
      <c r="E24" t="str">
        <f>+INDEX(Check!$B$5:$B$33,MATCH(Compilado[[#This Row],[Items]],Check!$C$5:$C$33,0))</f>
        <v>COMBUSTIBLE Y MANTENIMIENTO</v>
      </c>
      <c r="F24" s="69">
        <f>+IFERROR(INDEX(Tabla2[TC],MATCH(Compilado[[#This Row],[Mes]],Tabla2[Mes],0))*Compilado[[#This Row],[USD]],0)</f>
        <v>1549798.7552490709</v>
      </c>
      <c r="G24" s="150">
        <v>46082</v>
      </c>
    </row>
    <row r="25" spans="1:7">
      <c r="A25" t="s">
        <v>339</v>
      </c>
      <c r="B25" t="s">
        <v>99</v>
      </c>
      <c r="C25" s="2">
        <v>1257.3582266918118</v>
      </c>
      <c r="D25" t="s">
        <v>8</v>
      </c>
      <c r="E25" t="str">
        <f>+INDEX(Check!$B$5:$B$33,MATCH(Compilado[[#This Row],[Items]],Check!$C$5:$C$33,0))</f>
        <v>COMBUSTIBLE Y MANTENIMIENTO</v>
      </c>
      <c r="F25" s="69">
        <f>+IFERROR(INDEX(Tabla2[TC],MATCH(Compilado[[#This Row],[Mes]],Tabla2[Mes],0))*Compilado[[#This Row],[USD]],0)</f>
        <v>1580949.7102295775</v>
      </c>
      <c r="G25" s="150">
        <v>46113</v>
      </c>
    </row>
    <row r="26" spans="1:7">
      <c r="A26" t="s">
        <v>334</v>
      </c>
      <c r="B26" t="s">
        <v>88</v>
      </c>
      <c r="C26" s="2">
        <v>2837.7217527657804</v>
      </c>
      <c r="D26" t="s">
        <v>12</v>
      </c>
      <c r="E26" t="str">
        <f>+INDEX(Check!$B$5:$B$33,MATCH(Compilado[[#This Row],[Items]],Check!$C$5:$C$33,0))</f>
        <v>PERSONAL FINCA</v>
      </c>
      <c r="F26" s="69">
        <f>+IFERROR(INDEX(Tabla2[TC],MATCH(Compilado[[#This Row],[Mes]],Tabla2[Mes],0))*Compilado[[#This Row],[USD]],0)</f>
        <v>3198112.4153670343</v>
      </c>
      <c r="G26" s="150">
        <v>45778</v>
      </c>
    </row>
    <row r="27" spans="1:7">
      <c r="A27" t="s">
        <v>334</v>
      </c>
      <c r="B27" t="s">
        <v>89</v>
      </c>
      <c r="C27" s="2">
        <v>4625.1426358417584</v>
      </c>
      <c r="D27" t="s">
        <v>12</v>
      </c>
      <c r="E27" t="str">
        <f>+INDEX(Check!$B$5:$B$33,MATCH(Compilado[[#This Row],[Items]],Check!$C$5:$C$33,0))</f>
        <v>PERSONAL FINCA</v>
      </c>
      <c r="F27" s="69">
        <f>+IFERROR(INDEX(Tabla2[TC],MATCH(Compilado[[#This Row],[Mes]],Tabla2[Mes],0))*Compilado[[#This Row],[USD]],0)</f>
        <v>5264661.1080995984</v>
      </c>
      <c r="G27" s="150">
        <v>45809</v>
      </c>
    </row>
    <row r="28" spans="1:7">
      <c r="A28" t="s">
        <v>334</v>
      </c>
      <c r="B28" t="s">
        <v>90</v>
      </c>
      <c r="C28" s="2">
        <v>3802.7777375880569</v>
      </c>
      <c r="D28" t="s">
        <v>12</v>
      </c>
      <c r="E28" t="str">
        <f>+INDEX(Check!$B$5:$B$33,MATCH(Compilado[[#This Row],[Items]],Check!$C$5:$C$33,0))</f>
        <v>PERSONAL FINCA</v>
      </c>
      <c r="F28" s="69">
        <f>+IFERROR(INDEX(Tabla2[TC],MATCH(Compilado[[#This Row],[Mes]],Tabla2[Mes],0))*Compilado[[#This Row],[USD]],0)</f>
        <v>4371873.6935180016</v>
      </c>
      <c r="G28" s="150">
        <v>45839</v>
      </c>
    </row>
    <row r="29" spans="1:7">
      <c r="A29" t="s">
        <v>334</v>
      </c>
      <c r="B29" t="s">
        <v>91</v>
      </c>
      <c r="C29" s="2">
        <v>4577.0280006001649</v>
      </c>
      <c r="D29" t="s">
        <v>12</v>
      </c>
      <c r="E29" t="str">
        <f>+INDEX(Check!$B$5:$B$33,MATCH(Compilado[[#This Row],[Items]],Check!$C$5:$C$33,0))</f>
        <v>PERSONAL FINCA</v>
      </c>
      <c r="F29" s="69">
        <f>+IFERROR(INDEX(Tabla2[TC],MATCH(Compilado[[#This Row],[Mes]],Tabla2[Mes],0))*Compilado[[#This Row],[USD]],0)</f>
        <v>5314612.5248542372</v>
      </c>
      <c r="G29" s="150">
        <v>45870</v>
      </c>
    </row>
    <row r="30" spans="1:7">
      <c r="A30" t="s">
        <v>334</v>
      </c>
      <c r="B30" t="s">
        <v>92</v>
      </c>
      <c r="C30" s="2">
        <v>1210.4122753542283</v>
      </c>
      <c r="D30" t="s">
        <v>12</v>
      </c>
      <c r="E30" t="str">
        <f>+INDEX(Check!$B$5:$B$33,MATCH(Compilado[[#This Row],[Items]],Check!$C$5:$C$33,0))</f>
        <v>PERSONAL FINCA</v>
      </c>
      <c r="F30" s="69">
        <f>+IFERROR(INDEX(Tabla2[TC],MATCH(Compilado[[#This Row],[Mes]],Tabla2[Mes],0))*Compilado[[#This Row],[USD]],0)</f>
        <v>1419523.9706576623</v>
      </c>
      <c r="G30" s="150">
        <v>45901</v>
      </c>
    </row>
    <row r="31" spans="1:7">
      <c r="A31" t="s">
        <v>334</v>
      </c>
      <c r="B31" t="s">
        <v>93</v>
      </c>
      <c r="C31" s="2">
        <v>4189.9486526567061</v>
      </c>
      <c r="D31" t="s">
        <v>12</v>
      </c>
      <c r="E31" t="str">
        <f>+INDEX(Check!$B$5:$B$33,MATCH(Compilado[[#This Row],[Items]],Check!$C$5:$C$33,0))</f>
        <v>PERSONAL FINCA</v>
      </c>
      <c r="F31" s="69">
        <f>+IFERROR(INDEX(Tabla2[TC],MATCH(Compilado[[#This Row],[Mes]],Tabla2[Mes],0))*Compilado[[#This Row],[USD]],0)</f>
        <v>4962945.267549987</v>
      </c>
      <c r="G31" s="150">
        <v>45931</v>
      </c>
    </row>
    <row r="32" spans="1:7">
      <c r="A32" t="s">
        <v>334</v>
      </c>
      <c r="B32" t="s">
        <v>94</v>
      </c>
      <c r="C32" s="2">
        <v>6209.1928450665328</v>
      </c>
      <c r="D32" t="s">
        <v>12</v>
      </c>
      <c r="E32" t="str">
        <f>+INDEX(Check!$B$5:$B$33,MATCH(Compilado[[#This Row],[Items]],Check!$C$5:$C$33,0))</f>
        <v>PERSONAL FINCA</v>
      </c>
      <c r="F32" s="69">
        <f>+IFERROR(INDEX(Tabla2[TC],MATCH(Compilado[[#This Row],[Mes]],Tabla2[Mes],0))*Compilado[[#This Row],[USD]],0)</f>
        <v>7428263.606154399</v>
      </c>
      <c r="G32" s="150">
        <v>45962</v>
      </c>
    </row>
    <row r="33" spans="1:7">
      <c r="A33" t="s">
        <v>334</v>
      </c>
      <c r="B33" t="s">
        <v>95</v>
      </c>
      <c r="C33" s="2">
        <v>4774.5487607920977</v>
      </c>
      <c r="D33" t="s">
        <v>12</v>
      </c>
      <c r="E33" t="str">
        <f>+INDEX(Check!$B$5:$B$33,MATCH(Compilado[[#This Row],[Items]],Check!$C$5:$C$33,0))</f>
        <v>PERSONAL FINCA</v>
      </c>
      <c r="F33" s="69">
        <f>+IFERROR(INDEX(Tabla2[TC],MATCH(Compilado[[#This Row],[Mes]],Tabla2[Mes],0))*Compilado[[#This Row],[USD]],0)</f>
        <v>5769070.7564380225</v>
      </c>
      <c r="G33" s="150">
        <v>45992</v>
      </c>
    </row>
    <row r="34" spans="1:7">
      <c r="A34" t="s">
        <v>334</v>
      </c>
      <c r="B34" t="s">
        <v>96</v>
      </c>
      <c r="C34" s="2">
        <v>772.93901179744739</v>
      </c>
      <c r="D34" t="s">
        <v>12</v>
      </c>
      <c r="E34" t="str">
        <f>+INDEX(Check!$B$5:$B$33,MATCH(Compilado[[#This Row],[Items]],Check!$C$5:$C$33,0))</f>
        <v>PERSONAL FINCA</v>
      </c>
      <c r="F34" s="69">
        <f>+IFERROR(INDEX(Tabla2[TC],MATCH(Compilado[[#This Row],[Mes]],Tabla2[Mes],0))*Compilado[[#This Row],[USD]],0)</f>
        <v>943278.93034614145</v>
      </c>
      <c r="G34" s="150">
        <v>46023</v>
      </c>
    </row>
    <row r="35" spans="1:7">
      <c r="A35" t="s">
        <v>334</v>
      </c>
      <c r="B35" t="s">
        <v>97</v>
      </c>
      <c r="C35" s="2">
        <v>3512.8238979494954</v>
      </c>
      <c r="D35" t="s">
        <v>12</v>
      </c>
      <c r="E35" t="str">
        <f>+INDEX(Check!$B$5:$B$33,MATCH(Compilado[[#This Row],[Items]],Check!$C$5:$C$33,0))</f>
        <v>PERSONAL FINCA</v>
      </c>
      <c r="F35" s="69">
        <f>+IFERROR(INDEX(Tabla2[TC],MATCH(Compilado[[#This Row],[Mes]],Tabla2[Mes],0))*Compilado[[#This Row],[USD]],0)</f>
        <v>4329848.0805866048</v>
      </c>
      <c r="G35" s="150">
        <v>46054</v>
      </c>
    </row>
    <row r="36" spans="1:7">
      <c r="A36" t="s">
        <v>334</v>
      </c>
      <c r="B36" t="s">
        <v>98</v>
      </c>
      <c r="C36" s="2">
        <v>3662.0176055248858</v>
      </c>
      <c r="D36" t="s">
        <v>12</v>
      </c>
      <c r="E36" t="str">
        <f>+INDEX(Check!$B$5:$B$33,MATCH(Compilado[[#This Row],[Items]],Check!$C$5:$C$33,0))</f>
        <v>PERSONAL FINCA</v>
      </c>
      <c r="F36" s="69">
        <f>+IFERROR(INDEX(Tabla2[TC],MATCH(Compilado[[#This Row],[Mes]],Tabla2[Mes],0))*Compilado[[#This Row],[USD]],0)</f>
        <v>4558879.170888084</v>
      </c>
      <c r="G36" s="150">
        <v>46082</v>
      </c>
    </row>
    <row r="37" spans="1:7">
      <c r="A37" t="s">
        <v>334</v>
      </c>
      <c r="B37" t="s">
        <v>99</v>
      </c>
      <c r="C37" s="2">
        <v>433.97841109027161</v>
      </c>
      <c r="D37" t="s">
        <v>12</v>
      </c>
      <c r="E37" t="str">
        <f>+INDEX(Check!$B$5:$B$33,MATCH(Compilado[[#This Row],[Items]],Check!$C$5:$C$33,0))</f>
        <v>PERSONAL FINCA</v>
      </c>
      <c r="F37" s="69">
        <f>+IFERROR(INDEX(Tabla2[TC],MATCH(Compilado[[#This Row],[Mes]],Tabla2[Mes],0))*Compilado[[#This Row],[USD]],0)</f>
        <v>545666.32539099397</v>
      </c>
      <c r="G37" s="150">
        <v>46113</v>
      </c>
    </row>
    <row r="38" spans="1:7">
      <c r="A38" t="s">
        <v>339</v>
      </c>
      <c r="B38" t="s">
        <v>88</v>
      </c>
      <c r="C38" s="2">
        <v>76.302567817958135</v>
      </c>
      <c r="D38" t="s">
        <v>12</v>
      </c>
      <c r="E38" t="str">
        <f>+INDEX(Check!$B$5:$B$33,MATCH(Compilado[[#This Row],[Items]],Check!$C$5:$C$33,0))</f>
        <v>COMBUSTIBLE Y MANTENIMIENTO</v>
      </c>
      <c r="F38" s="69">
        <f>+IFERROR(INDEX(Tabla2[TC],MATCH(Compilado[[#This Row],[Mes]],Tabla2[Mes],0))*Compilado[[#This Row],[USD]],0)</f>
        <v>85992.993930838813</v>
      </c>
      <c r="G38" s="150">
        <v>45778</v>
      </c>
    </row>
    <row r="39" spans="1:7">
      <c r="A39" t="s">
        <v>339</v>
      </c>
      <c r="B39" t="s">
        <v>89</v>
      </c>
      <c r="C39" s="2">
        <v>73.474579755821367</v>
      </c>
      <c r="D39" t="s">
        <v>12</v>
      </c>
      <c r="E39" t="str">
        <f>+INDEX(Check!$B$5:$B$33,MATCH(Compilado[[#This Row],[Items]],Check!$C$5:$C$33,0))</f>
        <v>COMBUSTIBLE Y MANTENIMIENTO</v>
      </c>
      <c r="F39" s="69">
        <f>+IFERROR(INDEX(Tabla2[TC],MATCH(Compilado[[#This Row],[Mes]],Tabla2[Mes],0))*Compilado[[#This Row],[USD]],0)</f>
        <v>83633.909898658792</v>
      </c>
      <c r="G39" s="150">
        <v>45809</v>
      </c>
    </row>
    <row r="40" spans="1:7">
      <c r="A40" t="s">
        <v>339</v>
      </c>
      <c r="B40" t="s">
        <v>90</v>
      </c>
      <c r="C40" s="2">
        <v>55.962477052930275</v>
      </c>
      <c r="D40" t="s">
        <v>12</v>
      </c>
      <c r="E40" t="str">
        <f>+INDEX(Check!$B$5:$B$33,MATCH(Compilado[[#This Row],[Items]],Check!$C$5:$C$33,0))</f>
        <v>COMBUSTIBLE Y MANTENIMIENTO</v>
      </c>
      <c r="F40" s="69">
        <f>+IFERROR(INDEX(Tabla2[TC],MATCH(Compilado[[#This Row],[Mes]],Tabla2[Mes],0))*Compilado[[#This Row],[USD]],0)</f>
        <v>64337.412842589336</v>
      </c>
      <c r="G40" s="150">
        <v>45839</v>
      </c>
    </row>
    <row r="41" spans="1:7">
      <c r="A41" t="s">
        <v>339</v>
      </c>
      <c r="B41" t="s">
        <v>91</v>
      </c>
      <c r="C41" s="2">
        <v>339.191834259568</v>
      </c>
      <c r="D41" t="s">
        <v>12</v>
      </c>
      <c r="E41" t="str">
        <f>+INDEX(Check!$B$5:$B$33,MATCH(Compilado[[#This Row],[Items]],Check!$C$5:$C$33,0))</f>
        <v>COMBUSTIBLE Y MANTENIMIENTO</v>
      </c>
      <c r="F41" s="69">
        <f>+IFERROR(INDEX(Tabla2[TC],MATCH(Compilado[[#This Row],[Mes]],Tabla2[Mes],0))*Compilado[[#This Row],[USD]],0)</f>
        <v>393852.33615520952</v>
      </c>
      <c r="G41" s="150">
        <v>45870</v>
      </c>
    </row>
    <row r="42" spans="1:7">
      <c r="A42" t="s">
        <v>339</v>
      </c>
      <c r="B42" t="s">
        <v>92</v>
      </c>
      <c r="C42" s="2">
        <v>458.35813631386623</v>
      </c>
      <c r="D42" t="s">
        <v>12</v>
      </c>
      <c r="E42" t="str">
        <f>+INDEX(Check!$B$5:$B$33,MATCH(Compilado[[#This Row],[Items]],Check!$C$5:$C$33,0))</f>
        <v>COMBUSTIBLE Y MANTENIMIENTO</v>
      </c>
      <c r="F42" s="69">
        <f>+IFERROR(INDEX(Tabla2[TC],MATCH(Compilado[[#This Row],[Mes]],Tabla2[Mes],0))*Compilado[[#This Row],[USD]],0)</f>
        <v>537544.41762670653</v>
      </c>
      <c r="G42" s="150">
        <v>45901</v>
      </c>
    </row>
    <row r="43" spans="1:7">
      <c r="A43" t="s">
        <v>339</v>
      </c>
      <c r="B43" t="s">
        <v>93</v>
      </c>
      <c r="C43" s="2">
        <v>399.49461994460506</v>
      </c>
      <c r="D43" t="s">
        <v>12</v>
      </c>
      <c r="E43" t="str">
        <f>+INDEX(Check!$B$5:$B$33,MATCH(Compilado[[#This Row],[Items]],Check!$C$5:$C$33,0))</f>
        <v>COMBUSTIBLE Y MANTENIMIENTO</v>
      </c>
      <c r="F43" s="69">
        <f>+IFERROR(INDEX(Tabla2[TC],MATCH(Compilado[[#This Row],[Mes]],Tabla2[Mes],0))*Compilado[[#This Row],[USD]],0)</f>
        <v>473196.7138090377</v>
      </c>
      <c r="G43" s="150">
        <v>45931</v>
      </c>
    </row>
    <row r="44" spans="1:7">
      <c r="A44" t="s">
        <v>339</v>
      </c>
      <c r="B44" t="s">
        <v>94</v>
      </c>
      <c r="C44" s="2">
        <v>440.80657411585611</v>
      </c>
      <c r="D44" t="s">
        <v>12</v>
      </c>
      <c r="E44" t="str">
        <f>+INDEX(Check!$B$5:$B$33,MATCH(Compilado[[#This Row],[Items]],Check!$C$5:$C$33,0))</f>
        <v>COMBUSTIBLE Y MANTENIMIENTO</v>
      </c>
      <c r="F44" s="69">
        <f>+IFERROR(INDEX(Tabla2[TC],MATCH(Compilado[[#This Row],[Mes]],Tabla2[Mes],0))*Compilado[[#This Row],[USD]],0)</f>
        <v>527351.54368092911</v>
      </c>
      <c r="G44" s="150">
        <v>45962</v>
      </c>
    </row>
    <row r="45" spans="1:7">
      <c r="A45" t="s">
        <v>339</v>
      </c>
      <c r="B45" t="s">
        <v>95</v>
      </c>
      <c r="C45" s="2">
        <v>145.93230839661973</v>
      </c>
      <c r="D45" t="s">
        <v>12</v>
      </c>
      <c r="E45" t="str">
        <f>+INDEX(Check!$B$5:$B$33,MATCH(Compilado[[#This Row],[Items]],Check!$C$5:$C$33,0))</f>
        <v>COMBUSTIBLE Y MANTENIMIENTO</v>
      </c>
      <c r="F45" s="69">
        <f>+IFERROR(INDEX(Tabla2[TC],MATCH(Compilado[[#This Row],[Mes]],Tabla2[Mes],0))*Compilado[[#This Row],[USD]],0)</f>
        <v>176329.50357611672</v>
      </c>
      <c r="G45" s="150">
        <v>45992</v>
      </c>
    </row>
    <row r="46" spans="1:7">
      <c r="A46" t="s">
        <v>339</v>
      </c>
      <c r="B46" t="s">
        <v>96</v>
      </c>
      <c r="C46" s="2">
        <v>120.28680771427398</v>
      </c>
      <c r="D46" t="s">
        <v>12</v>
      </c>
      <c r="E46" t="str">
        <f>+INDEX(Check!$B$5:$B$33,MATCH(Compilado[[#This Row],[Items]],Check!$C$5:$C$33,0))</f>
        <v>COMBUSTIBLE Y MANTENIMIENTO</v>
      </c>
      <c r="F46" s="69">
        <f>+IFERROR(INDEX(Tabla2[TC],MATCH(Compilado[[#This Row],[Mes]],Tabla2[Mes],0))*Compilado[[#This Row],[USD]],0)</f>
        <v>146795.55512616067</v>
      </c>
      <c r="G46" s="150">
        <v>46023</v>
      </c>
    </row>
    <row r="47" spans="1:7">
      <c r="A47" t="s">
        <v>339</v>
      </c>
      <c r="B47" t="s">
        <v>97</v>
      </c>
      <c r="C47" s="2">
        <v>584.5185212375568</v>
      </c>
      <c r="D47" t="s">
        <v>12</v>
      </c>
      <c r="E47" t="str">
        <f>+INDEX(Check!$B$5:$B$33,MATCH(Compilado[[#This Row],[Items]],Check!$C$5:$C$33,0))</f>
        <v>COMBUSTIBLE Y MANTENIMIENTO</v>
      </c>
      <c r="F47" s="69">
        <f>+IFERROR(INDEX(Tabla2[TC],MATCH(Compilado[[#This Row],[Mes]],Tabla2[Mes],0))*Compilado[[#This Row],[USD]],0)</f>
        <v>720467.76917142887</v>
      </c>
      <c r="G47" s="150">
        <v>46054</v>
      </c>
    </row>
    <row r="48" spans="1:7">
      <c r="A48" t="s">
        <v>339</v>
      </c>
      <c r="B48" t="s">
        <v>98</v>
      </c>
      <c r="C48" s="2">
        <v>196.9634235757772</v>
      </c>
      <c r="D48" t="s">
        <v>12</v>
      </c>
      <c r="E48" t="str">
        <f>+INDEX(Check!$B$5:$B$33,MATCH(Compilado[[#This Row],[Items]],Check!$C$5:$C$33,0))</f>
        <v>COMBUSTIBLE Y MANTENIMIENTO</v>
      </c>
      <c r="F48" s="69">
        <f>+IFERROR(INDEX(Tabla2[TC],MATCH(Compilado[[#This Row],[Mes]],Tabla2[Mes],0))*Compilado[[#This Row],[USD]],0)</f>
        <v>245201.56533701721</v>
      </c>
      <c r="G48" s="150">
        <v>46082</v>
      </c>
    </row>
    <row r="49" spans="1:7">
      <c r="A49" t="s">
        <v>339</v>
      </c>
      <c r="B49" t="s">
        <v>99</v>
      </c>
      <c r="C49" s="2">
        <v>115.47893485938263</v>
      </c>
      <c r="D49" t="s">
        <v>12</v>
      </c>
      <c r="E49" t="str">
        <f>+INDEX(Check!$B$5:$B$33,MATCH(Compilado[[#This Row],[Items]],Check!$C$5:$C$33,0))</f>
        <v>COMBUSTIBLE Y MANTENIMIENTO</v>
      </c>
      <c r="F49" s="69">
        <f>+IFERROR(INDEX(Tabla2[TC],MATCH(Compilado[[#This Row],[Mes]],Tabla2[Mes],0))*Compilado[[#This Row],[USD]],0)</f>
        <v>145198.38875505258</v>
      </c>
      <c r="G49" s="150">
        <v>46113</v>
      </c>
    </row>
    <row r="50" spans="1:7">
      <c r="A50" t="s">
        <v>334</v>
      </c>
      <c r="B50" t="s">
        <v>88</v>
      </c>
      <c r="C50" s="2">
        <v>2621.7962228210909</v>
      </c>
      <c r="D50" t="s">
        <v>4</v>
      </c>
      <c r="E50" t="str">
        <f>+INDEX(Check!$B$5:$B$33,MATCH(Compilado[[#This Row],[Items]],Check!$C$5:$C$33,0))</f>
        <v>PERSONAL FINCA</v>
      </c>
      <c r="F50" s="69">
        <f>+IFERROR(INDEX(Tabla2[TC],MATCH(Compilado[[#This Row],[Mes]],Tabla2[Mes],0))*Compilado[[#This Row],[USD]],0)</f>
        <v>2954764.3431193694</v>
      </c>
      <c r="G50" s="150">
        <v>45778</v>
      </c>
    </row>
    <row r="51" spans="1:7">
      <c r="A51" t="s">
        <v>334</v>
      </c>
      <c r="B51" t="s">
        <v>89</v>
      </c>
      <c r="C51" s="2">
        <v>2941.6714042450376</v>
      </c>
      <c r="D51" t="s">
        <v>4</v>
      </c>
      <c r="E51" t="str">
        <f>+INDEX(Check!$B$5:$B$33,MATCH(Compilado[[#This Row],[Items]],Check!$C$5:$C$33,0))</f>
        <v>PERSONAL FINCA</v>
      </c>
      <c r="F51" s="69">
        <f>+IFERROR(INDEX(Tabla2[TC],MATCH(Compilado[[#This Row],[Mes]],Tabla2[Mes],0))*Compilado[[#This Row],[USD]],0)</f>
        <v>3348416.309309999</v>
      </c>
      <c r="G51" s="150">
        <v>45809</v>
      </c>
    </row>
    <row r="52" spans="1:7">
      <c r="A52" t="s">
        <v>334</v>
      </c>
      <c r="B52" t="s">
        <v>90</v>
      </c>
      <c r="C52" s="2">
        <v>2762.1808658266077</v>
      </c>
      <c r="D52" t="s">
        <v>4</v>
      </c>
      <c r="E52" t="str">
        <f>+INDEX(Check!$B$5:$B$33,MATCH(Compilado[[#This Row],[Items]],Check!$C$5:$C$33,0))</f>
        <v>PERSONAL FINCA</v>
      </c>
      <c r="F52" s="69">
        <f>+IFERROR(INDEX(Tabla2[TC],MATCH(Compilado[[#This Row],[Mes]],Tabla2[Mes],0))*Compilado[[#This Row],[USD]],0)</f>
        <v>3175548.6902858973</v>
      </c>
      <c r="G52" s="150">
        <v>45839</v>
      </c>
    </row>
    <row r="53" spans="1:7">
      <c r="A53" t="s">
        <v>334</v>
      </c>
      <c r="B53" t="s">
        <v>91</v>
      </c>
      <c r="C53" s="2">
        <v>4135.9622526684125</v>
      </c>
      <c r="D53" t="s">
        <v>4</v>
      </c>
      <c r="E53" t="str">
        <f>+INDEX(Check!$B$5:$B$33,MATCH(Compilado[[#This Row],[Items]],Check!$C$5:$C$33,0))</f>
        <v>PERSONAL FINCA</v>
      </c>
      <c r="F53" s="69">
        <f>+IFERROR(INDEX(Tabla2[TC],MATCH(Compilado[[#This Row],[Mes]],Tabla2[Mes],0))*Compilado[[#This Row],[USD]],0)</f>
        <v>4802469.3725871062</v>
      </c>
      <c r="G53" s="150">
        <v>45870</v>
      </c>
    </row>
    <row r="54" spans="1:7">
      <c r="A54" t="s">
        <v>334</v>
      </c>
      <c r="B54" t="s">
        <v>92</v>
      </c>
      <c r="C54" s="2">
        <v>646.1945750987968</v>
      </c>
      <c r="D54" t="s">
        <v>4</v>
      </c>
      <c r="E54" t="str">
        <f>+INDEX(Check!$B$5:$B$33,MATCH(Compilado[[#This Row],[Items]],Check!$C$5:$C$33,0))</f>
        <v>PERSONAL FINCA</v>
      </c>
      <c r="F54" s="69">
        <f>+IFERROR(INDEX(Tabla2[TC],MATCH(Compilado[[#This Row],[Mes]],Tabla2[Mes],0))*Compilado[[#This Row],[USD]],0)</f>
        <v>757831.61468123714</v>
      </c>
      <c r="G54" s="150">
        <v>45901</v>
      </c>
    </row>
    <row r="55" spans="1:7">
      <c r="A55" t="s">
        <v>334</v>
      </c>
      <c r="B55" t="s">
        <v>93</v>
      </c>
      <c r="C55" s="2">
        <v>4951.2245746736726</v>
      </c>
      <c r="D55" t="s">
        <v>4</v>
      </c>
      <c r="E55" t="str">
        <f>+INDEX(Check!$B$5:$B$33,MATCH(Compilado[[#This Row],[Items]],Check!$C$5:$C$33,0))</f>
        <v>PERSONAL FINCA</v>
      </c>
      <c r="F55" s="69">
        <f>+IFERROR(INDEX(Tabla2[TC],MATCH(Compilado[[#This Row],[Mes]],Tabla2[Mes],0))*Compilado[[#This Row],[USD]],0)</f>
        <v>5864667.7103962125</v>
      </c>
      <c r="G55" s="150">
        <v>45931</v>
      </c>
    </row>
    <row r="56" spans="1:7">
      <c r="A56" t="s">
        <v>334</v>
      </c>
      <c r="B56" t="s">
        <v>94</v>
      </c>
      <c r="C56" s="2">
        <v>2984.0683723515431</v>
      </c>
      <c r="D56" t="s">
        <v>4</v>
      </c>
      <c r="E56" t="str">
        <f>+INDEX(Check!$B$5:$B$33,MATCH(Compilado[[#This Row],[Items]],Check!$C$5:$C$33,0))</f>
        <v>PERSONAL FINCA</v>
      </c>
      <c r="F56" s="69">
        <f>+IFERROR(INDEX(Tabla2[TC],MATCH(Compilado[[#This Row],[Mes]],Tabla2[Mes],0))*Compilado[[#This Row],[USD]],0)</f>
        <v>3569940.0939411223</v>
      </c>
      <c r="G56" s="150">
        <v>45962</v>
      </c>
    </row>
    <row r="57" spans="1:7">
      <c r="A57" t="s">
        <v>334</v>
      </c>
      <c r="B57" t="s">
        <v>95</v>
      </c>
      <c r="C57" s="2">
        <v>2994.587335219283</v>
      </c>
      <c r="D57" t="s">
        <v>4</v>
      </c>
      <c r="E57" t="str">
        <f>+INDEX(Check!$B$5:$B$33,MATCH(Compilado[[#This Row],[Items]],Check!$C$5:$C$33,0))</f>
        <v>PERSONAL FINCA</v>
      </c>
      <c r="F57" s="69">
        <f>+IFERROR(INDEX(Tabla2[TC],MATCH(Compilado[[#This Row],[Mes]],Tabla2[Mes],0))*Compilado[[#This Row],[USD]],0)</f>
        <v>3618349.5213372051</v>
      </c>
      <c r="G57" s="150">
        <v>45992</v>
      </c>
    </row>
    <row r="58" spans="1:7">
      <c r="A58" t="s">
        <v>334</v>
      </c>
      <c r="B58" t="s">
        <v>96</v>
      </c>
      <c r="C58" s="2">
        <v>394.61821531168249</v>
      </c>
      <c r="D58" t="s">
        <v>4</v>
      </c>
      <c r="E58" t="str">
        <f>+INDEX(Check!$B$5:$B$33,MATCH(Compilado[[#This Row],[Items]],Check!$C$5:$C$33,0))</f>
        <v>PERSONAL FINCA</v>
      </c>
      <c r="F58" s="69">
        <f>+IFERROR(INDEX(Tabla2[TC],MATCH(Compilado[[#This Row],[Mes]],Tabla2[Mes],0))*Compilado[[#This Row],[USD]],0)</f>
        <v>481583.98315112252</v>
      </c>
      <c r="G58" s="150">
        <v>46023</v>
      </c>
    </row>
    <row r="59" spans="1:7">
      <c r="A59" t="s">
        <v>334</v>
      </c>
      <c r="B59" t="s">
        <v>97</v>
      </c>
      <c r="C59" s="2">
        <v>1555.658647686407</v>
      </c>
      <c r="D59" t="s">
        <v>4</v>
      </c>
      <c r="E59" t="str">
        <f>+INDEX(Check!$B$5:$B$33,MATCH(Compilado[[#This Row],[Items]],Check!$C$5:$C$33,0))</f>
        <v>PERSONAL FINCA</v>
      </c>
      <c r="F59" s="69">
        <f>+IFERROR(INDEX(Tabla2[TC],MATCH(Compilado[[#This Row],[Mes]],Tabla2[Mes],0))*Compilado[[#This Row],[USD]],0)</f>
        <v>1917478.8732406262</v>
      </c>
      <c r="G59" s="150">
        <v>46054</v>
      </c>
    </row>
    <row r="60" spans="1:7">
      <c r="A60" t="s">
        <v>334</v>
      </c>
      <c r="B60" t="s">
        <v>98</v>
      </c>
      <c r="C60" s="2">
        <v>2026.3185428455213</v>
      </c>
      <c r="D60" t="s">
        <v>4</v>
      </c>
      <c r="E60" t="str">
        <f>+INDEX(Check!$B$5:$B$33,MATCH(Compilado[[#This Row],[Items]],Check!$C$5:$C$33,0))</f>
        <v>PERSONAL FINCA</v>
      </c>
      <c r="F60" s="69">
        <f>+IFERROR(INDEX(Tabla2[TC],MATCH(Compilado[[#This Row],[Mes]],Tabla2[Mes],0))*Compilado[[#This Row],[USD]],0)</f>
        <v>2522582.4650940401</v>
      </c>
      <c r="G60" s="150">
        <v>46082</v>
      </c>
    </row>
    <row r="61" spans="1:7">
      <c r="A61" t="s">
        <v>334</v>
      </c>
      <c r="B61" t="s">
        <v>99</v>
      </c>
      <c r="C61" s="2">
        <v>561.08574110272116</v>
      </c>
      <c r="D61" t="s">
        <v>4</v>
      </c>
      <c r="E61" t="str">
        <f>+INDEX(Check!$B$5:$B$33,MATCH(Compilado[[#This Row],[Items]],Check!$C$5:$C$33,0))</f>
        <v>PERSONAL FINCA</v>
      </c>
      <c r="F61" s="69">
        <f>+IFERROR(INDEX(Tabla2[TC],MATCH(Compilado[[#This Row],[Mes]],Tabla2[Mes],0))*Compilado[[#This Row],[USD]],0)</f>
        <v>705485.77245497843</v>
      </c>
      <c r="G61" s="150">
        <v>46113</v>
      </c>
    </row>
    <row r="62" spans="1:7">
      <c r="A62" t="s">
        <v>339</v>
      </c>
      <c r="B62" t="s">
        <v>88</v>
      </c>
      <c r="C62" s="2">
        <v>39.883577774227199</v>
      </c>
      <c r="D62" t="s">
        <v>4</v>
      </c>
      <c r="E62" t="str">
        <f>+INDEX(Check!$B$5:$B$33,MATCH(Compilado[[#This Row],[Items]],Check!$C$5:$C$33,0))</f>
        <v>COMBUSTIBLE Y MANTENIMIENTO</v>
      </c>
      <c r="F62" s="69">
        <f>+IFERROR(INDEX(Tabla2[TC],MATCH(Compilado[[#This Row],[Mes]],Tabla2[Mes],0))*Compilado[[#This Row],[USD]],0)</f>
        <v>44948.792151554051</v>
      </c>
      <c r="G62" s="150">
        <v>45778</v>
      </c>
    </row>
    <row r="63" spans="1:7">
      <c r="A63" t="s">
        <v>339</v>
      </c>
      <c r="B63" t="s">
        <v>89</v>
      </c>
      <c r="C63" s="2">
        <v>39.1242967232117</v>
      </c>
      <c r="D63" t="s">
        <v>4</v>
      </c>
      <c r="E63" t="str">
        <f>+INDEX(Check!$B$5:$B$33,MATCH(Compilado[[#This Row],[Items]],Check!$C$5:$C$33,0))</f>
        <v>COMBUSTIBLE Y MANTENIMIENTO</v>
      </c>
      <c r="F63" s="69">
        <f>+IFERROR(INDEX(Tabla2[TC],MATCH(Compilado[[#This Row],[Mes]],Tabla2[Mes],0))*Compilado[[#This Row],[USD]],0)</f>
        <v>44534.013231130179</v>
      </c>
      <c r="G63" s="150">
        <v>45809</v>
      </c>
    </row>
    <row r="64" spans="1:7">
      <c r="A64" t="s">
        <v>339</v>
      </c>
      <c r="B64" t="s">
        <v>90</v>
      </c>
      <c r="C64" s="2">
        <v>34.422506102604956</v>
      </c>
      <c r="D64" t="s">
        <v>4</v>
      </c>
      <c r="E64" t="str">
        <f>+INDEX(Check!$B$5:$B$33,MATCH(Compilado[[#This Row],[Items]],Check!$C$5:$C$33,0))</f>
        <v>COMBUSTIBLE Y MANTENIMIENTO</v>
      </c>
      <c r="F64" s="69">
        <f>+IFERROR(INDEX(Tabla2[TC],MATCH(Compilado[[#This Row],[Mes]],Tabla2[Mes],0))*Compilado[[#This Row],[USD]],0)</f>
        <v>39573.927081626265</v>
      </c>
      <c r="G64" s="150">
        <v>45839</v>
      </c>
    </row>
    <row r="65" spans="1:7">
      <c r="A65" t="s">
        <v>339</v>
      </c>
      <c r="B65" t="s">
        <v>91</v>
      </c>
      <c r="C65" s="2">
        <v>258.16990080578177</v>
      </c>
      <c r="D65" t="s">
        <v>4</v>
      </c>
      <c r="E65" t="str">
        <f>+INDEX(Check!$B$5:$B$33,MATCH(Compilado[[#This Row],[Items]],Check!$C$5:$C$33,0))</f>
        <v>COMBUSTIBLE Y MANTENIMIENTO</v>
      </c>
      <c r="F65" s="69">
        <f>+IFERROR(INDEX(Tabla2[TC],MATCH(Compilado[[#This Row],[Mes]],Tabla2[Mes],0))*Compilado[[#This Row],[USD]],0)</f>
        <v>299773.78075530019</v>
      </c>
      <c r="G65" s="150">
        <v>45870</v>
      </c>
    </row>
    <row r="66" spans="1:7">
      <c r="A66" t="s">
        <v>339</v>
      </c>
      <c r="B66" t="s">
        <v>92</v>
      </c>
      <c r="C66" s="2">
        <v>305.87933411669889</v>
      </c>
      <c r="D66" t="s">
        <v>4</v>
      </c>
      <c r="E66" t="str">
        <f>+INDEX(Check!$B$5:$B$33,MATCH(Compilado[[#This Row],[Items]],Check!$C$5:$C$33,0))</f>
        <v>COMBUSTIBLE Y MANTENIMIENTO</v>
      </c>
      <c r="F66" s="69">
        <f>+IFERROR(INDEX(Tabla2[TC],MATCH(Compilado[[#This Row],[Mes]],Tabla2[Mes],0))*Compilado[[#This Row],[USD]],0)</f>
        <v>358723.26788852853</v>
      </c>
      <c r="G66" s="150">
        <v>45901</v>
      </c>
    </row>
    <row r="67" spans="1:7">
      <c r="A67" t="s">
        <v>339</v>
      </c>
      <c r="B67" t="s">
        <v>93</v>
      </c>
      <c r="C67" s="2">
        <v>283.55713792295899</v>
      </c>
      <c r="D67" t="s">
        <v>4</v>
      </c>
      <c r="E67" t="str">
        <f>+INDEX(Check!$B$5:$B$33,MATCH(Compilado[[#This Row],[Items]],Check!$C$5:$C$33,0))</f>
        <v>COMBUSTIBLE Y MANTENIMIENTO</v>
      </c>
      <c r="F67" s="69">
        <f>+IFERROR(INDEX(Tabla2[TC],MATCH(Compilado[[#This Row],[Mes]],Tabla2[Mes],0))*Compilado[[#This Row],[USD]],0)</f>
        <v>335870.11975491873</v>
      </c>
      <c r="G67" s="150">
        <v>45931</v>
      </c>
    </row>
    <row r="68" spans="1:7">
      <c r="A68" t="s">
        <v>339</v>
      </c>
      <c r="B68" t="s">
        <v>94</v>
      </c>
      <c r="C68" s="2">
        <v>192.94707802712571</v>
      </c>
      <c r="D68" t="s">
        <v>4</v>
      </c>
      <c r="E68" t="str">
        <f>+INDEX(Check!$B$5:$B$33,MATCH(Compilado[[#This Row],[Items]],Check!$C$5:$C$33,0))</f>
        <v>COMBUSTIBLE Y MANTENIMIENTO</v>
      </c>
      <c r="F68" s="69">
        <f>+IFERROR(INDEX(Tabla2[TC],MATCH(Compilado[[#This Row],[Mes]],Tabla2[Mes],0))*Compilado[[#This Row],[USD]],0)</f>
        <v>230828.99716370035</v>
      </c>
      <c r="G68" s="150">
        <v>45962</v>
      </c>
    </row>
    <row r="69" spans="1:7">
      <c r="A69" t="s">
        <v>339</v>
      </c>
      <c r="B69" t="s">
        <v>95</v>
      </c>
      <c r="C69" s="2">
        <v>50.686387889794922</v>
      </c>
      <c r="D69" t="s">
        <v>4</v>
      </c>
      <c r="E69" t="str">
        <f>+INDEX(Check!$B$5:$B$33,MATCH(Compilado[[#This Row],[Items]],Check!$C$5:$C$33,0))</f>
        <v>COMBUSTIBLE Y MANTENIMIENTO</v>
      </c>
      <c r="F69" s="69">
        <f>+IFERROR(INDEX(Tabla2[TC],MATCH(Compilado[[#This Row],[Mes]],Tabla2[Mes],0))*Compilado[[#This Row],[USD]],0)</f>
        <v>61244.187204819507</v>
      </c>
      <c r="G69" s="150">
        <v>45992</v>
      </c>
    </row>
    <row r="70" spans="1:7">
      <c r="A70" t="s">
        <v>339</v>
      </c>
      <c r="B70" t="s">
        <v>96</v>
      </c>
      <c r="C70" s="2">
        <v>61.065750329504922</v>
      </c>
      <c r="D70" t="s">
        <v>4</v>
      </c>
      <c r="E70" t="str">
        <f>+INDEX(Check!$B$5:$B$33,MATCH(Compilado[[#This Row],[Items]],Check!$C$5:$C$33,0))</f>
        <v>COMBUSTIBLE Y MANTENIMIENTO</v>
      </c>
      <c r="F70" s="69">
        <f>+IFERROR(INDEX(Tabla2[TC],MATCH(Compilado[[#This Row],[Mes]],Tabla2[Mes],0))*Compilado[[#This Row],[USD]],0)</f>
        <v>74523.390296535901</v>
      </c>
      <c r="G70" s="150">
        <v>46023</v>
      </c>
    </row>
    <row r="71" spans="1:7">
      <c r="A71" t="s">
        <v>339</v>
      </c>
      <c r="B71" t="s">
        <v>97</v>
      </c>
      <c r="C71" s="2">
        <v>250.27787898222385</v>
      </c>
      <c r="D71" t="s">
        <v>4</v>
      </c>
      <c r="E71" t="str">
        <f>+INDEX(Check!$B$5:$B$33,MATCH(Compilado[[#This Row],[Items]],Check!$C$5:$C$33,0))</f>
        <v>COMBUSTIBLE Y MANTENIMIENTO</v>
      </c>
      <c r="F71" s="69">
        <f>+IFERROR(INDEX(Tabla2[TC],MATCH(Compilado[[#This Row],[Mes]],Tabla2[Mes],0))*Compilado[[#This Row],[USD]],0)</f>
        <v>308488.3345723722</v>
      </c>
      <c r="G71" s="150">
        <v>46054</v>
      </c>
    </row>
    <row r="72" spans="1:7">
      <c r="A72" t="s">
        <v>339</v>
      </c>
      <c r="B72" t="s">
        <v>98</v>
      </c>
      <c r="C72" s="2">
        <v>91.025435744679868</v>
      </c>
      <c r="D72" t="s">
        <v>4</v>
      </c>
      <c r="E72" t="str">
        <f>+INDEX(Check!$B$5:$B$33,MATCH(Compilado[[#This Row],[Items]],Check!$C$5:$C$33,0))</f>
        <v>COMBUSTIBLE Y MANTENIMIENTO</v>
      </c>
      <c r="F72" s="69">
        <f>+IFERROR(INDEX(Tabla2[TC],MATCH(Compilado[[#This Row],[Mes]],Tabla2[Mes],0))*Compilado[[#This Row],[USD]],0)</f>
        <v>113318.39650671299</v>
      </c>
      <c r="G72" s="150">
        <v>46082</v>
      </c>
    </row>
    <row r="73" spans="1:7">
      <c r="A73" t="s">
        <v>339</v>
      </c>
      <c r="B73" t="s">
        <v>99</v>
      </c>
      <c r="C73" s="2">
        <v>311.46695263015698</v>
      </c>
      <c r="D73" t="s">
        <v>4</v>
      </c>
      <c r="E73" t="str">
        <f>+INDEX(Check!$B$5:$B$33,MATCH(Compilado[[#This Row],[Items]],Check!$C$5:$C$33,0))</f>
        <v>COMBUSTIBLE Y MANTENIMIENTO</v>
      </c>
      <c r="F73" s="69">
        <f>+IFERROR(INDEX(Tabla2[TC],MATCH(Compilado[[#This Row],[Mes]],Tabla2[Mes],0))*Compilado[[#This Row],[USD]],0)</f>
        <v>391625.53523215669</v>
      </c>
      <c r="G73" s="150">
        <v>46113</v>
      </c>
    </row>
    <row r="74" spans="1:7">
      <c r="A74" t="s">
        <v>334</v>
      </c>
      <c r="B74" t="s">
        <v>88</v>
      </c>
      <c r="C74" s="2">
        <v>3183.9696044591574</v>
      </c>
      <c r="D74" t="s">
        <v>373</v>
      </c>
      <c r="E74" t="str">
        <f>+INDEX(Check!$B$5:$B$33,MATCH(Compilado[[#This Row],[Items]],Check!$C$5:$C$33,0))</f>
        <v>PERSONAL FINCA</v>
      </c>
      <c r="F74" s="69">
        <f>+IFERROR(INDEX(Tabla2[TC],MATCH(Compilado[[#This Row],[Mes]],Tabla2[Mes],0))*Compilado[[#This Row],[USD]],0)</f>
        <v>3588333.7442254703</v>
      </c>
      <c r="G74" s="150">
        <v>45778</v>
      </c>
    </row>
    <row r="75" spans="1:7">
      <c r="A75" t="s">
        <v>334</v>
      </c>
      <c r="B75" t="s">
        <v>89</v>
      </c>
      <c r="C75" s="2">
        <v>23511.989343094931</v>
      </c>
      <c r="D75" t="s">
        <v>373</v>
      </c>
      <c r="E75" t="str">
        <f>+INDEX(Check!$B$5:$B$33,MATCH(Compilado[[#This Row],[Items]],Check!$C$5:$C$33,0))</f>
        <v>PERSONAL FINCA</v>
      </c>
      <c r="F75" s="69">
        <f>+IFERROR(INDEX(Tabla2[TC],MATCH(Compilado[[#This Row],[Mes]],Tabla2[Mes],0))*Compilado[[#This Row],[USD]],0)</f>
        <v>26762992.109564666</v>
      </c>
      <c r="G75" s="150">
        <v>45809</v>
      </c>
    </row>
    <row r="76" spans="1:7">
      <c r="A76" t="s">
        <v>334</v>
      </c>
      <c r="B76" t="s">
        <v>90</v>
      </c>
      <c r="C76" s="2">
        <v>23024.231973970014</v>
      </c>
      <c r="D76" t="s">
        <v>373</v>
      </c>
      <c r="E76" t="str">
        <f>+INDEX(Check!$B$5:$B$33,MATCH(Compilado[[#This Row],[Items]],Check!$C$5:$C$33,0))</f>
        <v>PERSONAL FINCA</v>
      </c>
      <c r="F76" s="69">
        <f>+IFERROR(INDEX(Tabla2[TC],MATCH(Compilado[[#This Row],[Mes]],Tabla2[Mes],0))*Compilado[[#This Row],[USD]],0)</f>
        <v>26469870.454300959</v>
      </c>
      <c r="G76" s="150">
        <v>45839</v>
      </c>
    </row>
    <row r="77" spans="1:7">
      <c r="A77" t="s">
        <v>334</v>
      </c>
      <c r="B77" t="s">
        <v>91</v>
      </c>
      <c r="C77" s="2">
        <v>27309.879192169265</v>
      </c>
      <c r="D77" t="s">
        <v>373</v>
      </c>
      <c r="E77" t="str">
        <f>+INDEX(Check!$B$5:$B$33,MATCH(Compilado[[#This Row],[Items]],Check!$C$5:$C$33,0))</f>
        <v>PERSONAL FINCA</v>
      </c>
      <c r="F77" s="69">
        <f>+IFERROR(INDEX(Tabla2[TC],MATCH(Compilado[[#This Row],[Mes]],Tabla2[Mes],0))*Compilado[[#This Row],[USD]],0)</f>
        <v>31710845.113450728</v>
      </c>
      <c r="G77" s="150">
        <v>45870</v>
      </c>
    </row>
    <row r="78" spans="1:7">
      <c r="A78" t="s">
        <v>334</v>
      </c>
      <c r="B78" t="s">
        <v>92</v>
      </c>
      <c r="C78" s="2">
        <v>19691.150177463609</v>
      </c>
      <c r="D78" t="s">
        <v>373</v>
      </c>
      <c r="E78" t="str">
        <f>+INDEX(Check!$B$5:$B$33,MATCH(Compilado[[#This Row],[Items]],Check!$C$5:$C$33,0))</f>
        <v>PERSONAL FINCA</v>
      </c>
      <c r="F78" s="69">
        <f>+IFERROR(INDEX(Tabla2[TC],MATCH(Compilado[[#This Row],[Mes]],Tabla2[Mes],0))*Compilado[[#This Row],[USD]],0)</f>
        <v>23093007.445375815</v>
      </c>
      <c r="G78" s="150">
        <v>45901</v>
      </c>
    </row>
    <row r="79" spans="1:7">
      <c r="A79" t="s">
        <v>334</v>
      </c>
      <c r="B79" t="s">
        <v>93</v>
      </c>
      <c r="C79" s="2">
        <v>22856.588779142709</v>
      </c>
      <c r="D79" t="s">
        <v>373</v>
      </c>
      <c r="E79" t="str">
        <f>+INDEX(Check!$B$5:$B$33,MATCH(Compilado[[#This Row],[Items]],Check!$C$5:$C$33,0))</f>
        <v>PERSONAL FINCA</v>
      </c>
      <c r="F79" s="69">
        <f>+IFERROR(INDEX(Tabla2[TC],MATCH(Compilado[[#This Row],[Mes]],Tabla2[Mes],0))*Compilado[[#This Row],[USD]],0)</f>
        <v>27073362.591652878</v>
      </c>
      <c r="G79" s="150">
        <v>45931</v>
      </c>
    </row>
    <row r="80" spans="1:7">
      <c r="A80" t="s">
        <v>334</v>
      </c>
      <c r="B80" t="s">
        <v>94</v>
      </c>
      <c r="C80" s="2">
        <v>33693.482063275966</v>
      </c>
      <c r="D80" t="s">
        <v>373</v>
      </c>
      <c r="E80" t="str">
        <f>+INDEX(Check!$B$5:$B$33,MATCH(Compilado[[#This Row],[Items]],Check!$C$5:$C$33,0))</f>
        <v>PERSONAL FINCA</v>
      </c>
      <c r="F80" s="69">
        <f>+IFERROR(INDEX(Tabla2[TC],MATCH(Compilado[[#This Row],[Mes]],Tabla2[Mes],0))*Compilado[[#This Row],[USD]],0)</f>
        <v>40308631.543649063</v>
      </c>
      <c r="G80" s="150">
        <v>45962</v>
      </c>
    </row>
    <row r="81" spans="1:7">
      <c r="A81" t="s">
        <v>334</v>
      </c>
      <c r="B81" t="s">
        <v>95</v>
      </c>
      <c r="C81" s="2">
        <v>32636.924102461799</v>
      </c>
      <c r="D81" t="s">
        <v>373</v>
      </c>
      <c r="E81" t="str">
        <f>+INDEX(Check!$B$5:$B$33,MATCH(Compilado[[#This Row],[Items]],Check!$C$5:$C$33,0))</f>
        <v>PERSONAL FINCA</v>
      </c>
      <c r="F81" s="69">
        <f>+IFERROR(INDEX(Tabla2[TC],MATCH(Compilado[[#This Row],[Mes]],Tabla2[Mes],0))*Compilado[[#This Row],[USD]],0)</f>
        <v>39435082.528796539</v>
      </c>
      <c r="G81" s="150">
        <v>45992</v>
      </c>
    </row>
    <row r="82" spans="1:7">
      <c r="A82" t="s">
        <v>334</v>
      </c>
      <c r="B82" t="s">
        <v>96</v>
      </c>
      <c r="C82" s="2">
        <v>5074.8080984299095</v>
      </c>
      <c r="D82" t="s">
        <v>373</v>
      </c>
      <c r="E82" t="str">
        <f>+INDEX(Check!$B$5:$B$33,MATCH(Compilado[[#This Row],[Items]],Check!$C$5:$C$33,0))</f>
        <v>PERSONAL FINCA</v>
      </c>
      <c r="F82" s="69">
        <f>+IFERROR(INDEX(Tabla2[TC],MATCH(Compilado[[#This Row],[Mes]],Tabla2[Mes],0))*Compilado[[#This Row],[USD]],0)</f>
        <v>6193191.806513899</v>
      </c>
      <c r="G82" s="150">
        <v>46023</v>
      </c>
    </row>
    <row r="83" spans="1:7">
      <c r="A83" t="s">
        <v>334</v>
      </c>
      <c r="B83" t="s">
        <v>97</v>
      </c>
      <c r="C83" s="2">
        <v>17593.756607000541</v>
      </c>
      <c r="D83" t="s">
        <v>373</v>
      </c>
      <c r="E83" t="str">
        <f>+INDEX(Check!$B$5:$B$33,MATCH(Compilado[[#This Row],[Items]],Check!$C$5:$C$33,0))</f>
        <v>PERSONAL FINCA</v>
      </c>
      <c r="F83" s="69">
        <f>+IFERROR(INDEX(Tabla2[TC],MATCH(Compilado[[#This Row],[Mes]],Tabla2[Mes],0))*Compilado[[#This Row],[USD]],0)</f>
        <v>21685770.618787911</v>
      </c>
      <c r="G83" s="150">
        <v>46054</v>
      </c>
    </row>
    <row r="84" spans="1:7">
      <c r="A84" t="s">
        <v>334</v>
      </c>
      <c r="B84" t="s">
        <v>98</v>
      </c>
      <c r="C84" s="2">
        <v>18360.166239842682</v>
      </c>
      <c r="D84" t="s">
        <v>373</v>
      </c>
      <c r="E84" t="str">
        <f>+INDEX(Check!$B$5:$B$33,MATCH(Compilado[[#This Row],[Items]],Check!$C$5:$C$33,0))</f>
        <v>PERSONAL FINCA</v>
      </c>
      <c r="F84" s="69">
        <f>+IFERROR(INDEX(Tabla2[TC],MATCH(Compilado[[#This Row],[Mes]],Tabla2[Mes],0))*Compilado[[#This Row],[USD]],0)</f>
        <v>22856738.678312339</v>
      </c>
      <c r="G84" s="150">
        <v>46082</v>
      </c>
    </row>
    <row r="85" spans="1:7">
      <c r="A85" t="s">
        <v>334</v>
      </c>
      <c r="B85" t="s">
        <v>99</v>
      </c>
      <c r="C85" s="2">
        <v>7871.0573362712994</v>
      </c>
      <c r="D85" t="s">
        <v>373</v>
      </c>
      <c r="E85" t="str">
        <f>+INDEX(Check!$B$5:$B$33,MATCH(Compilado[[#This Row],[Items]],Check!$C$5:$C$33,0))</f>
        <v>PERSONAL FINCA</v>
      </c>
      <c r="F85" s="69">
        <f>+IFERROR(INDEX(Tabla2[TC],MATCH(Compilado[[#This Row],[Mes]],Tabla2[Mes],0))*Compilado[[#This Row],[USD]],0)</f>
        <v>9896738.6945236567</v>
      </c>
      <c r="G85" s="150">
        <v>46113</v>
      </c>
    </row>
    <row r="86" spans="1:7">
      <c r="A86" t="s">
        <v>339</v>
      </c>
      <c r="B86" t="s">
        <v>88</v>
      </c>
      <c r="C86" s="2">
        <v>99.858739633780331</v>
      </c>
      <c r="D86" t="s">
        <v>373</v>
      </c>
      <c r="E86" t="str">
        <f>+INDEX(Check!$B$5:$B$33,MATCH(Compilado[[#This Row],[Items]],Check!$C$5:$C$33,0))</f>
        <v>COMBUSTIBLE Y MANTENIMIENTO</v>
      </c>
      <c r="F86" s="69">
        <f>+IFERROR(INDEX(Tabla2[TC],MATCH(Compilado[[#This Row],[Mes]],Tabla2[Mes],0))*Compilado[[#This Row],[USD]],0)</f>
        <v>112540.79956727043</v>
      </c>
      <c r="G86" s="150">
        <v>45778</v>
      </c>
    </row>
    <row r="87" spans="1:7">
      <c r="A87" t="s">
        <v>339</v>
      </c>
      <c r="B87" t="s">
        <v>89</v>
      </c>
      <c r="C87" s="2">
        <v>1431.4006763067905</v>
      </c>
      <c r="D87" t="s">
        <v>373</v>
      </c>
      <c r="E87" t="str">
        <f>+INDEX(Check!$B$5:$B$33,MATCH(Compilado[[#This Row],[Items]],Check!$C$5:$C$33,0))</f>
        <v>COMBUSTIBLE Y MANTENIMIENTO</v>
      </c>
      <c r="F87" s="69">
        <f>+IFERROR(INDEX(Tabla2[TC],MATCH(Compilado[[#This Row],[Mes]],Tabla2[Mes],0))*Compilado[[#This Row],[USD]],0)</f>
        <v>1629320.4478197305</v>
      </c>
      <c r="G87" s="150">
        <v>45809</v>
      </c>
    </row>
    <row r="88" spans="1:7">
      <c r="A88" t="s">
        <v>339</v>
      </c>
      <c r="B88" t="s">
        <v>90</v>
      </c>
      <c r="C88" s="2">
        <v>1345.4258139303281</v>
      </c>
      <c r="D88" t="s">
        <v>373</v>
      </c>
      <c r="E88" t="str">
        <f>+INDEX(Check!$B$5:$B$33,MATCH(Compilado[[#This Row],[Items]],Check!$C$5:$C$33,0))</f>
        <v>COMBUSTIBLE Y MANTENIMIENTO</v>
      </c>
      <c r="F88" s="69">
        <f>+IFERROR(INDEX(Tabla2[TC],MATCH(Compilado[[#This Row],[Mes]],Tabla2[Mes],0))*Compilado[[#This Row],[USD]],0)</f>
        <v>1546772.4196346994</v>
      </c>
      <c r="G88" s="150">
        <v>45839</v>
      </c>
    </row>
    <row r="89" spans="1:7">
      <c r="A89" t="s">
        <v>339</v>
      </c>
      <c r="B89" t="s">
        <v>91</v>
      </c>
      <c r="C89" s="2">
        <v>2253.5351429439411</v>
      </c>
      <c r="D89" t="s">
        <v>373</v>
      </c>
      <c r="E89" t="str">
        <f>+INDEX(Check!$B$5:$B$33,MATCH(Compilado[[#This Row],[Items]],Check!$C$5:$C$33,0))</f>
        <v>COMBUSTIBLE Y MANTENIMIENTO</v>
      </c>
      <c r="F89" s="69">
        <f>+IFERROR(INDEX(Tabla2[TC],MATCH(Compilado[[#This Row],[Mes]],Tabla2[Mes],0))*Compilado[[#This Row],[USD]],0)</f>
        <v>2616690.5892466921</v>
      </c>
      <c r="G89" s="150">
        <v>45870</v>
      </c>
    </row>
    <row r="90" spans="1:7">
      <c r="A90" t="s">
        <v>339</v>
      </c>
      <c r="B90" t="s">
        <v>92</v>
      </c>
      <c r="C90" s="2">
        <v>952.99064035755714</v>
      </c>
      <c r="D90" t="s">
        <v>373</v>
      </c>
      <c r="E90" t="str">
        <f>+INDEX(Check!$B$5:$B$33,MATCH(Compilado[[#This Row],[Items]],Check!$C$5:$C$33,0))</f>
        <v>COMBUSTIBLE Y MANTENIMIENTO</v>
      </c>
      <c r="F90" s="69">
        <f>+IFERROR(INDEX(Tabla2[TC],MATCH(Compilado[[#This Row],[Mes]],Tabla2[Mes],0))*Compilado[[#This Row],[USD]],0)</f>
        <v>1117629.9888433069</v>
      </c>
      <c r="G90" s="150">
        <v>45901</v>
      </c>
    </row>
    <row r="91" spans="1:7">
      <c r="A91" t="s">
        <v>339</v>
      </c>
      <c r="B91" t="s">
        <v>93</v>
      </c>
      <c r="C91" s="2">
        <v>1209.6974928188813</v>
      </c>
      <c r="D91" t="s">
        <v>373</v>
      </c>
      <c r="E91" t="str">
        <f>+INDEX(Check!$B$5:$B$33,MATCH(Compilado[[#This Row],[Items]],Check!$C$5:$C$33,0))</f>
        <v>COMBUSTIBLE Y MANTENIMIENTO</v>
      </c>
      <c r="F91" s="69">
        <f>+IFERROR(INDEX(Tabla2[TC],MATCH(Compilado[[#This Row],[Mes]],Tabla2[Mes],0))*Compilado[[#This Row],[USD]],0)</f>
        <v>1432872.5587951608</v>
      </c>
      <c r="G91" s="150">
        <v>45931</v>
      </c>
    </row>
    <row r="92" spans="1:7">
      <c r="A92" t="s">
        <v>339</v>
      </c>
      <c r="B92" t="s">
        <v>94</v>
      </c>
      <c r="C92" s="2">
        <v>873.34103933629922</v>
      </c>
      <c r="D92" t="s">
        <v>373</v>
      </c>
      <c r="E92" t="str">
        <f>+INDEX(Check!$B$5:$B$33,MATCH(Compilado[[#This Row],[Items]],Check!$C$5:$C$33,0))</f>
        <v>COMBUSTIBLE Y MANTENIMIENTO</v>
      </c>
      <c r="F92" s="69">
        <f>+IFERROR(INDEX(Tabla2[TC],MATCH(Compilado[[#This Row],[Mes]],Tabla2[Mes],0))*Compilado[[#This Row],[USD]],0)</f>
        <v>1044806.8887757947</v>
      </c>
      <c r="G92" s="150">
        <v>45962</v>
      </c>
    </row>
    <row r="93" spans="1:7">
      <c r="A93" t="s">
        <v>339</v>
      </c>
      <c r="B93" t="s">
        <v>95</v>
      </c>
      <c r="C93" s="2">
        <v>539.29856539660352</v>
      </c>
      <c r="D93" t="s">
        <v>373</v>
      </c>
      <c r="E93" t="str">
        <f>+INDEX(Check!$B$5:$B$33,MATCH(Compilado[[#This Row],[Items]],Check!$C$5:$C$33,0))</f>
        <v>COMBUSTIBLE Y MANTENIMIENTO</v>
      </c>
      <c r="F93" s="69">
        <f>+IFERROR(INDEX(Tabla2[TC],MATCH(Compilado[[#This Row],[Mes]],Tabla2[Mes],0))*Compilado[[#This Row],[USD]],0)</f>
        <v>651632.59157968417</v>
      </c>
      <c r="G93" s="150">
        <v>45992</v>
      </c>
    </row>
    <row r="94" spans="1:7">
      <c r="A94" t="s">
        <v>339</v>
      </c>
      <c r="B94" t="s">
        <v>96</v>
      </c>
      <c r="C94" s="2">
        <v>215.95566324875881</v>
      </c>
      <c r="D94" t="s">
        <v>373</v>
      </c>
      <c r="E94" t="str">
        <f>+INDEX(Check!$B$5:$B$33,MATCH(Compilado[[#This Row],[Items]],Check!$C$5:$C$33,0))</f>
        <v>COMBUSTIBLE Y MANTENIMIENTO</v>
      </c>
      <c r="F94" s="69">
        <f>+IFERROR(INDEX(Tabla2[TC],MATCH(Compilado[[#This Row],[Mes]],Tabla2[Mes],0))*Compilado[[#This Row],[USD]],0)</f>
        <v>263547.86590182234</v>
      </c>
      <c r="G94" s="150">
        <v>46023</v>
      </c>
    </row>
    <row r="95" spans="1:7">
      <c r="A95" t="s">
        <v>339</v>
      </c>
      <c r="B95" t="s">
        <v>97</v>
      </c>
      <c r="C95" s="2">
        <v>1042.8484208237719</v>
      </c>
      <c r="D95" t="s">
        <v>373</v>
      </c>
      <c r="E95" t="str">
        <f>+INDEX(Check!$B$5:$B$33,MATCH(Compilado[[#This Row],[Items]],Check!$C$5:$C$33,0))</f>
        <v>COMBUSTIBLE Y MANTENIMIENTO</v>
      </c>
      <c r="F95" s="69">
        <f>+IFERROR(INDEX(Tabla2[TC],MATCH(Compilado[[#This Row],[Mes]],Tabla2[Mes],0))*Compilado[[#This Row],[USD]],0)</f>
        <v>1285397.5503532342</v>
      </c>
      <c r="G95" s="150">
        <v>46054</v>
      </c>
    </row>
    <row r="96" spans="1:7">
      <c r="A96" t="s">
        <v>339</v>
      </c>
      <c r="B96" t="s">
        <v>98</v>
      </c>
      <c r="C96" s="2">
        <v>1029.538888134103</v>
      </c>
      <c r="D96" t="s">
        <v>373</v>
      </c>
      <c r="E96" t="str">
        <f>+INDEX(Check!$B$5:$B$33,MATCH(Compilado[[#This Row],[Items]],Check!$C$5:$C$33,0))</f>
        <v>COMBUSTIBLE Y MANTENIMIENTO</v>
      </c>
      <c r="F96" s="69">
        <f>+IFERROR(INDEX(Tabla2[TC],MATCH(Compilado[[#This Row],[Mes]],Tabla2[Mes],0))*Compilado[[#This Row],[USD]],0)</f>
        <v>1281682.367024312</v>
      </c>
      <c r="G96" s="150">
        <v>46082</v>
      </c>
    </row>
    <row r="97" spans="1:7">
      <c r="A97" t="s">
        <v>339</v>
      </c>
      <c r="B97" t="s">
        <v>99</v>
      </c>
      <c r="C97" s="2">
        <v>109.11465780532562</v>
      </c>
      <c r="D97" t="s">
        <v>373</v>
      </c>
      <c r="E97" t="str">
        <f>+INDEX(Check!$B$5:$B$33,MATCH(Compilado[[#This Row],[Items]],Check!$C$5:$C$33,0))</f>
        <v>COMBUSTIBLE Y MANTENIMIENTO</v>
      </c>
      <c r="F97" s="69">
        <f>+IFERROR(INDEX(Tabla2[TC],MATCH(Compilado[[#This Row],[Mes]],Tabla2[Mes],0))*Compilado[[#This Row],[USD]],0)</f>
        <v>137196.21264418808</v>
      </c>
      <c r="G97" s="150">
        <v>46113</v>
      </c>
    </row>
    <row r="98" spans="1:7">
      <c r="A98" t="s">
        <v>334</v>
      </c>
      <c r="B98" t="s">
        <v>88</v>
      </c>
      <c r="C98" s="2">
        <v>1338.0034118160738</v>
      </c>
      <c r="D98" t="s">
        <v>15</v>
      </c>
      <c r="E98" t="str">
        <f>+INDEX(Check!$B$5:$B$33,MATCH(Compilado[[#This Row],[Items]],Check!$C$5:$C$33,0))</f>
        <v>PERSONAL FINCA</v>
      </c>
      <c r="F98" s="69">
        <f>+IFERROR(INDEX(Tabla2[TC],MATCH(Compilado[[#This Row],[Mes]],Tabla2[Mes],0))*Compilado[[#This Row],[USD]],0)</f>
        <v>1507929.8451167152</v>
      </c>
      <c r="G98" s="150">
        <v>45778</v>
      </c>
    </row>
    <row r="99" spans="1:7">
      <c r="A99" t="s">
        <v>334</v>
      </c>
      <c r="B99" t="s">
        <v>89</v>
      </c>
      <c r="C99" s="2">
        <v>9880.4718222138799</v>
      </c>
      <c r="D99" t="s">
        <v>15</v>
      </c>
      <c r="E99" t="str">
        <f>+INDEX(Check!$B$5:$B$33,MATCH(Compilado[[#This Row],[Items]],Check!$C$5:$C$33,0))</f>
        <v>PERSONAL FINCA</v>
      </c>
      <c r="F99" s="69">
        <f>+IFERROR(INDEX(Tabla2[TC],MATCH(Compilado[[#This Row],[Mes]],Tabla2[Mes],0))*Compilado[[#This Row],[USD]],0)</f>
        <v>11246644.661071394</v>
      </c>
      <c r="G99" s="150">
        <v>45809</v>
      </c>
    </row>
    <row r="100" spans="1:7">
      <c r="A100" t="s">
        <v>334</v>
      </c>
      <c r="B100" t="s">
        <v>90</v>
      </c>
      <c r="C100" s="2">
        <v>9675.5009509111005</v>
      </c>
      <c r="D100" t="s">
        <v>15</v>
      </c>
      <c r="E100" t="str">
        <f>+INDEX(Check!$B$5:$B$33,MATCH(Compilado[[#This Row],[Items]],Check!$C$5:$C$33,0))</f>
        <v>PERSONAL FINCA</v>
      </c>
      <c r="F100" s="69">
        <f>+IFERROR(INDEX(Tabla2[TC],MATCH(Compilado[[#This Row],[Mes]],Tabla2[Mes],0))*Compilado[[#This Row],[USD]],0)</f>
        <v>11123465.792067515</v>
      </c>
      <c r="G100" s="150">
        <v>45839</v>
      </c>
    </row>
    <row r="101" spans="1:7">
      <c r="A101" t="s">
        <v>334</v>
      </c>
      <c r="B101" t="s">
        <v>91</v>
      </c>
      <c r="C101" s="2">
        <v>11476.463683645698</v>
      </c>
      <c r="D101" t="s">
        <v>15</v>
      </c>
      <c r="E101" t="str">
        <f>+INDEX(Check!$B$5:$B$33,MATCH(Compilado[[#This Row],[Items]],Check!$C$5:$C$33,0))</f>
        <v>PERSONAL FINCA</v>
      </c>
      <c r="F101" s="69">
        <f>+IFERROR(INDEX(Tabla2[TC],MATCH(Compilado[[#This Row],[Mes]],Tabla2[Mes],0))*Compilado[[#This Row],[USD]],0)</f>
        <v>13325886.934958775</v>
      </c>
      <c r="G101" s="150">
        <v>45870</v>
      </c>
    </row>
    <row r="102" spans="1:7">
      <c r="A102" t="s">
        <v>334</v>
      </c>
      <c r="B102" t="s">
        <v>92</v>
      </c>
      <c r="C102" s="2">
        <v>8274.8359416277726</v>
      </c>
      <c r="D102" t="s">
        <v>15</v>
      </c>
      <c r="E102" t="str">
        <f>+INDEX(Check!$B$5:$B$33,MATCH(Compilado[[#This Row],[Items]],Check!$C$5:$C$33,0))</f>
        <v>PERSONAL FINCA</v>
      </c>
      <c r="F102" s="69">
        <f>+IFERROR(INDEX(Tabla2[TC],MATCH(Compilado[[#This Row],[Mes]],Tabla2[Mes],0))*Compilado[[#This Row],[USD]],0)</f>
        <v>9704402.550744636</v>
      </c>
      <c r="G102" s="150">
        <v>45901</v>
      </c>
    </row>
    <row r="103" spans="1:7">
      <c r="A103" t="s">
        <v>334</v>
      </c>
      <c r="B103" t="s">
        <v>93</v>
      </c>
      <c r="C103" s="2">
        <v>9605.0520476513011</v>
      </c>
      <c r="D103" t="s">
        <v>15</v>
      </c>
      <c r="E103" t="str">
        <f>+INDEX(Check!$B$5:$B$33,MATCH(Compilado[[#This Row],[Items]],Check!$C$5:$C$33,0))</f>
        <v>PERSONAL FINCA</v>
      </c>
      <c r="F103" s="69">
        <f>+IFERROR(INDEX(Tabla2[TC],MATCH(Compilado[[#This Row],[Mes]],Tabla2[Mes],0))*Compilado[[#This Row],[USD]],0)</f>
        <v>11377072.02550962</v>
      </c>
      <c r="G103" s="150">
        <v>45931</v>
      </c>
    </row>
    <row r="104" spans="1:7">
      <c r="A104" t="s">
        <v>334</v>
      </c>
      <c r="B104" t="s">
        <v>94</v>
      </c>
      <c r="C104" s="2">
        <v>14159.052867052967</v>
      </c>
      <c r="D104" t="s">
        <v>15</v>
      </c>
      <c r="E104" t="str">
        <f>+INDEX(Check!$B$5:$B$33,MATCH(Compilado[[#This Row],[Items]],Check!$C$5:$C$33,0))</f>
        <v>PERSONAL FINCA</v>
      </c>
      <c r="F104" s="69">
        <f>+IFERROR(INDEX(Tabla2[TC],MATCH(Compilado[[#This Row],[Mes]],Tabla2[Mes],0))*Compilado[[#This Row],[USD]],0)</f>
        <v>16938945.16314039</v>
      </c>
      <c r="G104" s="150">
        <v>45962</v>
      </c>
    </row>
    <row r="105" spans="1:7">
      <c r="A105" t="s">
        <v>334</v>
      </c>
      <c r="B105" t="s">
        <v>95</v>
      </c>
      <c r="C105" s="2">
        <v>13715.054232653025</v>
      </c>
      <c r="D105" t="s">
        <v>15</v>
      </c>
      <c r="E105" t="str">
        <f>+INDEX(Check!$B$5:$B$33,MATCH(Compilado[[#This Row],[Items]],Check!$C$5:$C$33,0))</f>
        <v>PERSONAL FINCA</v>
      </c>
      <c r="F105" s="69">
        <f>+IFERROR(INDEX(Tabla2[TC],MATCH(Compilado[[#This Row],[Mes]],Tabla2[Mes],0))*Compilado[[#This Row],[USD]],0)</f>
        <v>16571852.600251498</v>
      </c>
      <c r="G105" s="150">
        <v>45992</v>
      </c>
    </row>
    <row r="106" spans="1:7">
      <c r="A106" t="s">
        <v>334</v>
      </c>
      <c r="B106" t="s">
        <v>96</v>
      </c>
      <c r="C106" s="2">
        <v>2132.5927673748815</v>
      </c>
      <c r="D106" t="s">
        <v>15</v>
      </c>
      <c r="E106" t="str">
        <f>+INDEX(Check!$B$5:$B$33,MATCH(Compilado[[#This Row],[Items]],Check!$C$5:$C$33,0))</f>
        <v>PERSONAL FINCA</v>
      </c>
      <c r="F106" s="69">
        <f>+IFERROR(INDEX(Tabla2[TC],MATCH(Compilado[[#This Row],[Mes]],Tabla2[Mes],0))*Compilado[[#This Row],[USD]],0)</f>
        <v>2602572.5105986157</v>
      </c>
      <c r="G106" s="150">
        <v>46023</v>
      </c>
    </row>
    <row r="107" spans="1:7">
      <c r="A107" t="s">
        <v>334</v>
      </c>
      <c r="B107" t="s">
        <v>97</v>
      </c>
      <c r="C107" s="2">
        <v>7393.4456955430032</v>
      </c>
      <c r="D107" t="s">
        <v>15</v>
      </c>
      <c r="E107" t="str">
        <f>+INDEX(Check!$B$5:$B$33,MATCH(Compilado[[#This Row],[Items]],Check!$C$5:$C$33,0))</f>
        <v>PERSONAL FINCA</v>
      </c>
      <c r="F107" s="69">
        <f>+IFERROR(INDEX(Tabla2[TC],MATCH(Compilado[[#This Row],[Mes]],Tabla2[Mes],0))*Compilado[[#This Row],[USD]],0)</f>
        <v>9113037.710901048</v>
      </c>
      <c r="G107" s="150">
        <v>46054</v>
      </c>
    </row>
    <row r="108" spans="1:7">
      <c r="A108" t="s">
        <v>334</v>
      </c>
      <c r="B108" t="s">
        <v>98</v>
      </c>
      <c r="C108" s="2">
        <v>7715.5149458760861</v>
      </c>
      <c r="D108" t="s">
        <v>15</v>
      </c>
      <c r="E108" t="str">
        <f>+INDEX(Check!$B$5:$B$33,MATCH(Compilado[[#This Row],[Items]],Check!$C$5:$C$33,0))</f>
        <v>PERSONAL FINCA</v>
      </c>
      <c r="F108" s="69">
        <f>+IFERROR(INDEX(Tabla2[TC],MATCH(Compilado[[#This Row],[Mes]],Tabla2[Mes],0))*Compilado[[#This Row],[USD]],0)</f>
        <v>9605115.039961312</v>
      </c>
      <c r="G108" s="150">
        <v>46082</v>
      </c>
    </row>
    <row r="109" spans="1:7">
      <c r="A109" t="s">
        <v>334</v>
      </c>
      <c r="B109" t="s">
        <v>99</v>
      </c>
      <c r="C109" s="2">
        <v>3307.6639788839502</v>
      </c>
      <c r="D109" t="s">
        <v>15</v>
      </c>
      <c r="E109" t="str">
        <f>+INDEX(Check!$B$5:$B$33,MATCH(Compilado[[#This Row],[Items]],Check!$C$5:$C$33,0))</f>
        <v>PERSONAL FINCA</v>
      </c>
      <c r="F109" s="69">
        <f>+IFERROR(INDEX(Tabla2[TC],MATCH(Compilado[[#This Row],[Mes]],Tabla2[Mes],0))*Compilado[[#This Row],[USD]],0)</f>
        <v>4158918.5149819059</v>
      </c>
      <c r="G109" s="150">
        <v>46113</v>
      </c>
    </row>
    <row r="110" spans="1:7">
      <c r="A110" t="s">
        <v>339</v>
      </c>
      <c r="B110" t="s">
        <v>88</v>
      </c>
      <c r="C110" s="2">
        <v>41.96375937211463</v>
      </c>
      <c r="D110" t="s">
        <v>15</v>
      </c>
      <c r="E110" t="str">
        <f>+INDEX(Check!$B$5:$B$33,MATCH(Compilado[[#This Row],[Items]],Check!$C$5:$C$33,0))</f>
        <v>COMBUSTIBLE Y MANTENIMIENTO</v>
      </c>
      <c r="F110" s="69">
        <f>+IFERROR(INDEX(Tabla2[TC],MATCH(Compilado[[#This Row],[Mes]],Tabla2[Mes],0))*Compilado[[#This Row],[USD]],0)</f>
        <v>47293.156812373185</v>
      </c>
      <c r="G110" s="150">
        <v>45778</v>
      </c>
    </row>
    <row r="111" spans="1:7">
      <c r="A111" t="s">
        <v>339</v>
      </c>
      <c r="B111" t="s">
        <v>89</v>
      </c>
      <c r="C111" s="2">
        <v>601.51924374279565</v>
      </c>
      <c r="D111" t="s">
        <v>15</v>
      </c>
      <c r="E111" t="str">
        <f>+INDEX(Check!$B$5:$B$33,MATCH(Compilado[[#This Row],[Items]],Check!$C$5:$C$33,0))</f>
        <v>COMBUSTIBLE Y MANTENIMIENTO</v>
      </c>
      <c r="F111" s="69">
        <f>+IFERROR(INDEX(Tabla2[TC],MATCH(Compilado[[#This Row],[Mes]],Tabla2[Mes],0))*Compilado[[#This Row],[USD]],0)</f>
        <v>684691.30957511195</v>
      </c>
      <c r="G111" s="150">
        <v>45809</v>
      </c>
    </row>
    <row r="112" spans="1:7">
      <c r="A112" t="s">
        <v>339</v>
      </c>
      <c r="B112" t="s">
        <v>90</v>
      </c>
      <c r="C112" s="2">
        <v>565.38992296378524</v>
      </c>
      <c r="D112" t="s">
        <v>15</v>
      </c>
      <c r="E112" t="str">
        <f>+INDEX(Check!$B$5:$B$33,MATCH(Compilado[[#This Row],[Items]],Check!$C$5:$C$33,0))</f>
        <v>COMBUSTIBLE Y MANTENIMIENTO</v>
      </c>
      <c r="F112" s="69">
        <f>+IFERROR(INDEX(Tabla2[TC],MATCH(Compilado[[#This Row],[Mes]],Tabla2[Mes],0))*Compilado[[#This Row],[USD]],0)</f>
        <v>650002.05148810777</v>
      </c>
      <c r="G112" s="150">
        <v>45839</v>
      </c>
    </row>
    <row r="113" spans="1:7">
      <c r="A113" t="s">
        <v>339</v>
      </c>
      <c r="B113" t="s">
        <v>91</v>
      </c>
      <c r="C113" s="2">
        <v>947.00580862441916</v>
      </c>
      <c r="D113" t="s">
        <v>15</v>
      </c>
      <c r="E113" t="str">
        <f>+INDEX(Check!$B$5:$B$33,MATCH(Compilado[[#This Row],[Items]],Check!$C$5:$C$33,0))</f>
        <v>COMBUSTIBLE Y MANTENIMIENTO</v>
      </c>
      <c r="F113" s="69">
        <f>+IFERROR(INDEX(Tabla2[TC],MATCH(Compilado[[#This Row],[Mes]],Tabla2[Mes],0))*Compilado[[#This Row],[USD]],0)</f>
        <v>1099615.0626487543</v>
      </c>
      <c r="G113" s="150">
        <v>45870</v>
      </c>
    </row>
    <row r="114" spans="1:7">
      <c r="A114" t="s">
        <v>339</v>
      </c>
      <c r="B114" t="s">
        <v>92</v>
      </c>
      <c r="C114" s="2">
        <v>400.47641360690409</v>
      </c>
      <c r="D114" t="s">
        <v>15</v>
      </c>
      <c r="E114" t="str">
        <f>+INDEX(Check!$B$5:$B$33,MATCH(Compilado[[#This Row],[Items]],Check!$C$5:$C$33,0))</f>
        <v>COMBUSTIBLE Y MANTENIMIENTO</v>
      </c>
      <c r="F114" s="69">
        <f>+IFERROR(INDEX(Tabla2[TC],MATCH(Compilado[[#This Row],[Mes]],Tabla2[Mes],0))*Compilado[[#This Row],[USD]],0)</f>
        <v>469663.00687230291</v>
      </c>
      <c r="G114" s="150">
        <v>45901</v>
      </c>
    </row>
    <row r="115" spans="1:7">
      <c r="A115" t="s">
        <v>339</v>
      </c>
      <c r="B115" t="s">
        <v>93</v>
      </c>
      <c r="C115" s="2">
        <v>508.3526458262005</v>
      </c>
      <c r="D115" t="s">
        <v>15</v>
      </c>
      <c r="E115" t="str">
        <f>+INDEX(Check!$B$5:$B$33,MATCH(Compilado[[#This Row],[Items]],Check!$C$5:$C$33,0))</f>
        <v>COMBUSTIBLE Y MANTENIMIENTO</v>
      </c>
      <c r="F115" s="69">
        <f>+IFERROR(INDEX(Tabla2[TC],MATCH(Compilado[[#This Row],[Mes]],Tabla2[Mes],0))*Compilado[[#This Row],[USD]],0)</f>
        <v>602137.77470756194</v>
      </c>
      <c r="G115" s="150">
        <v>45931</v>
      </c>
    </row>
    <row r="116" spans="1:7">
      <c r="A116" t="s">
        <v>339</v>
      </c>
      <c r="B116" t="s">
        <v>94</v>
      </c>
      <c r="C116" s="2">
        <v>367.00516508525408</v>
      </c>
      <c r="D116" t="s">
        <v>15</v>
      </c>
      <c r="E116" t="str">
        <f>+INDEX(Check!$B$5:$B$33,MATCH(Compilado[[#This Row],[Items]],Check!$C$5:$C$33,0))</f>
        <v>COMBUSTIBLE Y MANTENIMIENTO</v>
      </c>
      <c r="F116" s="69">
        <f>+IFERROR(INDEX(Tabla2[TC],MATCH(Compilado[[#This Row],[Mes]],Tabla2[Mes],0))*Compilado[[#This Row],[USD]],0)</f>
        <v>439060.46713294956</v>
      </c>
      <c r="G116" s="150">
        <v>45962</v>
      </c>
    </row>
    <row r="117" spans="1:7">
      <c r="A117" t="s">
        <v>339</v>
      </c>
      <c r="B117" t="s">
        <v>95</v>
      </c>
      <c r="C117" s="2">
        <v>226.63009077649176</v>
      </c>
      <c r="D117" t="s">
        <v>15</v>
      </c>
      <c r="E117" t="str">
        <f>+INDEX(Check!$B$5:$B$33,MATCH(Compilado[[#This Row],[Items]],Check!$C$5:$C$33,0))</f>
        <v>COMBUSTIBLE Y MANTENIMIENTO</v>
      </c>
      <c r="F117" s="69">
        <f>+IFERROR(INDEX(Tabla2[TC],MATCH(Compilado[[#This Row],[Mes]],Tabla2[Mes],0))*Compilado[[#This Row],[USD]],0)</f>
        <v>273836.35495863023</v>
      </c>
      <c r="G117" s="150">
        <v>45992</v>
      </c>
    </row>
    <row r="118" spans="1:7">
      <c r="A118" t="s">
        <v>339</v>
      </c>
      <c r="B118" t="s">
        <v>96</v>
      </c>
      <c r="C118" s="2">
        <v>90.751310509738531</v>
      </c>
      <c r="D118" t="s">
        <v>15</v>
      </c>
      <c r="E118" t="str">
        <f>+INDEX(Check!$B$5:$B$33,MATCH(Compilado[[#This Row],[Items]],Check!$C$5:$C$33,0))</f>
        <v>COMBUSTIBLE Y MANTENIMIENTO</v>
      </c>
      <c r="F118" s="69">
        <f>+IFERROR(INDEX(Tabla2[TC],MATCH(Compilado[[#This Row],[Mes]],Tabla2[Mes],0))*Compilado[[#This Row],[USD]],0)</f>
        <v>110751.03960151724</v>
      </c>
      <c r="G118" s="150">
        <v>46023</v>
      </c>
    </row>
    <row r="119" spans="1:7">
      <c r="A119" t="s">
        <v>339</v>
      </c>
      <c r="B119" t="s">
        <v>97</v>
      </c>
      <c r="C119" s="2">
        <v>438.23745776814008</v>
      </c>
      <c r="D119" t="s">
        <v>15</v>
      </c>
      <c r="E119" t="str">
        <f>+INDEX(Check!$B$5:$B$33,MATCH(Compilado[[#This Row],[Items]],Check!$C$5:$C$33,0))</f>
        <v>COMBUSTIBLE Y MANTENIMIENTO</v>
      </c>
      <c r="F119" s="69">
        <f>+IFERROR(INDEX(Tabla2[TC],MATCH(Compilado[[#This Row],[Mes]],Tabla2[Mes],0))*Compilado[[#This Row],[USD]],0)</f>
        <v>540164.17289410485</v>
      </c>
      <c r="G119" s="150">
        <v>46054</v>
      </c>
    </row>
    <row r="120" spans="1:7">
      <c r="A120" t="s">
        <v>339</v>
      </c>
      <c r="B120" t="s">
        <v>98</v>
      </c>
      <c r="C120" s="2">
        <v>432.64437668988035</v>
      </c>
      <c r="D120" t="s">
        <v>15</v>
      </c>
      <c r="E120" t="str">
        <f>+INDEX(Check!$B$5:$B$33,MATCH(Compilado[[#This Row],[Items]],Check!$C$5:$C$33,0))</f>
        <v>COMBUSTIBLE Y MANTENIMIENTO</v>
      </c>
      <c r="F120" s="69">
        <f>+IFERROR(INDEX(Tabla2[TC],MATCH(Compilado[[#This Row],[Mes]],Tabla2[Mes],0))*Compilado[[#This Row],[USD]],0)</f>
        <v>538602.93689403182</v>
      </c>
      <c r="G120" s="150">
        <v>46082</v>
      </c>
    </row>
    <row r="121" spans="1:7">
      <c r="A121" t="s">
        <v>339</v>
      </c>
      <c r="B121" t="s">
        <v>99</v>
      </c>
      <c r="C121" s="2">
        <v>45.853385100850723</v>
      </c>
      <c r="D121" t="s">
        <v>15</v>
      </c>
      <c r="E121" t="str">
        <f>+INDEX(Check!$B$5:$B$33,MATCH(Compilado[[#This Row],[Items]],Check!$C$5:$C$33,0))</f>
        <v>COMBUSTIBLE Y MANTENIMIENTO</v>
      </c>
      <c r="F121" s="69">
        <f>+IFERROR(INDEX(Tabla2[TC],MATCH(Compilado[[#This Row],[Mes]],Tabla2[Mes],0))*Compilado[[#This Row],[USD]],0)</f>
        <v>57654.130978222405</v>
      </c>
      <c r="G121" s="150">
        <v>46113</v>
      </c>
    </row>
    <row r="122" spans="1:7">
      <c r="A122" t="s">
        <v>346</v>
      </c>
      <c r="B122" t="s">
        <v>99</v>
      </c>
      <c r="C122" s="2">
        <v>93702.81</v>
      </c>
      <c r="D122" t="s">
        <v>373</v>
      </c>
      <c r="E122" t="str">
        <f>+INDEX(Check!$B$5:$B$33,MATCH(Compilado[[#This Row],[Items]],Check!$C$5:$C$33,0))</f>
        <v>FERTILIZANTES</v>
      </c>
      <c r="F122" s="69">
        <f>+IFERROR(INDEX(Tabla2[TC],MATCH(Compilado[[#This Row],[Mes]],Tabla2[Mes],0))*Compilado[[#This Row],[USD]],0)</f>
        <v>117817999.01763976</v>
      </c>
      <c r="G122" s="150">
        <v>46113</v>
      </c>
    </row>
    <row r="123" spans="1:7">
      <c r="A123" t="s">
        <v>346</v>
      </c>
      <c r="B123" t="s">
        <v>99</v>
      </c>
      <c r="C123" s="2">
        <v>30457.290000000005</v>
      </c>
      <c r="D123" t="s">
        <v>373</v>
      </c>
      <c r="E123" t="str">
        <f>+INDEX(Check!$B$5:$B$33,MATCH(Compilado[[#This Row],[Items]],Check!$C$5:$C$33,0))</f>
        <v>FERTILIZANTES</v>
      </c>
      <c r="F123" s="69">
        <f>+IFERROR(INDEX(Tabla2[TC],MATCH(Compilado[[#This Row],[Mes]],Tabla2[Mes],0))*Compilado[[#This Row],[USD]],0)</f>
        <v>38295724.144238256</v>
      </c>
      <c r="G123" s="150">
        <v>46113</v>
      </c>
    </row>
    <row r="124" spans="1:7">
      <c r="A124" t="s">
        <v>346</v>
      </c>
      <c r="B124" t="s">
        <v>99</v>
      </c>
      <c r="C124" s="2">
        <v>30729.9</v>
      </c>
      <c r="D124" t="s">
        <v>373</v>
      </c>
      <c r="E124" t="str">
        <f>+INDEX(Check!$B$5:$B$33,MATCH(Compilado[[#This Row],[Items]],Check!$C$5:$C$33,0))</f>
        <v>FERTILIZANTES</v>
      </c>
      <c r="F124" s="69">
        <f>+IFERROR(INDEX(Tabla2[TC],MATCH(Compilado[[#This Row],[Mes]],Tabla2[Mes],0))*Compilado[[#This Row],[USD]],0)</f>
        <v>38638492.570416711</v>
      </c>
      <c r="G124" s="150">
        <v>46113</v>
      </c>
    </row>
    <row r="125" spans="1:7">
      <c r="A125" t="s">
        <v>346</v>
      </c>
      <c r="B125" t="s">
        <v>99</v>
      </c>
      <c r="C125" s="2">
        <v>44489.144</v>
      </c>
      <c r="D125" t="s">
        <v>15</v>
      </c>
      <c r="E125" t="str">
        <f>+INDEX(Check!$B$5:$B$33,MATCH(Compilado[[#This Row],[Items]],Check!$C$5:$C$33,0))</f>
        <v>FERTILIZANTES</v>
      </c>
      <c r="F125" s="69">
        <f>+IFERROR(INDEX(Tabla2[TC],MATCH(Compilado[[#This Row],[Mes]],Tabla2[Mes],0))*Compilado[[#This Row],[USD]],0)</f>
        <v>55938791.206876658</v>
      </c>
      <c r="G125" s="150">
        <v>46113</v>
      </c>
    </row>
    <row r="126" spans="1:7">
      <c r="A126" t="s">
        <v>346</v>
      </c>
      <c r="B126" t="s">
        <v>99</v>
      </c>
      <c r="C126" s="2">
        <v>48580</v>
      </c>
      <c r="D126" t="s">
        <v>12</v>
      </c>
      <c r="E126" t="str">
        <f>+INDEX(Check!$B$5:$B$33,MATCH(Compilado[[#This Row],[Items]],Check!$C$5:$C$33,0))</f>
        <v>FERTILIZANTES</v>
      </c>
      <c r="F126" s="69">
        <f>+IFERROR(INDEX(Tabla2[TC],MATCH(Compilado[[#This Row],[Mes]],Tabla2[Mes],0))*Compilado[[#This Row],[USD]],0)</f>
        <v>61082462.652688213</v>
      </c>
      <c r="G126" s="150">
        <v>46113</v>
      </c>
    </row>
    <row r="127" spans="1:7">
      <c r="A127" t="s">
        <v>346</v>
      </c>
      <c r="B127" t="s">
        <v>99</v>
      </c>
      <c r="C127" s="2">
        <v>40485</v>
      </c>
      <c r="D127" t="s">
        <v>8</v>
      </c>
      <c r="E127" t="str">
        <f>+INDEX(Check!$B$5:$B$33,MATCH(Compilado[[#This Row],[Items]],Check!$C$5:$C$33,0))</f>
        <v>FERTILIZANTES</v>
      </c>
      <c r="F127" s="69">
        <f>+IFERROR(INDEX(Tabla2[TC],MATCH(Compilado[[#This Row],[Mes]],Tabla2[Mes],0))*Compilado[[#This Row],[USD]],0)</f>
        <v>50904147.807618</v>
      </c>
      <c r="G127" s="150">
        <v>46113</v>
      </c>
    </row>
    <row r="128" spans="1:7">
      <c r="A128" t="s">
        <v>346</v>
      </c>
      <c r="B128" t="s">
        <v>99</v>
      </c>
      <c r="C128" s="2">
        <v>26459.65</v>
      </c>
      <c r="D128" t="s">
        <v>8</v>
      </c>
      <c r="E128" t="str">
        <f>+INDEX(Check!$B$5:$B$33,MATCH(Compilado[[#This Row],[Items]],Check!$C$5:$C$33,0))</f>
        <v>FERTILIZANTES</v>
      </c>
      <c r="F128" s="69">
        <f>+IFERROR(INDEX(Tabla2[TC],MATCH(Compilado[[#This Row],[Mes]],Tabla2[Mes],0))*Compilado[[#This Row],[USD]],0)</f>
        <v>33269258.602885999</v>
      </c>
      <c r="G128" s="150">
        <v>46113</v>
      </c>
    </row>
    <row r="129" spans="1:7">
      <c r="A129" t="s">
        <v>346</v>
      </c>
      <c r="B129" t="s">
        <v>99</v>
      </c>
      <c r="C129" s="2">
        <v>26686.82</v>
      </c>
      <c r="D129" t="s">
        <v>4</v>
      </c>
      <c r="E129" t="str">
        <f>+INDEX(Check!$B$5:$B$33,MATCH(Compilado[[#This Row],[Items]],Check!$C$5:$C$33,0))</f>
        <v>FERTILIZANTES</v>
      </c>
      <c r="F129" s="69">
        <f>+IFERROR(INDEX(Tabla2[TC],MATCH(Compilado[[#This Row],[Mes]],Tabla2[Mes],0))*Compilado[[#This Row],[USD]],0)</f>
        <v>33554892.671243578</v>
      </c>
      <c r="G129" s="150">
        <v>46113</v>
      </c>
    </row>
    <row r="130" spans="1:7">
      <c r="A130" t="s">
        <v>336</v>
      </c>
      <c r="B130" t="s">
        <v>88</v>
      </c>
      <c r="C130" s="2">
        <v>851.01123751765749</v>
      </c>
      <c r="D130" t="s">
        <v>8</v>
      </c>
      <c r="E130" t="str">
        <f>+INDEX(Check!$B$5:$B$33,MATCH(Compilado[[#This Row],[Items]],Check!$C$5:$C$33,0))</f>
        <v>PERSONAL FINCA</v>
      </c>
      <c r="F130" s="69">
        <f>+IFERROR(INDEX(Tabla2[TC],MATCH(Compilado[[#This Row],[Mes]],Tabla2[Mes],0))*Compilado[[#This Row],[USD]],0)</f>
        <v>959089.66468239995</v>
      </c>
      <c r="G130" s="150">
        <v>45778</v>
      </c>
    </row>
    <row r="131" spans="1:7">
      <c r="A131" t="s">
        <v>336</v>
      </c>
      <c r="B131" t="s">
        <v>89</v>
      </c>
      <c r="C131" s="2">
        <v>1210.6493248240752</v>
      </c>
      <c r="D131" t="s">
        <v>8</v>
      </c>
      <c r="E131" t="str">
        <f>+INDEX(Check!$B$5:$B$33,MATCH(Compilado[[#This Row],[Items]],Check!$C$5:$C$33,0))</f>
        <v>PERSONAL FINCA</v>
      </c>
      <c r="F131" s="69">
        <f>+IFERROR(INDEX(Tabla2[TC],MATCH(Compilado[[#This Row],[Mes]],Tabla2[Mes],0))*Compilado[[#This Row],[USD]],0)</f>
        <v>1378045.8069675001</v>
      </c>
      <c r="G131" s="150">
        <v>45809</v>
      </c>
    </row>
    <row r="132" spans="1:7">
      <c r="A132" t="s">
        <v>336</v>
      </c>
      <c r="B132" t="s">
        <v>90</v>
      </c>
      <c r="C132" s="2">
        <v>866.89070666732641</v>
      </c>
      <c r="D132" t="s">
        <v>8</v>
      </c>
      <c r="E132" t="str">
        <f>+INDEX(Check!$B$5:$B$33,MATCH(Compilado[[#This Row],[Items]],Check!$C$5:$C$33,0))</f>
        <v>PERSONAL FINCA</v>
      </c>
      <c r="F132" s="69">
        <f>+IFERROR(INDEX(Tabla2[TC],MATCH(Compilado[[#This Row],[Mes]],Tabla2[Mes],0))*Compilado[[#This Row],[USD]],0)</f>
        <v>996623.24152499984</v>
      </c>
      <c r="G132" s="150">
        <v>45839</v>
      </c>
    </row>
    <row r="133" spans="1:7">
      <c r="A133" t="s">
        <v>336</v>
      </c>
      <c r="B133" t="s">
        <v>91</v>
      </c>
      <c r="C133" s="2">
        <v>884.40538793899555</v>
      </c>
      <c r="D133" t="s">
        <v>8</v>
      </c>
      <c r="E133" t="str">
        <f>+INDEX(Check!$B$5:$B$33,MATCH(Compilado[[#This Row],[Items]],Check!$C$5:$C$33,0))</f>
        <v>PERSONAL FINCA</v>
      </c>
      <c r="F133" s="69">
        <f>+IFERROR(INDEX(Tabla2[TC],MATCH(Compilado[[#This Row],[Mes]],Tabla2[Mes],0))*Compilado[[#This Row],[USD]],0)</f>
        <v>1026926.6325599999</v>
      </c>
      <c r="G133" s="150">
        <v>45870</v>
      </c>
    </row>
    <row r="134" spans="1:7">
      <c r="A134" t="s">
        <v>336</v>
      </c>
      <c r="B134" t="s">
        <v>92</v>
      </c>
      <c r="C134" s="2">
        <v>843.3383787503019</v>
      </c>
      <c r="D134" t="s">
        <v>8</v>
      </c>
      <c r="E134" t="str">
        <f>+INDEX(Check!$B$5:$B$33,MATCH(Compilado[[#This Row],[Items]],Check!$C$5:$C$33,0))</f>
        <v>PERSONAL FINCA</v>
      </c>
      <c r="F134" s="69">
        <f>+IFERROR(INDEX(Tabla2[TC],MATCH(Compilado[[#This Row],[Mes]],Tabla2[Mes],0))*Compilado[[#This Row],[USD]],0)</f>
        <v>989034.12365119986</v>
      </c>
      <c r="G134" s="150">
        <v>45901</v>
      </c>
    </row>
    <row r="135" spans="1:7">
      <c r="A135" t="s">
        <v>336</v>
      </c>
      <c r="B135" t="s">
        <v>93</v>
      </c>
      <c r="C135" s="2">
        <v>894.07149544090396</v>
      </c>
      <c r="D135" t="s">
        <v>8</v>
      </c>
      <c r="E135" t="str">
        <f>+INDEX(Check!$B$5:$B$33,MATCH(Compilado[[#This Row],[Items]],Check!$C$5:$C$33,0))</f>
        <v>PERSONAL FINCA</v>
      </c>
      <c r="F135" s="69">
        <f>+IFERROR(INDEX(Tabla2[TC],MATCH(Compilado[[#This Row],[Mes]],Tabla2[Mes],0))*Compilado[[#This Row],[USD]],0)</f>
        <v>1059017.2493727999</v>
      </c>
      <c r="G135" s="150">
        <v>45931</v>
      </c>
    </row>
    <row r="136" spans="1:7">
      <c r="A136" t="s">
        <v>336</v>
      </c>
      <c r="B136" t="s">
        <v>94</v>
      </c>
      <c r="C136" s="2">
        <v>852.67927282475296</v>
      </c>
      <c r="D136" t="s">
        <v>8</v>
      </c>
      <c r="E136" t="str">
        <f>+INDEX(Check!$B$5:$B$33,MATCH(Compilado[[#This Row],[Items]],Check!$C$5:$C$33,0))</f>
        <v>PERSONAL FINCA</v>
      </c>
      <c r="F136" s="69">
        <f>+IFERROR(INDEX(Tabla2[TC],MATCH(Compilado[[#This Row],[Mes]],Tabla2[Mes],0))*Compilado[[#This Row],[USD]],0)</f>
        <v>1020088.5313264</v>
      </c>
      <c r="G136" s="150">
        <v>45962</v>
      </c>
    </row>
    <row r="137" spans="1:7">
      <c r="A137" t="s">
        <v>336</v>
      </c>
      <c r="B137" t="s">
        <v>95</v>
      </c>
      <c r="C137" s="2">
        <v>1294.0647810767125</v>
      </c>
      <c r="D137" t="s">
        <v>8</v>
      </c>
      <c r="E137" t="str">
        <f>+INDEX(Check!$B$5:$B$33,MATCH(Compilado[[#This Row],[Items]],Check!$C$5:$C$33,0))</f>
        <v>PERSONAL FINCA</v>
      </c>
      <c r="F137" s="69">
        <f>+IFERROR(INDEX(Tabla2[TC],MATCH(Compilado[[#This Row],[Mes]],Tabla2[Mes],0))*Compilado[[#This Row],[USD]],0)</f>
        <v>1563613.9998720002</v>
      </c>
      <c r="G137" s="150">
        <v>45992</v>
      </c>
    </row>
    <row r="138" spans="1:7">
      <c r="A138" t="s">
        <v>336</v>
      </c>
      <c r="B138" t="s">
        <v>96</v>
      </c>
      <c r="C138" s="2">
        <v>574.2363482284768</v>
      </c>
      <c r="D138" t="s">
        <v>8</v>
      </c>
      <c r="E138" t="str">
        <f>+INDEX(Check!$B$5:$B$33,MATCH(Compilado[[#This Row],[Items]],Check!$C$5:$C$33,0))</f>
        <v>PERSONAL FINCA</v>
      </c>
      <c r="F138" s="69">
        <f>+IFERROR(INDEX(Tabla2[TC],MATCH(Compilado[[#This Row],[Mes]],Tabla2[Mes],0))*Compilado[[#This Row],[USD]],0)</f>
        <v>700786.27169199998</v>
      </c>
      <c r="G138" s="150">
        <v>46023</v>
      </c>
    </row>
    <row r="139" spans="1:7">
      <c r="A139" t="s">
        <v>336</v>
      </c>
      <c r="B139" t="s">
        <v>97</v>
      </c>
      <c r="C139" s="2">
        <v>249.21215473275143</v>
      </c>
      <c r="D139" t="s">
        <v>8</v>
      </c>
      <c r="E139" t="str">
        <f>+INDEX(Check!$B$5:$B$33,MATCH(Compilado[[#This Row],[Items]],Check!$C$5:$C$33,0))</f>
        <v>PERSONAL FINCA</v>
      </c>
      <c r="F139" s="69">
        <f>+IFERROR(INDEX(Tabla2[TC],MATCH(Compilado[[#This Row],[Mes]],Tabla2[Mes],0))*Compilado[[#This Row],[USD]],0)</f>
        <v>307174.74065759999</v>
      </c>
      <c r="G139" s="150">
        <v>46054</v>
      </c>
    </row>
    <row r="140" spans="1:7">
      <c r="A140" t="s">
        <v>336</v>
      </c>
      <c r="B140" t="s">
        <v>98</v>
      </c>
      <c r="C140" s="2">
        <v>258.6750438054238</v>
      </c>
      <c r="D140" t="s">
        <v>8</v>
      </c>
      <c r="E140" t="str">
        <f>+INDEX(Check!$B$5:$B$33,MATCH(Compilado[[#This Row],[Items]],Check!$C$5:$C$33,0))</f>
        <v>PERSONAL FINCA</v>
      </c>
      <c r="F140" s="69">
        <f>+IFERROR(INDEX(Tabla2[TC],MATCH(Compilado[[#This Row],[Mes]],Tabla2[Mes],0))*Compilado[[#This Row],[USD]],0)</f>
        <v>322026.92511744</v>
      </c>
      <c r="G140" s="150">
        <v>46082</v>
      </c>
    </row>
    <row r="141" spans="1:7">
      <c r="A141" t="s">
        <v>336</v>
      </c>
      <c r="B141" t="s">
        <v>99</v>
      </c>
      <c r="C141" s="2">
        <v>258.65599263090098</v>
      </c>
      <c r="D141" t="s">
        <v>8</v>
      </c>
      <c r="E141" t="str">
        <f>+INDEX(Check!$B$5:$B$33,MATCH(Compilado[[#This Row],[Items]],Check!$C$5:$C$33,0))</f>
        <v>PERSONAL FINCA</v>
      </c>
      <c r="F141" s="69">
        <f>+IFERROR(INDEX(Tabla2[TC],MATCH(Compilado[[#This Row],[Mes]],Tabla2[Mes],0))*Compilado[[#This Row],[USD]],0)</f>
        <v>325223.24021759996</v>
      </c>
      <c r="G141" s="150">
        <v>46113</v>
      </c>
    </row>
    <row r="142" spans="1:7">
      <c r="A142" t="s">
        <v>337</v>
      </c>
      <c r="B142" t="s">
        <v>88</v>
      </c>
      <c r="C142" s="2">
        <v>6963.6492407975165</v>
      </c>
      <c r="D142" t="s">
        <v>8</v>
      </c>
      <c r="E142" t="str">
        <f>+INDEX(Check!$B$5:$B$33,MATCH(Compilado[[#This Row],[Items]],Check!$C$5:$C$33,0))</f>
        <v>PERSONAL FINCA</v>
      </c>
      <c r="F142" s="69">
        <f>+IFERROR(INDEX(Tabla2[TC],MATCH(Compilado[[#This Row],[Mes]],Tabla2[Mes],0))*Compilado[[#This Row],[USD]],0)</f>
        <v>7848032.6943788007</v>
      </c>
      <c r="G142" s="150">
        <v>45778</v>
      </c>
    </row>
    <row r="143" spans="1:7">
      <c r="A143" t="s">
        <v>337</v>
      </c>
      <c r="B143" t="s">
        <v>89</v>
      </c>
      <c r="C143" s="2">
        <v>9936.4788411053614</v>
      </c>
      <c r="D143" t="s">
        <v>8</v>
      </c>
      <c r="E143" t="str">
        <f>+INDEX(Check!$B$5:$B$33,MATCH(Compilado[[#This Row],[Items]],Check!$C$5:$C$33,0))</f>
        <v>PERSONAL FINCA</v>
      </c>
      <c r="F143" s="69">
        <f>+IFERROR(INDEX(Tabla2[TC],MATCH(Compilado[[#This Row],[Mes]],Tabla2[Mes],0))*Compilado[[#This Row],[USD]],0)</f>
        <v>11310395.770465</v>
      </c>
      <c r="G143" s="150">
        <v>45809</v>
      </c>
    </row>
    <row r="144" spans="1:7">
      <c r="A144" t="s">
        <v>337</v>
      </c>
      <c r="B144" t="s">
        <v>90</v>
      </c>
      <c r="C144" s="2">
        <v>7134.0471558062691</v>
      </c>
      <c r="D144" t="s">
        <v>8</v>
      </c>
      <c r="E144" t="str">
        <f>+INDEX(Check!$B$5:$B$33,MATCH(Compilado[[#This Row],[Items]],Check!$C$5:$C$33,0))</f>
        <v>PERSONAL FINCA</v>
      </c>
      <c r="F144" s="69">
        <f>+IFERROR(INDEX(Tabla2[TC],MATCH(Compilado[[#This Row],[Mes]],Tabla2[Mes],0))*Compilado[[#This Row],[USD]],0)</f>
        <v>8201676.574599999</v>
      </c>
      <c r="G144" s="150">
        <v>45839</v>
      </c>
    </row>
    <row r="145" spans="1:7">
      <c r="A145" t="s">
        <v>337</v>
      </c>
      <c r="B145" t="s">
        <v>91</v>
      </c>
      <c r="C145" s="2">
        <v>7276.7626670822365</v>
      </c>
      <c r="D145" t="s">
        <v>8</v>
      </c>
      <c r="E145" t="str">
        <f>+INDEX(Check!$B$5:$B$33,MATCH(Compilado[[#This Row],[Items]],Check!$C$5:$C$33,0))</f>
        <v>PERSONAL FINCA</v>
      </c>
      <c r="F145" s="69">
        <f>+IFERROR(INDEX(Tabla2[TC],MATCH(Compilado[[#This Row],[Mes]],Tabla2[Mes],0))*Compilado[[#This Row],[USD]],0)</f>
        <v>8449407.3459449988</v>
      </c>
      <c r="G145" s="150">
        <v>45870</v>
      </c>
    </row>
    <row r="146" spans="1:7">
      <c r="A146" t="s">
        <v>337</v>
      </c>
      <c r="B146" t="s">
        <v>92</v>
      </c>
      <c r="C146" s="2">
        <v>6933.2840594649997</v>
      </c>
      <c r="D146" t="s">
        <v>8</v>
      </c>
      <c r="E146" t="str">
        <f>+INDEX(Check!$B$5:$B$33,MATCH(Compilado[[#This Row],[Items]],Check!$C$5:$C$33,0))</f>
        <v>PERSONAL FINCA</v>
      </c>
      <c r="F146" s="69">
        <f>+IFERROR(INDEX(Tabla2[TC],MATCH(Compilado[[#This Row],[Mes]],Tabla2[Mes],0))*Compilado[[#This Row],[USD]],0)</f>
        <v>8131083.2004813999</v>
      </c>
      <c r="G146" s="150">
        <v>45901</v>
      </c>
    </row>
    <row r="147" spans="1:7">
      <c r="A147" t="s">
        <v>337</v>
      </c>
      <c r="B147" t="s">
        <v>93</v>
      </c>
      <c r="C147" s="2">
        <v>7360.9771055613373</v>
      </c>
      <c r="D147" t="s">
        <v>8</v>
      </c>
      <c r="E147" t="str">
        <f>+INDEX(Check!$B$5:$B$33,MATCH(Compilado[[#This Row],[Items]],Check!$C$5:$C$33,0))</f>
        <v>PERSONAL FINCA</v>
      </c>
      <c r="F147" s="69">
        <f>+IFERROR(INDEX(Tabla2[TC],MATCH(Compilado[[#This Row],[Mes]],Tabla2[Mes],0))*Compilado[[#This Row],[USD]],0)</f>
        <v>8718991.4528965987</v>
      </c>
      <c r="G147" s="150">
        <v>45931</v>
      </c>
    </row>
    <row r="148" spans="1:7">
      <c r="A148" t="s">
        <v>337</v>
      </c>
      <c r="B148" t="s">
        <v>94</v>
      </c>
      <c r="C148" s="2">
        <v>7014.7366487602803</v>
      </c>
      <c r="D148" t="s">
        <v>8</v>
      </c>
      <c r="E148" t="str">
        <f>+INDEX(Check!$B$5:$B$33,MATCH(Compilado[[#This Row],[Items]],Check!$C$5:$C$33,0))</f>
        <v>PERSONAL FINCA</v>
      </c>
      <c r="F148" s="69">
        <f>+IFERROR(INDEX(Tabla2[TC],MATCH(Compilado[[#This Row],[Mes]],Tabla2[Mes],0))*Compilado[[#This Row],[USD]],0)</f>
        <v>8391962.4104033001</v>
      </c>
      <c r="G148" s="150">
        <v>45962</v>
      </c>
    </row>
    <row r="149" spans="1:7">
      <c r="A149" t="s">
        <v>337</v>
      </c>
      <c r="B149" t="s">
        <v>95</v>
      </c>
      <c r="C149" s="2">
        <v>10650.7046850856</v>
      </c>
      <c r="D149" t="s">
        <v>8</v>
      </c>
      <c r="E149" t="str">
        <f>+INDEX(Check!$B$5:$B$33,MATCH(Compilado[[#This Row],[Items]],Check!$C$5:$C$33,0))</f>
        <v>PERSONAL FINCA</v>
      </c>
      <c r="F149" s="69">
        <f>+IFERROR(INDEX(Tabla2[TC],MATCH(Compilado[[#This Row],[Mes]],Tabla2[Mes],0))*Compilado[[#This Row],[USD]],0)</f>
        <v>12869209.638984</v>
      </c>
      <c r="G149" s="150">
        <v>45992</v>
      </c>
    </row>
    <row r="150" spans="1:7">
      <c r="A150" t="s">
        <v>337</v>
      </c>
      <c r="B150" t="s">
        <v>96</v>
      </c>
      <c r="C150" s="2">
        <v>4729.4499680636809</v>
      </c>
      <c r="D150" t="s">
        <v>8</v>
      </c>
      <c r="E150" t="str">
        <f>+INDEX(Check!$B$5:$B$33,MATCH(Compilado[[#This Row],[Items]],Check!$C$5:$C$33,0))</f>
        <v>PERSONAL FINCA</v>
      </c>
      <c r="F150" s="69">
        <f>+IFERROR(INDEX(Tabla2[TC],MATCH(Compilado[[#This Row],[Mes]],Tabla2[Mes],0))*Compilado[[#This Row],[USD]],0)</f>
        <v>5771723.8215552503</v>
      </c>
      <c r="G150" s="150">
        <v>46023</v>
      </c>
    </row>
    <row r="151" spans="1:7">
      <c r="A151" t="s">
        <v>337</v>
      </c>
      <c r="B151" t="s">
        <v>97</v>
      </c>
      <c r="C151" s="2">
        <v>2050.3557538241539</v>
      </c>
      <c r="D151" t="s">
        <v>8</v>
      </c>
      <c r="E151" t="str">
        <f>+INDEX(Check!$B$5:$B$33,MATCH(Compilado[[#This Row],[Items]],Check!$C$5:$C$33,0))</f>
        <v>PERSONAL FINCA</v>
      </c>
      <c r="F151" s="69">
        <f>+IFERROR(INDEX(Tabla2[TC],MATCH(Compilado[[#This Row],[Mes]],Tabla2[Mes],0))*Compilado[[#This Row],[USD]],0)</f>
        <v>2527234.2659697002</v>
      </c>
      <c r="G151" s="150">
        <v>46054</v>
      </c>
    </row>
    <row r="152" spans="1:7">
      <c r="A152" t="s">
        <v>337</v>
      </c>
      <c r="B152" t="s">
        <v>98</v>
      </c>
      <c r="C152" s="2">
        <v>2130.2785485614863</v>
      </c>
      <c r="D152" t="s">
        <v>8</v>
      </c>
      <c r="E152" t="str">
        <f>+INDEX(Check!$B$5:$B$33,MATCH(Compilado[[#This Row],[Items]],Check!$C$5:$C$33,0))</f>
        <v>PERSONAL FINCA</v>
      </c>
      <c r="F152" s="69">
        <f>+IFERROR(INDEX(Tabla2[TC],MATCH(Compilado[[#This Row],[Mes]],Tabla2[Mes],0))*Compilado[[#This Row],[USD]],0)</f>
        <v>2652003.2259196802</v>
      </c>
      <c r="G152" s="150">
        <v>46082</v>
      </c>
    </row>
    <row r="153" spans="1:7">
      <c r="A153" t="s">
        <v>337</v>
      </c>
      <c r="B153" t="s">
        <v>99</v>
      </c>
      <c r="C153" s="2">
        <v>2130.5420359601376</v>
      </c>
      <c r="D153" t="s">
        <v>8</v>
      </c>
      <c r="E153" t="str">
        <f>+INDEX(Check!$B$5:$B$33,MATCH(Compilado[[#This Row],[Items]],Check!$C$5:$C$33,0))</f>
        <v>PERSONAL FINCA</v>
      </c>
      <c r="F153" s="69">
        <f>+IFERROR(INDEX(Tabla2[TC],MATCH(Compilado[[#This Row],[Mes]],Tabla2[Mes],0))*Compilado[[#This Row],[USD]],0)</f>
        <v>2678854.5562272007</v>
      </c>
      <c r="G153" s="150">
        <v>46113</v>
      </c>
    </row>
    <row r="154" spans="1:7">
      <c r="A154" t="s">
        <v>333</v>
      </c>
      <c r="B154" t="s">
        <v>88</v>
      </c>
      <c r="C154" s="2">
        <v>1089.4159916451429</v>
      </c>
      <c r="D154" t="s">
        <v>8</v>
      </c>
      <c r="E154" t="str">
        <f>+INDEX(Check!$B$5:$B$33,MATCH(Compilado[[#This Row],[Items]],Check!$C$5:$C$33,0))</f>
        <v>PERSONAL FINCA</v>
      </c>
      <c r="F154" s="69">
        <f>+IFERROR(INDEX(Tabla2[TC],MATCH(Compilado[[#This Row],[Mes]],Tabla2[Mes],0))*Compilado[[#This Row],[USD]],0)</f>
        <v>1227771.8225840761</v>
      </c>
      <c r="G154" s="150">
        <v>45778</v>
      </c>
    </row>
    <row r="155" spans="1:7">
      <c r="A155" t="s">
        <v>333</v>
      </c>
      <c r="B155" t="s">
        <v>89</v>
      </c>
      <c r="C155" s="2">
        <v>1845.6531779010911</v>
      </c>
      <c r="D155" t="s">
        <v>8</v>
      </c>
      <c r="E155" t="str">
        <f>+INDEX(Check!$B$5:$B$33,MATCH(Compilado[[#This Row],[Items]],Check!$C$5:$C$33,0))</f>
        <v>PERSONAL FINCA</v>
      </c>
      <c r="F155" s="69">
        <f>+IFERROR(INDEX(Tabla2[TC],MATCH(Compilado[[#This Row],[Mes]],Tabla2[Mes],0))*Compilado[[#This Row],[USD]],0)</f>
        <v>2100851.6428094748</v>
      </c>
      <c r="G155" s="150">
        <v>45809</v>
      </c>
    </row>
    <row r="156" spans="1:7">
      <c r="A156" t="s">
        <v>333</v>
      </c>
      <c r="B156" t="s">
        <v>90</v>
      </c>
      <c r="C156" s="2">
        <v>1112.0686079445989</v>
      </c>
      <c r="D156" t="s">
        <v>8</v>
      </c>
      <c r="E156" t="str">
        <f>+INDEX(Check!$B$5:$B$33,MATCH(Compilado[[#This Row],[Items]],Check!$C$5:$C$33,0))</f>
        <v>PERSONAL FINCA</v>
      </c>
      <c r="F156" s="69">
        <f>+IFERROR(INDEX(Tabla2[TC],MATCH(Compilado[[#This Row],[Mes]],Tabla2[Mes],0))*Compilado[[#This Row],[USD]],0)</f>
        <v>1278492.6777087497</v>
      </c>
      <c r="G156" s="150">
        <v>45839</v>
      </c>
    </row>
    <row r="157" spans="1:7">
      <c r="A157" t="s">
        <v>333</v>
      </c>
      <c r="B157" t="s">
        <v>91</v>
      </c>
      <c r="C157" s="2">
        <v>1164.2624941058932</v>
      </c>
      <c r="D157" t="s">
        <v>8</v>
      </c>
      <c r="E157" t="str">
        <f>+INDEX(Check!$B$5:$B$33,MATCH(Compilado[[#This Row],[Items]],Check!$C$5:$C$33,0))</f>
        <v>PERSONAL FINCA</v>
      </c>
      <c r="F157" s="69">
        <f>+IFERROR(INDEX(Tabla2[TC],MATCH(Compilado[[#This Row],[Mes]],Tabla2[Mes],0))*Compilado[[#This Row],[USD]],0)</f>
        <v>1351882.49505615</v>
      </c>
      <c r="G157" s="150">
        <v>45870</v>
      </c>
    </row>
    <row r="158" spans="1:7">
      <c r="A158" t="s">
        <v>333</v>
      </c>
      <c r="B158" t="s">
        <v>92</v>
      </c>
      <c r="C158" s="2">
        <v>1082.8744889588356</v>
      </c>
      <c r="D158" t="s">
        <v>8</v>
      </c>
      <c r="E158" t="str">
        <f>+INDEX(Check!$B$5:$B$33,MATCH(Compilado[[#This Row],[Items]],Check!$C$5:$C$33,0))</f>
        <v>PERSONAL FINCA</v>
      </c>
      <c r="F158" s="69">
        <f>+IFERROR(INDEX(Tabla2[TC],MATCH(Compilado[[#This Row],[Mes]],Tabla2[Mes],0))*Compilado[[#This Row],[USD]],0)</f>
        <v>1269952.6645504979</v>
      </c>
      <c r="G158" s="150">
        <v>45901</v>
      </c>
    </row>
    <row r="159" spans="1:7">
      <c r="A159" t="s">
        <v>333</v>
      </c>
      <c r="B159" t="s">
        <v>93</v>
      </c>
      <c r="C159" s="2">
        <v>1199.9001170120168</v>
      </c>
      <c r="D159" t="s">
        <v>8</v>
      </c>
      <c r="E159" t="str">
        <f>+INDEX(Check!$B$5:$B$33,MATCH(Compilado[[#This Row],[Items]],Check!$C$5:$C$33,0))</f>
        <v>PERSONAL FINCA</v>
      </c>
      <c r="F159" s="69">
        <f>+IFERROR(INDEX(Tabla2[TC],MATCH(Compilado[[#This Row],[Mes]],Tabla2[Mes],0))*Compilado[[#This Row],[USD]],0)</f>
        <v>1421267.6815219619</v>
      </c>
      <c r="G159" s="150">
        <v>45931</v>
      </c>
    </row>
    <row r="160" spans="1:7">
      <c r="A160" t="s">
        <v>333</v>
      </c>
      <c r="B160" t="s">
        <v>94</v>
      </c>
      <c r="C160" s="2">
        <v>1117.6630270947569</v>
      </c>
      <c r="D160" t="s">
        <v>8</v>
      </c>
      <c r="E160" t="str">
        <f>+INDEX(Check!$B$5:$B$33,MATCH(Compilado[[#This Row],[Items]],Check!$C$5:$C$33,0))</f>
        <v>PERSONAL FINCA</v>
      </c>
      <c r="F160" s="69">
        <f>+IFERROR(INDEX(Tabla2[TC],MATCH(Compilado[[#This Row],[Mes]],Tabla2[Mes],0))*Compilado[[#This Row],[USD]],0)</f>
        <v>1337097.396597831</v>
      </c>
      <c r="G160" s="150">
        <v>45962</v>
      </c>
    </row>
    <row r="161" spans="1:7">
      <c r="A161" t="s">
        <v>333</v>
      </c>
      <c r="B161" t="s">
        <v>95</v>
      </c>
      <c r="C161" s="2">
        <v>2062.3042694254491</v>
      </c>
      <c r="D161" t="s">
        <v>8</v>
      </c>
      <c r="E161" t="str">
        <f>+INDEX(Check!$B$5:$B$33,MATCH(Compilado[[#This Row],[Items]],Check!$C$5:$C$33,0))</f>
        <v>PERSONAL FINCA</v>
      </c>
      <c r="F161" s="69">
        <f>+IFERROR(INDEX(Tabla2[TC],MATCH(Compilado[[#This Row],[Mes]],Tabla2[Mes],0))*Compilado[[#This Row],[USD]],0)</f>
        <v>2491875.1169368792</v>
      </c>
      <c r="G161" s="150">
        <v>45992</v>
      </c>
    </row>
    <row r="162" spans="1:7">
      <c r="A162" t="s">
        <v>333</v>
      </c>
      <c r="B162" t="s">
        <v>96</v>
      </c>
      <c r="C162" s="2">
        <v>1198.4784024523151</v>
      </c>
      <c r="D162" t="s">
        <v>8</v>
      </c>
      <c r="E162" t="str">
        <f>+INDEX(Check!$B$5:$B$33,MATCH(Compilado[[#This Row],[Items]],Check!$C$5:$C$33,0))</f>
        <v>PERSONAL FINCA</v>
      </c>
      <c r="F162" s="69">
        <f>+IFERROR(INDEX(Tabla2[TC],MATCH(Compilado[[#This Row],[Mes]],Tabla2[Mes],0))*Compilado[[#This Row],[USD]],0)</f>
        <v>1462598.4822259499</v>
      </c>
      <c r="G162" s="150">
        <v>46023</v>
      </c>
    </row>
    <row r="163" spans="1:7">
      <c r="A163" t="s">
        <v>333</v>
      </c>
      <c r="B163" t="s">
        <v>97</v>
      </c>
      <c r="C163" s="2">
        <v>1091.5064179060291</v>
      </c>
      <c r="D163" t="s">
        <v>8</v>
      </c>
      <c r="E163" t="str">
        <f>+INDEX(Check!$B$5:$B$33,MATCH(Compilado[[#This Row],[Items]],Check!$C$5:$C$33,0))</f>
        <v>PERSONAL FINCA</v>
      </c>
      <c r="F163" s="69">
        <f>+IFERROR(INDEX(Tabla2[TC],MATCH(Compilado[[#This Row],[Mes]],Tabla2[Mes],0))*Compilado[[#This Row],[USD]],0)</f>
        <v>1345372.5850809298</v>
      </c>
      <c r="G163" s="150">
        <v>46054</v>
      </c>
    </row>
    <row r="164" spans="1:7">
      <c r="A164" t="s">
        <v>333</v>
      </c>
      <c r="B164" t="s">
        <v>98</v>
      </c>
      <c r="C164" s="2">
        <v>1166.6839138962173</v>
      </c>
      <c r="D164" t="s">
        <v>8</v>
      </c>
      <c r="E164" t="str">
        <f>+INDEX(Check!$B$5:$B$33,MATCH(Compilado[[#This Row],[Items]],Check!$C$5:$C$33,0))</f>
        <v>PERSONAL FINCA</v>
      </c>
      <c r="F164" s="69">
        <f>+IFERROR(INDEX(Tabla2[TC],MATCH(Compilado[[#This Row],[Mes]],Tabla2[Mes],0))*Compilado[[#This Row],[USD]],0)</f>
        <v>1452415.4624617922</v>
      </c>
      <c r="G164" s="150">
        <v>46082</v>
      </c>
    </row>
    <row r="165" spans="1:7">
      <c r="A165" t="s">
        <v>333</v>
      </c>
      <c r="B165" t="s">
        <v>99</v>
      </c>
      <c r="C165" s="2">
        <v>1173.4539602844025</v>
      </c>
      <c r="D165" t="s">
        <v>8</v>
      </c>
      <c r="E165" t="str">
        <f>+INDEX(Check!$B$5:$B$33,MATCH(Compilado[[#This Row],[Items]],Check!$C$5:$C$33,0))</f>
        <v>PERSONAL FINCA</v>
      </c>
      <c r="F165" s="69">
        <f>+IFERROR(INDEX(Tabla2[TC],MATCH(Compilado[[#This Row],[Mes]],Tabla2[Mes],0))*Compilado[[#This Row],[USD]],0)</f>
        <v>1475451.9906076801</v>
      </c>
      <c r="G165" s="150">
        <v>46113</v>
      </c>
    </row>
    <row r="166" spans="1:7">
      <c r="A166" t="s">
        <v>335</v>
      </c>
      <c r="B166" t="s">
        <v>88</v>
      </c>
      <c r="C166" s="2">
        <v>606.89060189145835</v>
      </c>
      <c r="D166" t="s">
        <v>8</v>
      </c>
      <c r="E166" t="str">
        <f>+INDEX(Check!$B$5:$B$33,MATCH(Compilado[[#This Row],[Items]],Check!$C$5:$C$33,0))</f>
        <v>PERSONAL FINCA</v>
      </c>
      <c r="F166" s="69">
        <f>+IFERROR(INDEX(Tabla2[TC],MATCH(Compilado[[#This Row],[Mes]],Tabla2[Mes],0))*Compilado[[#This Row],[USD]],0)</f>
        <v>683965.70833167352</v>
      </c>
      <c r="G166" s="150">
        <v>45778</v>
      </c>
    </row>
    <row r="167" spans="1:7">
      <c r="A167" t="s">
        <v>335</v>
      </c>
      <c r="B167" t="s">
        <v>89</v>
      </c>
      <c r="C167" s="2">
        <v>613.43399046943216</v>
      </c>
      <c r="D167" t="s">
        <v>8</v>
      </c>
      <c r="E167" t="str">
        <f>+INDEX(Check!$B$5:$B$33,MATCH(Compilado[[#This Row],[Items]],Check!$C$5:$C$33,0))</f>
        <v>PERSONAL FINCA</v>
      </c>
      <c r="F167" s="69">
        <f>+IFERROR(INDEX(Tabla2[TC],MATCH(Compilado[[#This Row],[Mes]],Tabla2[Mes],0))*Compilado[[#This Row],[USD]],0)</f>
        <v>698253.50833164051</v>
      </c>
      <c r="G167" s="150">
        <v>45809</v>
      </c>
    </row>
    <row r="168" spans="1:7">
      <c r="A168" t="s">
        <v>335</v>
      </c>
      <c r="B168" t="s">
        <v>90</v>
      </c>
      <c r="C168" s="2">
        <v>619.97250357863743</v>
      </c>
      <c r="D168" t="s">
        <v>8</v>
      </c>
      <c r="E168" t="str">
        <f>+INDEX(Check!$B$5:$B$33,MATCH(Compilado[[#This Row],[Items]],Check!$C$5:$C$33,0))</f>
        <v>PERSONAL FINCA</v>
      </c>
      <c r="F168" s="69">
        <f>+IFERROR(INDEX(Tabla2[TC],MATCH(Compilado[[#This Row],[Mes]],Tabla2[Mes],0))*Compilado[[#This Row],[USD]],0)</f>
        <v>712753.06266494025</v>
      </c>
      <c r="G168" s="150">
        <v>45839</v>
      </c>
    </row>
    <row r="169" spans="1:7">
      <c r="A169" t="s">
        <v>335</v>
      </c>
      <c r="B169" t="s">
        <v>91</v>
      </c>
      <c r="C169" s="2">
        <v>622.21813566394565</v>
      </c>
      <c r="D169" t="s">
        <v>8</v>
      </c>
      <c r="E169" t="str">
        <f>+INDEX(Check!$B$5:$B$33,MATCH(Compilado[[#This Row],[Items]],Check!$C$5:$C$33,0))</f>
        <v>PERSONAL FINCA</v>
      </c>
      <c r="F169" s="69">
        <f>+IFERROR(INDEX(Tabla2[TC],MATCH(Compilado[[#This Row],[Mes]],Tabla2[Mes],0))*Compilado[[#This Row],[USD]],0)</f>
        <v>722488.10725157172</v>
      </c>
      <c r="G169" s="150">
        <v>45870</v>
      </c>
    </row>
    <row r="170" spans="1:7">
      <c r="A170" t="s">
        <v>335</v>
      </c>
      <c r="B170" t="s">
        <v>92</v>
      </c>
      <c r="C170" s="2">
        <v>657.78935085329192</v>
      </c>
      <c r="D170" t="s">
        <v>8</v>
      </c>
      <c r="E170" t="str">
        <f>+INDEX(Check!$B$5:$B$33,MATCH(Compilado[[#This Row],[Items]],Check!$C$5:$C$33,0))</f>
        <v>PERSONAL FINCA</v>
      </c>
      <c r="F170" s="69">
        <f>+IFERROR(INDEX(Tabla2[TC],MATCH(Compilado[[#This Row],[Mes]],Tabla2[Mes],0))*Compilado[[#This Row],[USD]],0)</f>
        <v>771429.51223485311</v>
      </c>
      <c r="G170" s="150">
        <v>45901</v>
      </c>
    </row>
    <row r="171" spans="1:7">
      <c r="A171" t="s">
        <v>335</v>
      </c>
      <c r="B171" t="s">
        <v>93</v>
      </c>
      <c r="C171" s="2">
        <v>659.95776143022522</v>
      </c>
      <c r="D171" t="s">
        <v>8</v>
      </c>
      <c r="E171" t="str">
        <f>+INDEX(Check!$B$5:$B$33,MATCH(Compilado[[#This Row],[Items]],Check!$C$5:$C$33,0))</f>
        <v>PERSONAL FINCA</v>
      </c>
      <c r="F171" s="69">
        <f>+IFERROR(INDEX(Tabla2[TC],MATCH(Compilado[[#This Row],[Mes]],Tabla2[Mes],0))*Compilado[[#This Row],[USD]],0)</f>
        <v>781712.2643725574</v>
      </c>
      <c r="G171" s="150">
        <v>45931</v>
      </c>
    </row>
    <row r="172" spans="1:7">
      <c r="A172" t="s">
        <v>335</v>
      </c>
      <c r="B172" t="s">
        <v>94</v>
      </c>
      <c r="C172" s="2">
        <v>662.20662410633497</v>
      </c>
      <c r="D172" t="s">
        <v>8</v>
      </c>
      <c r="E172" t="str">
        <f>+INDEX(Check!$B$5:$B$33,MATCH(Compilado[[#This Row],[Items]],Check!$C$5:$C$33,0))</f>
        <v>PERSONAL FINCA</v>
      </c>
      <c r="F172" s="69">
        <f>+IFERROR(INDEX(Tabla2[TC],MATCH(Compilado[[#This Row],[Mes]],Tabla2[Mes],0))*Compilado[[#This Row],[USD]],0)</f>
        <v>792219.77611982927</v>
      </c>
      <c r="G172" s="150">
        <v>45962</v>
      </c>
    </row>
    <row r="173" spans="1:7">
      <c r="A173" t="s">
        <v>335</v>
      </c>
      <c r="B173" t="s">
        <v>95</v>
      </c>
      <c r="C173" s="2">
        <v>664.43926625789095</v>
      </c>
      <c r="D173" t="s">
        <v>8</v>
      </c>
      <c r="E173" t="str">
        <f>+INDEX(Check!$B$5:$B$33,MATCH(Compilado[[#This Row],[Items]],Check!$C$5:$C$33,0))</f>
        <v>PERSONAL FINCA</v>
      </c>
      <c r="F173" s="69">
        <f>+IFERROR(INDEX(Tabla2[TC],MATCH(Compilado[[#This Row],[Mes]],Tabla2[Mes],0))*Compilado[[#This Row],[USD]],0)</f>
        <v>802839.66767188453</v>
      </c>
      <c r="G173" s="150">
        <v>45992</v>
      </c>
    </row>
    <row r="174" spans="1:7">
      <c r="A174" t="s">
        <v>335</v>
      </c>
      <c r="B174" t="s">
        <v>96</v>
      </c>
      <c r="C174" s="2">
        <v>666.74695371756195</v>
      </c>
      <c r="D174" t="s">
        <v>8</v>
      </c>
      <c r="E174" t="str">
        <f>+INDEX(Check!$B$5:$B$33,MATCH(Compilado[[#This Row],[Items]],Check!$C$5:$C$33,0))</f>
        <v>PERSONAL FINCA</v>
      </c>
      <c r="F174" s="69">
        <f>+IFERROR(INDEX(Tabla2[TC],MATCH(Compilado[[#This Row],[Mes]],Tabla2[Mes],0))*Compilado[[#This Row],[USD]],0)</f>
        <v>813684.31883350713</v>
      </c>
      <c r="G174" s="150">
        <v>46023</v>
      </c>
    </row>
    <row r="175" spans="1:7">
      <c r="A175" t="s">
        <v>335</v>
      </c>
      <c r="B175" t="s">
        <v>97</v>
      </c>
      <c r="C175" s="2">
        <v>669.03498388377773</v>
      </c>
      <c r="D175" t="s">
        <v>8</v>
      </c>
      <c r="E175" t="str">
        <f>+INDEX(Check!$B$5:$B$33,MATCH(Compilado[[#This Row],[Items]],Check!$C$5:$C$33,0))</f>
        <v>PERSONAL FINCA</v>
      </c>
      <c r="F175" s="69">
        <f>+IFERROR(INDEX(Tabla2[TC],MATCH(Compilado[[#This Row],[Mes]],Tabla2[Mes],0))*Compilado[[#This Row],[USD]],0)</f>
        <v>824641.34979991335</v>
      </c>
      <c r="G175" s="150">
        <v>46054</v>
      </c>
    </row>
    <row r="176" spans="1:7">
      <c r="A176" t="s">
        <v>335</v>
      </c>
      <c r="B176" t="s">
        <v>98</v>
      </c>
      <c r="C176" s="2">
        <v>671.43802431094355</v>
      </c>
      <c r="D176" t="s">
        <v>8</v>
      </c>
      <c r="E176" t="str">
        <f>+INDEX(Check!$B$5:$B$33,MATCH(Compilado[[#This Row],[Items]],Check!$C$5:$C$33,0))</f>
        <v>PERSONAL FINCA</v>
      </c>
      <c r="F176" s="69">
        <f>+IFERROR(INDEX(Tabla2[TC],MATCH(Compilado[[#This Row],[Mes]],Tabla2[Mes],0))*Compilado[[#This Row],[USD]],0)</f>
        <v>835879.33027827868</v>
      </c>
      <c r="G176" s="150">
        <v>46082</v>
      </c>
    </row>
    <row r="177" spans="1:7">
      <c r="A177" t="s">
        <v>335</v>
      </c>
      <c r="B177" t="s">
        <v>99</v>
      </c>
      <c r="C177" s="2">
        <v>673.81727225863244</v>
      </c>
      <c r="D177" t="s">
        <v>8</v>
      </c>
      <c r="E177" t="str">
        <f>+INDEX(Check!$B$5:$B$33,MATCH(Compilado[[#This Row],[Items]],Check!$C$5:$C$33,0))</f>
        <v>PERSONAL FINCA</v>
      </c>
      <c r="F177" s="69">
        <f>+IFERROR(INDEX(Tabla2[TC],MATCH(Compilado[[#This Row],[Mes]],Tabla2[Mes],0))*Compilado[[#This Row],[USD]],0)</f>
        <v>847229.69056142785</v>
      </c>
      <c r="G177" s="150">
        <v>46113</v>
      </c>
    </row>
    <row r="178" spans="1:7">
      <c r="A178" t="s">
        <v>336</v>
      </c>
      <c r="B178" t="s">
        <v>88</v>
      </c>
      <c r="C178" s="2">
        <v>711.62071650328312</v>
      </c>
      <c r="D178" t="s">
        <v>4</v>
      </c>
      <c r="E178" t="str">
        <f>+INDEX(Check!$B$5:$B$33,MATCH(Compilado[[#This Row],[Items]],Check!$C$5:$C$33,0))</f>
        <v>PERSONAL FINCA</v>
      </c>
      <c r="F178" s="69">
        <f>+IFERROR(INDEX(Tabla2[TC],MATCH(Compilado[[#This Row],[Mes]],Tabla2[Mes],0))*Compilado[[#This Row],[USD]],0)</f>
        <v>801996.5474992001</v>
      </c>
      <c r="G178" s="150">
        <v>45778</v>
      </c>
    </row>
    <row r="179" spans="1:7">
      <c r="A179" t="s">
        <v>336</v>
      </c>
      <c r="B179" t="s">
        <v>89</v>
      </c>
      <c r="C179" s="2">
        <v>1008.0254880476514</v>
      </c>
      <c r="D179" t="s">
        <v>4</v>
      </c>
      <c r="E179" t="str">
        <f>+INDEX(Check!$B$5:$B$33,MATCH(Compilado[[#This Row],[Items]],Check!$C$5:$C$33,0))</f>
        <v>PERSONAL FINCA</v>
      </c>
      <c r="F179" s="69">
        <f>+IFERROR(INDEX(Tabla2[TC],MATCH(Compilado[[#This Row],[Mes]],Tabla2[Mes],0))*Compilado[[#This Row],[USD]],0)</f>
        <v>1147405.1722800001</v>
      </c>
      <c r="G179" s="150">
        <v>45809</v>
      </c>
    </row>
    <row r="180" spans="1:7">
      <c r="A180" t="s">
        <v>336</v>
      </c>
      <c r="B180" t="s">
        <v>90</v>
      </c>
      <c r="C180" s="2">
        <v>728.86405346588572</v>
      </c>
      <c r="D180" t="s">
        <v>4</v>
      </c>
      <c r="E180" t="str">
        <f>+INDEX(Check!$B$5:$B$33,MATCH(Compilado[[#This Row],[Items]],Check!$C$5:$C$33,0))</f>
        <v>PERSONAL FINCA</v>
      </c>
      <c r="F180" s="69">
        <f>+IFERROR(INDEX(Tabla2[TC],MATCH(Compilado[[#This Row],[Mes]],Tabla2[Mes],0))*Compilado[[#This Row],[USD]],0)</f>
        <v>837940.52699999989</v>
      </c>
      <c r="G180" s="150">
        <v>45839</v>
      </c>
    </row>
    <row r="181" spans="1:7">
      <c r="A181" t="s">
        <v>336</v>
      </c>
      <c r="B181" t="s">
        <v>91</v>
      </c>
      <c r="C181" s="2">
        <v>745.7664226477583</v>
      </c>
      <c r="D181" t="s">
        <v>4</v>
      </c>
      <c r="E181" t="str">
        <f>+INDEX(Check!$B$5:$B$33,MATCH(Compilado[[#This Row],[Items]],Check!$C$5:$C$33,0))</f>
        <v>PERSONAL FINCA</v>
      </c>
      <c r="F181" s="69">
        <f>+IFERROR(INDEX(Tabla2[TC],MATCH(Compilado[[#This Row],[Mes]],Tabla2[Mes],0))*Compilado[[#This Row],[USD]],0)</f>
        <v>865946.10517999995</v>
      </c>
      <c r="G181" s="150">
        <v>45870</v>
      </c>
    </row>
    <row r="182" spans="1:7">
      <c r="A182" t="s">
        <v>336</v>
      </c>
      <c r="B182" t="s">
        <v>92</v>
      </c>
      <c r="C182" s="2">
        <v>708.32630237707656</v>
      </c>
      <c r="D182" t="s">
        <v>4</v>
      </c>
      <c r="E182" t="str">
        <f>+INDEX(Check!$B$5:$B$33,MATCH(Compilado[[#This Row],[Items]],Check!$C$5:$C$33,0))</f>
        <v>PERSONAL FINCA</v>
      </c>
      <c r="F182" s="69">
        <f>+IFERROR(INDEX(Tabla2[TC],MATCH(Compilado[[#This Row],[Mes]],Tabla2[Mes],0))*Compilado[[#This Row],[USD]],0)</f>
        <v>830697.26385360002</v>
      </c>
      <c r="G182" s="150">
        <v>45901</v>
      </c>
    </row>
    <row r="183" spans="1:7">
      <c r="A183" t="s">
        <v>336</v>
      </c>
      <c r="B183" t="s">
        <v>93</v>
      </c>
      <c r="C183" s="2">
        <v>756.27409591580204</v>
      </c>
      <c r="D183" t="s">
        <v>4</v>
      </c>
      <c r="E183" t="str">
        <f>+INDEX(Check!$B$5:$B$33,MATCH(Compilado[[#This Row],[Items]],Check!$C$5:$C$33,0))</f>
        <v>PERSONAL FINCA</v>
      </c>
      <c r="F183" s="69">
        <f>+IFERROR(INDEX(Tabla2[TC],MATCH(Compilado[[#This Row],[Mes]],Tabla2[Mes],0))*Compilado[[#This Row],[USD]],0)</f>
        <v>895797.83821839991</v>
      </c>
      <c r="G183" s="150">
        <v>45931</v>
      </c>
    </row>
    <row r="184" spans="1:7">
      <c r="A184" t="s">
        <v>336</v>
      </c>
      <c r="B184" t="s">
        <v>94</v>
      </c>
      <c r="C184" s="2">
        <v>718.51644219182049</v>
      </c>
      <c r="D184" t="s">
        <v>4</v>
      </c>
      <c r="E184" t="str">
        <f>+INDEX(Check!$B$5:$B$33,MATCH(Compilado[[#This Row],[Items]],Check!$C$5:$C$33,0))</f>
        <v>PERSONAL FINCA</v>
      </c>
      <c r="F184" s="69">
        <f>+IFERROR(INDEX(Tabla2[TC],MATCH(Compilado[[#This Row],[Mes]],Tabla2[Mes],0))*Compilado[[#This Row],[USD]],0)</f>
        <v>859585.08152920008</v>
      </c>
      <c r="G184" s="150">
        <v>45962</v>
      </c>
    </row>
    <row r="185" spans="1:7">
      <c r="A185" t="s">
        <v>336</v>
      </c>
      <c r="B185" t="s">
        <v>95</v>
      </c>
      <c r="C185" s="2">
        <v>1092.8798336391255</v>
      </c>
      <c r="D185" t="s">
        <v>4</v>
      </c>
      <c r="E185" t="str">
        <f>+INDEX(Check!$B$5:$B$33,MATCH(Compilado[[#This Row],[Items]],Check!$C$5:$C$33,0))</f>
        <v>PERSONAL FINCA</v>
      </c>
      <c r="F185" s="69">
        <f>+IFERROR(INDEX(Tabla2[TC],MATCH(Compilado[[#This Row],[Mes]],Tabla2[Mes],0))*Compilado[[#This Row],[USD]],0)</f>
        <v>1320522.923616</v>
      </c>
      <c r="G185" s="150">
        <v>45992</v>
      </c>
    </row>
    <row r="186" spans="1:7">
      <c r="A186" t="s">
        <v>336</v>
      </c>
      <c r="B186" t="s">
        <v>96</v>
      </c>
      <c r="C186" s="2">
        <v>561.45219731934867</v>
      </c>
      <c r="D186" t="s">
        <v>4</v>
      </c>
      <c r="E186" t="str">
        <f>+INDEX(Check!$B$5:$B$33,MATCH(Compilado[[#This Row],[Items]],Check!$C$5:$C$33,0))</f>
        <v>PERSONAL FINCA</v>
      </c>
      <c r="F186" s="69">
        <f>+IFERROR(INDEX(Tabla2[TC],MATCH(Compilado[[#This Row],[Mes]],Tabla2[Mes],0))*Compilado[[#This Row],[USD]],0)</f>
        <v>685184.75590500003</v>
      </c>
      <c r="G186" s="150">
        <v>46023</v>
      </c>
    </row>
    <row r="187" spans="1:7">
      <c r="A187" t="s">
        <v>336</v>
      </c>
      <c r="B187" t="s">
        <v>97</v>
      </c>
      <c r="C187" s="2">
        <v>210.08202807583265</v>
      </c>
      <c r="D187" t="s">
        <v>4</v>
      </c>
      <c r="E187" t="str">
        <f>+INDEX(Check!$B$5:$B$33,MATCH(Compilado[[#This Row],[Items]],Check!$C$5:$C$33,0))</f>
        <v>PERSONAL FINCA</v>
      </c>
      <c r="F187" s="69">
        <f>+IFERROR(INDEX(Tabla2[TC],MATCH(Compilado[[#This Row],[Mes]],Tabla2[Mes],0))*Compilado[[#This Row],[USD]],0)</f>
        <v>258943.59992280009</v>
      </c>
      <c r="G187" s="150">
        <v>46054</v>
      </c>
    </row>
    <row r="188" spans="1:7">
      <c r="A188" t="s">
        <v>336</v>
      </c>
      <c r="B188" t="s">
        <v>98</v>
      </c>
      <c r="C188" s="2">
        <v>219.0999937984796</v>
      </c>
      <c r="D188" t="s">
        <v>4</v>
      </c>
      <c r="E188" t="str">
        <f>+INDEX(Check!$B$5:$B$33,MATCH(Compilado[[#This Row],[Items]],Check!$C$5:$C$33,0))</f>
        <v>PERSONAL FINCA</v>
      </c>
      <c r="F188" s="69">
        <f>+IFERROR(INDEX(Tabla2[TC],MATCH(Compilado[[#This Row],[Mes]],Tabla2[Mes],0))*Compilado[[#This Row],[USD]],0)</f>
        <v>272759.58383232006</v>
      </c>
      <c r="G188" s="150">
        <v>46082</v>
      </c>
    </row>
    <row r="189" spans="1:7">
      <c r="A189" t="s">
        <v>336</v>
      </c>
      <c r="B189" t="s">
        <v>99</v>
      </c>
      <c r="C189" s="2">
        <v>730.98473184864372</v>
      </c>
      <c r="D189" t="s">
        <v>4</v>
      </c>
      <c r="E189" t="str">
        <f>+INDEX(Check!$B$5:$B$33,MATCH(Compilado[[#This Row],[Items]],Check!$C$5:$C$33,0))</f>
        <v>PERSONAL FINCA</v>
      </c>
      <c r="F189" s="69">
        <f>+IFERROR(INDEX(Tabla2[TC],MATCH(Compilado[[#This Row],[Mes]],Tabla2[Mes],0))*Compilado[[#This Row],[USD]],0)</f>
        <v>919109.66617600014</v>
      </c>
      <c r="G189" s="150">
        <v>46113</v>
      </c>
    </row>
    <row r="190" spans="1:7">
      <c r="A190" t="s">
        <v>337</v>
      </c>
      <c r="B190" t="s">
        <v>88</v>
      </c>
      <c r="C190" s="2">
        <v>1297.9187317401952</v>
      </c>
      <c r="D190" t="s">
        <v>4</v>
      </c>
      <c r="E190" t="str">
        <f>+INDEX(Check!$B$5:$B$33,MATCH(Compilado[[#This Row],[Items]],Check!$C$5:$C$33,0))</f>
        <v>PERSONAL FINCA</v>
      </c>
      <c r="F190" s="69">
        <f>+IFERROR(INDEX(Tabla2[TC],MATCH(Compilado[[#This Row],[Mes]],Tabla2[Mes],0))*Compilado[[#This Row],[USD]],0)</f>
        <v>1462754.4106711999</v>
      </c>
      <c r="G190" s="150">
        <v>45778</v>
      </c>
    </row>
    <row r="191" spans="1:7">
      <c r="A191" t="s">
        <v>337</v>
      </c>
      <c r="B191" t="s">
        <v>89</v>
      </c>
      <c r="C191" s="2">
        <v>1846.6497605840441</v>
      </c>
      <c r="D191" t="s">
        <v>4</v>
      </c>
      <c r="E191" t="str">
        <f>+INDEX(Check!$B$5:$B$33,MATCH(Compilado[[#This Row],[Items]],Check!$C$5:$C$33,0))</f>
        <v>PERSONAL FINCA</v>
      </c>
      <c r="F191" s="69">
        <f>+IFERROR(INDEX(Tabla2[TC],MATCH(Compilado[[#This Row],[Mes]],Tabla2[Mes],0))*Compilado[[#This Row],[USD]],0)</f>
        <v>2101986.0229799999</v>
      </c>
      <c r="G191" s="150">
        <v>45809</v>
      </c>
    </row>
    <row r="192" spans="1:7">
      <c r="A192" t="s">
        <v>337</v>
      </c>
      <c r="B192" t="s">
        <v>90</v>
      </c>
      <c r="C192" s="2">
        <v>1329.6094670590517</v>
      </c>
      <c r="D192" t="s">
        <v>4</v>
      </c>
      <c r="E192" t="str">
        <f>+INDEX(Check!$B$5:$B$33,MATCH(Compilado[[#This Row],[Items]],Check!$C$5:$C$33,0))</f>
        <v>PERSONAL FINCA</v>
      </c>
      <c r="F192" s="69">
        <f>+IFERROR(INDEX(Tabla2[TC],MATCH(Compilado[[#This Row],[Mes]],Tabla2[Mes],0))*Compilado[[#This Row],[USD]],0)</f>
        <v>1528589.11375</v>
      </c>
      <c r="G192" s="150">
        <v>45839</v>
      </c>
    </row>
    <row r="193" spans="1:7">
      <c r="A193" t="s">
        <v>337</v>
      </c>
      <c r="B193" t="s">
        <v>91</v>
      </c>
      <c r="C193" s="2">
        <v>1357.1478111615709</v>
      </c>
      <c r="D193" t="s">
        <v>4</v>
      </c>
      <c r="E193" t="str">
        <f>+INDEX(Check!$B$5:$B$33,MATCH(Compilado[[#This Row],[Items]],Check!$C$5:$C$33,0))</f>
        <v>PERSONAL FINCA</v>
      </c>
      <c r="F193" s="69">
        <f>+IFERROR(INDEX(Tabla2[TC],MATCH(Compilado[[#This Row],[Mes]],Tabla2[Mes],0))*Compilado[[#This Row],[USD]],0)</f>
        <v>1575851.131855</v>
      </c>
      <c r="G193" s="150">
        <v>45870</v>
      </c>
    </row>
    <row r="194" spans="1:7">
      <c r="A194" t="s">
        <v>337</v>
      </c>
      <c r="B194" t="s">
        <v>92</v>
      </c>
      <c r="C194" s="2">
        <v>1292.1815052928207</v>
      </c>
      <c r="D194" t="s">
        <v>4</v>
      </c>
      <c r="E194" t="str">
        <f>+INDEX(Check!$B$5:$B$33,MATCH(Compilado[[#This Row],[Items]],Check!$C$5:$C$33,0))</f>
        <v>PERSONAL FINCA</v>
      </c>
      <c r="F194" s="69">
        <f>+IFERROR(INDEX(Tabla2[TC],MATCH(Compilado[[#This Row],[Mes]],Tabla2[Mes],0))*Compilado[[#This Row],[USD]],0)</f>
        <v>1515419.7115746001</v>
      </c>
      <c r="G194" s="150">
        <v>45901</v>
      </c>
    </row>
    <row r="195" spans="1:7">
      <c r="A195" t="s">
        <v>337</v>
      </c>
      <c r="B195" t="s">
        <v>93</v>
      </c>
      <c r="C195" s="2">
        <v>1373.6138970877698</v>
      </c>
      <c r="D195" t="s">
        <v>4</v>
      </c>
      <c r="E195" t="str">
        <f>+INDEX(Check!$B$5:$B$33,MATCH(Compilado[[#This Row],[Items]],Check!$C$5:$C$33,0))</f>
        <v>PERSONAL FINCA</v>
      </c>
      <c r="F195" s="69">
        <f>+IFERROR(INDEX(Tabla2[TC],MATCH(Compilado[[#This Row],[Mes]],Tabla2[Mes],0))*Compilado[[#This Row],[USD]],0)</f>
        <v>1627029.6261674</v>
      </c>
      <c r="G195" s="150">
        <v>45931</v>
      </c>
    </row>
    <row r="196" spans="1:7">
      <c r="A196" t="s">
        <v>337</v>
      </c>
      <c r="B196" t="s">
        <v>94</v>
      </c>
      <c r="C196" s="2">
        <v>1308.1185363778279</v>
      </c>
      <c r="D196" t="s">
        <v>4</v>
      </c>
      <c r="E196" t="str">
        <f>+INDEX(Check!$B$5:$B$33,MATCH(Compilado[[#This Row],[Items]],Check!$C$5:$C$33,0))</f>
        <v>PERSONAL FINCA</v>
      </c>
      <c r="F196" s="69">
        <f>+IFERROR(INDEX(Tabla2[TC],MATCH(Compilado[[#This Row],[Mes]],Tabla2[Mes],0))*Compilado[[#This Row],[USD]],0)</f>
        <v>1564945.6473287002</v>
      </c>
      <c r="G196" s="150">
        <v>45962</v>
      </c>
    </row>
    <row r="197" spans="1:7">
      <c r="A197" t="s">
        <v>337</v>
      </c>
      <c r="B197" t="s">
        <v>95</v>
      </c>
      <c r="C197" s="2">
        <v>1986.9416201014908</v>
      </c>
      <c r="D197" t="s">
        <v>4</v>
      </c>
      <c r="E197" t="str">
        <f>+INDEX(Check!$B$5:$B$33,MATCH(Compilado[[#This Row],[Items]],Check!$C$5:$C$33,0))</f>
        <v>PERSONAL FINCA</v>
      </c>
      <c r="F197" s="69">
        <f>+IFERROR(INDEX(Tabla2[TC],MATCH(Compilado[[#This Row],[Mes]],Tabla2[Mes],0))*Compilado[[#This Row],[USD]],0)</f>
        <v>2400814.6883760002</v>
      </c>
      <c r="G197" s="150">
        <v>45992</v>
      </c>
    </row>
    <row r="198" spans="1:7">
      <c r="A198" t="s">
        <v>337</v>
      </c>
      <c r="B198" t="s">
        <v>96</v>
      </c>
      <c r="C198" s="2">
        <v>1018.6473982956478</v>
      </c>
      <c r="D198" t="s">
        <v>4</v>
      </c>
      <c r="E198" t="str">
        <f>+INDEX(Check!$B$5:$B$33,MATCH(Compilado[[#This Row],[Items]],Check!$C$5:$C$33,0))</f>
        <v>PERSONAL FINCA</v>
      </c>
      <c r="F198" s="69">
        <f>+IFERROR(INDEX(Tabla2[TC],MATCH(Compilado[[#This Row],[Mes]],Tabla2[Mes],0))*Compilado[[#This Row],[USD]],0)</f>
        <v>1243136.4099862501</v>
      </c>
      <c r="G198" s="150">
        <v>46023</v>
      </c>
    </row>
    <row r="199" spans="1:7">
      <c r="A199" t="s">
        <v>337</v>
      </c>
      <c r="B199" t="s">
        <v>97</v>
      </c>
      <c r="C199" s="2">
        <v>382.37969501370486</v>
      </c>
      <c r="D199" t="s">
        <v>4</v>
      </c>
      <c r="E199" t="str">
        <f>+INDEX(Check!$B$5:$B$33,MATCH(Compilado[[#This Row],[Items]],Check!$C$5:$C$33,0))</f>
        <v>PERSONAL FINCA</v>
      </c>
      <c r="F199" s="69">
        <f>+IFERROR(INDEX(Tabla2[TC],MATCH(Compilado[[#This Row],[Mes]],Tabla2[Mes],0))*Compilado[[#This Row],[USD]],0)</f>
        <v>471314.82721829996</v>
      </c>
      <c r="G199" s="150">
        <v>46054</v>
      </c>
    </row>
    <row r="200" spans="1:7">
      <c r="A200" t="s">
        <v>337</v>
      </c>
      <c r="B200" t="s">
        <v>98</v>
      </c>
      <c r="C200" s="2">
        <v>397.62039828951407</v>
      </c>
      <c r="D200" t="s">
        <v>4</v>
      </c>
      <c r="E200" t="str">
        <f>+INDEX(Check!$B$5:$B$33,MATCH(Compilado[[#This Row],[Items]],Check!$C$5:$C$33,0))</f>
        <v>PERSONAL FINCA</v>
      </c>
      <c r="F200" s="69">
        <f>+IFERROR(INDEX(Tabla2[TC],MATCH(Compilado[[#This Row],[Mes]],Tabla2[Mes],0))*Compilado[[#This Row],[USD]],0)</f>
        <v>495001.26622752007</v>
      </c>
      <c r="G200" s="150">
        <v>46082</v>
      </c>
    </row>
    <row r="201" spans="1:7">
      <c r="A201" t="s">
        <v>337</v>
      </c>
      <c r="B201" t="s">
        <v>99</v>
      </c>
      <c r="C201" s="2">
        <v>1325.7923813183861</v>
      </c>
      <c r="D201" t="s">
        <v>4</v>
      </c>
      <c r="E201" t="str">
        <f>+INDEX(Check!$B$5:$B$33,MATCH(Compilado[[#This Row],[Items]],Check!$C$5:$C$33,0))</f>
        <v>PERSONAL FINCA</v>
      </c>
      <c r="F201" s="69">
        <f>+IFERROR(INDEX(Tabla2[TC],MATCH(Compilado[[#This Row],[Mes]],Tabla2[Mes],0))*Compilado[[#This Row],[USD]],0)</f>
        <v>1666995.9575360003</v>
      </c>
      <c r="G201" s="150">
        <v>46113</v>
      </c>
    </row>
    <row r="202" spans="1:7">
      <c r="A202" t="s">
        <v>333</v>
      </c>
      <c r="B202" t="s">
        <v>88</v>
      </c>
      <c r="C202" s="2">
        <v>289.60856051095249</v>
      </c>
      <c r="D202" t="s">
        <v>4</v>
      </c>
      <c r="E202" t="str">
        <f>+INDEX(Check!$B$5:$B$33,MATCH(Compilado[[#This Row],[Items]],Check!$C$5:$C$33,0))</f>
        <v>PERSONAL FINCA</v>
      </c>
      <c r="F202" s="69">
        <f>+IFERROR(INDEX(Tabla2[TC],MATCH(Compilado[[#This Row],[Mes]],Tabla2[Mes],0))*Compilado[[#This Row],[USD]],0)</f>
        <v>326388.84769584343</v>
      </c>
      <c r="G202" s="150">
        <v>45778</v>
      </c>
    </row>
    <row r="203" spans="1:7">
      <c r="A203" t="s">
        <v>333</v>
      </c>
      <c r="B203" t="s">
        <v>89</v>
      </c>
      <c r="C203" s="2">
        <v>481.47534766483449</v>
      </c>
      <c r="D203" t="s">
        <v>4</v>
      </c>
      <c r="E203" t="str">
        <f>+INDEX(Check!$B$5:$B$33,MATCH(Compilado[[#This Row],[Items]],Check!$C$5:$C$33,0))</f>
        <v>PERSONAL FINCA</v>
      </c>
      <c r="F203" s="69">
        <f>+IFERROR(INDEX(Tabla2[TC],MATCH(Compilado[[#This Row],[Mes]],Tabla2[Mes],0))*Compilado[[#This Row],[USD]],0)</f>
        <v>548048.94398645114</v>
      </c>
      <c r="G203" s="150">
        <v>45809</v>
      </c>
    </row>
    <row r="204" spans="1:7">
      <c r="A204" t="s">
        <v>333</v>
      </c>
      <c r="B204" t="s">
        <v>90</v>
      </c>
      <c r="C204" s="2">
        <v>295.90230314686983</v>
      </c>
      <c r="D204" t="s">
        <v>4</v>
      </c>
      <c r="E204" t="str">
        <f>+INDEX(Check!$B$5:$B$33,MATCH(Compilado[[#This Row],[Items]],Check!$C$5:$C$33,0))</f>
        <v>PERSONAL FINCA</v>
      </c>
      <c r="F204" s="69">
        <f>+IFERROR(INDEX(Tabla2[TC],MATCH(Compilado[[#This Row],[Mes]],Tabla2[Mes],0))*Compilado[[#This Row],[USD]],0)</f>
        <v>340184.8817490174</v>
      </c>
      <c r="G204" s="150">
        <v>45839</v>
      </c>
    </row>
    <row r="205" spans="1:7">
      <c r="A205" t="s">
        <v>333</v>
      </c>
      <c r="B205" t="s">
        <v>91</v>
      </c>
      <c r="C205" s="2">
        <v>310.005130722758</v>
      </c>
      <c r="D205" t="s">
        <v>4</v>
      </c>
      <c r="E205" t="str">
        <f>+INDEX(Check!$B$5:$B$33,MATCH(Compilado[[#This Row],[Items]],Check!$C$5:$C$33,0))</f>
        <v>PERSONAL FINCA</v>
      </c>
      <c r="F205" s="69">
        <f>+IFERROR(INDEX(Tabla2[TC],MATCH(Compilado[[#This Row],[Mes]],Tabla2[Mes],0))*Compilado[[#This Row],[USD]],0)</f>
        <v>359962.21790476446</v>
      </c>
      <c r="G205" s="150">
        <v>45870</v>
      </c>
    </row>
    <row r="206" spans="1:7">
      <c r="A206" t="s">
        <v>333</v>
      </c>
      <c r="B206" t="s">
        <v>92</v>
      </c>
      <c r="C206" s="2">
        <v>288.55504204787127</v>
      </c>
      <c r="D206" t="s">
        <v>4</v>
      </c>
      <c r="E206" t="str">
        <f>+INDEX(Check!$B$5:$B$33,MATCH(Compilado[[#This Row],[Items]],Check!$C$5:$C$33,0))</f>
        <v>PERSONAL FINCA</v>
      </c>
      <c r="F206" s="69">
        <f>+IFERROR(INDEX(Tabla2[TC],MATCH(Compilado[[#This Row],[Mes]],Tabla2[Mes],0))*Compilado[[#This Row],[USD]],0)</f>
        <v>338406.01866104663</v>
      </c>
      <c r="G206" s="150">
        <v>45901</v>
      </c>
    </row>
    <row r="207" spans="1:7">
      <c r="A207" t="s">
        <v>333</v>
      </c>
      <c r="B207" t="s">
        <v>93</v>
      </c>
      <c r="C207" s="2">
        <v>320.09098272265737</v>
      </c>
      <c r="D207" t="s">
        <v>4</v>
      </c>
      <c r="E207" t="str">
        <f>+INDEX(Check!$B$5:$B$33,MATCH(Compilado[[#This Row],[Items]],Check!$C$5:$C$33,0))</f>
        <v>PERSONAL FINCA</v>
      </c>
      <c r="F207" s="69">
        <f>+IFERROR(INDEX(Tabla2[TC],MATCH(Compilado[[#This Row],[Mes]],Tabla2[Mes],0))*Compilado[[#This Row],[USD]],0)</f>
        <v>379144.03244096151</v>
      </c>
      <c r="G207" s="150">
        <v>45931</v>
      </c>
    </row>
    <row r="208" spans="1:7">
      <c r="A208" t="s">
        <v>333</v>
      </c>
      <c r="B208" t="s">
        <v>94</v>
      </c>
      <c r="C208" s="2">
        <v>298.1046162372308</v>
      </c>
      <c r="D208" t="s">
        <v>4</v>
      </c>
      <c r="E208" t="str">
        <f>+INDEX(Check!$B$5:$B$33,MATCH(Compilado[[#This Row],[Items]],Check!$C$5:$C$33,0))</f>
        <v>PERSONAL FINCA</v>
      </c>
      <c r="F208" s="69">
        <f>+IFERROR(INDEX(Tabla2[TC],MATCH(Compilado[[#This Row],[Mes]],Tabla2[Mes],0))*Compilado[[#This Row],[USD]],0)</f>
        <v>356632.4523776194</v>
      </c>
      <c r="G208" s="150">
        <v>45962</v>
      </c>
    </row>
    <row r="209" spans="1:7">
      <c r="A209" t="s">
        <v>333</v>
      </c>
      <c r="B209" t="s">
        <v>95</v>
      </c>
      <c r="C209" s="2">
        <v>542.08194414895729</v>
      </c>
      <c r="D209" t="s">
        <v>4</v>
      </c>
      <c r="E209" t="str">
        <f>+INDEX(Check!$B$5:$B$33,MATCH(Compilado[[#This Row],[Items]],Check!$C$5:$C$33,0))</f>
        <v>PERSONAL FINCA</v>
      </c>
      <c r="F209" s="69">
        <f>+IFERROR(INDEX(Tabla2[TC],MATCH(Compilado[[#This Row],[Mes]],Tabla2[Mes],0))*Compilado[[#This Row],[USD]],0)</f>
        <v>654995.73850074119</v>
      </c>
      <c r="G209" s="150">
        <v>45992</v>
      </c>
    </row>
    <row r="210" spans="1:7">
      <c r="A210" t="s">
        <v>333</v>
      </c>
      <c r="B210" t="s">
        <v>96</v>
      </c>
      <c r="C210" s="2">
        <v>320.01494651630844</v>
      </c>
      <c r="D210" t="s">
        <v>4</v>
      </c>
      <c r="E210" t="str">
        <f>+INDEX(Check!$B$5:$B$33,MATCH(Compilado[[#This Row],[Items]],Check!$C$5:$C$33,0))</f>
        <v>PERSONAL FINCA</v>
      </c>
      <c r="F210" s="69">
        <f>+IFERROR(INDEX(Tabla2[TC],MATCH(Compilado[[#This Row],[Mes]],Tabla2[Mes],0))*Compilado[[#This Row],[USD]],0)</f>
        <v>390539.68273991829</v>
      </c>
      <c r="G210" s="150">
        <v>46023</v>
      </c>
    </row>
    <row r="211" spans="1:7">
      <c r="A211" t="s">
        <v>333</v>
      </c>
      <c r="B211" t="s">
        <v>97</v>
      </c>
      <c r="C211" s="2">
        <v>291.38270548127514</v>
      </c>
      <c r="D211" t="s">
        <v>4</v>
      </c>
      <c r="E211" t="str">
        <f>+INDEX(Check!$B$5:$B$33,MATCH(Compilado[[#This Row],[Items]],Check!$C$5:$C$33,0))</f>
        <v>PERSONAL FINCA</v>
      </c>
      <c r="F211" s="69">
        <f>+IFERROR(INDEX(Tabla2[TC],MATCH(Compilado[[#This Row],[Mes]],Tabla2[Mes],0))*Compilado[[#This Row],[USD]],0)</f>
        <v>359153.45735966921</v>
      </c>
      <c r="G211" s="150">
        <v>46054</v>
      </c>
    </row>
    <row r="212" spans="1:7">
      <c r="A212" t="s">
        <v>333</v>
      </c>
      <c r="B212" t="s">
        <v>98</v>
      </c>
      <c r="C212" s="2">
        <v>311.67632507221043</v>
      </c>
      <c r="D212" t="s">
        <v>4</v>
      </c>
      <c r="E212" t="str">
        <f>+INDEX(Check!$B$5:$B$33,MATCH(Compilado[[#This Row],[Items]],Check!$C$5:$C$33,0))</f>
        <v>PERSONAL FINCA</v>
      </c>
      <c r="F212" s="69">
        <f>+IFERROR(INDEX(Tabla2[TC],MATCH(Compilado[[#This Row],[Mes]],Tabla2[Mes],0))*Compilado[[#This Row],[USD]],0)</f>
        <v>388008.7043511041</v>
      </c>
      <c r="G212" s="150">
        <v>46082</v>
      </c>
    </row>
    <row r="213" spans="1:7">
      <c r="A213" t="s">
        <v>333</v>
      </c>
      <c r="B213" t="s">
        <v>99</v>
      </c>
      <c r="C213" s="2">
        <v>313.59461531051107</v>
      </c>
      <c r="D213" t="s">
        <v>4</v>
      </c>
      <c r="E213" t="str">
        <f>+INDEX(Check!$B$5:$B$33,MATCH(Compilado[[#This Row],[Items]],Check!$C$5:$C$33,0))</f>
        <v>PERSONAL FINCA</v>
      </c>
      <c r="F213" s="69">
        <f>+IFERROR(INDEX(Tabla2[TC],MATCH(Compilado[[#This Row],[Mes]],Tabla2[Mes],0))*Compilado[[#This Row],[USD]],0)</f>
        <v>394300.76940692507</v>
      </c>
      <c r="G213" s="150">
        <v>46113</v>
      </c>
    </row>
    <row r="214" spans="1:7">
      <c r="A214" t="s">
        <v>335</v>
      </c>
      <c r="B214" t="s">
        <v>88</v>
      </c>
      <c r="C214" s="2">
        <v>169.06053128267823</v>
      </c>
      <c r="D214" t="s">
        <v>4</v>
      </c>
      <c r="E214" t="str">
        <f>+INDEX(Check!$B$5:$B$33,MATCH(Compilado[[#This Row],[Items]],Check!$C$5:$C$33,0))</f>
        <v>PERSONAL FINCA</v>
      </c>
      <c r="F214" s="69">
        <f>+IFERROR(INDEX(Tabla2[TC],MATCH(Compilado[[#This Row],[Mes]],Tabla2[Mes],0))*Compilado[[#This Row],[USD]],0)</f>
        <v>190531.21875557836</v>
      </c>
      <c r="G214" s="150">
        <v>45778</v>
      </c>
    </row>
    <row r="215" spans="1:7">
      <c r="A215" t="s">
        <v>335</v>
      </c>
      <c r="B215" t="s">
        <v>89</v>
      </c>
      <c r="C215" s="2">
        <v>169.22511529449153</v>
      </c>
      <c r="D215" t="s">
        <v>4</v>
      </c>
      <c r="E215" t="str">
        <f>+INDEX(Check!$B$5:$B$33,MATCH(Compilado[[#This Row],[Items]],Check!$C$5:$C$33,0))</f>
        <v>PERSONAL FINCA</v>
      </c>
      <c r="F215" s="69">
        <f>+IFERROR(INDEX(Tabla2[TC],MATCH(Compilado[[#This Row],[Mes]],Tabla2[Mes],0))*Compilado[[#This Row],[USD]],0)</f>
        <v>192623.87198626087</v>
      </c>
      <c r="G215" s="150">
        <v>45809</v>
      </c>
    </row>
    <row r="216" spans="1:7">
      <c r="A216" t="s">
        <v>335</v>
      </c>
      <c r="B216" t="s">
        <v>90</v>
      </c>
      <c r="C216" s="2">
        <v>169.36994656956205</v>
      </c>
      <c r="D216" t="s">
        <v>4</v>
      </c>
      <c r="E216" t="str">
        <f>+INDEX(Check!$B$5:$B$33,MATCH(Compilado[[#This Row],[Items]],Check!$C$5:$C$33,0))</f>
        <v>PERSONAL FINCA</v>
      </c>
      <c r="F216" s="69">
        <f>+IFERROR(INDEX(Tabla2[TC],MATCH(Compilado[[#This Row],[Mes]],Tabla2[Mes],0))*Compilado[[#This Row],[USD]],0)</f>
        <v>194716.61637255276</v>
      </c>
      <c r="G216" s="150">
        <v>45839</v>
      </c>
    </row>
    <row r="217" spans="1:7">
      <c r="A217" t="s">
        <v>335</v>
      </c>
      <c r="B217" t="s">
        <v>91</v>
      </c>
      <c r="C217" s="2">
        <v>168.25121708494748</v>
      </c>
      <c r="D217" t="s">
        <v>4</v>
      </c>
      <c r="E217" t="str">
        <f>+INDEX(Check!$B$5:$B$33,MATCH(Compilado[[#This Row],[Items]],Check!$C$5:$C$33,0))</f>
        <v>PERSONAL FINCA</v>
      </c>
      <c r="F217" s="69">
        <f>+IFERROR(INDEX(Tabla2[TC],MATCH(Compilado[[#This Row],[Mes]],Tabla2[Mes],0))*Compilado[[#This Row],[USD]],0)</f>
        <v>195364.77065999599</v>
      </c>
      <c r="G217" s="150">
        <v>45870</v>
      </c>
    </row>
    <row r="218" spans="1:7">
      <c r="A218" t="s">
        <v>335</v>
      </c>
      <c r="B218" t="s">
        <v>92</v>
      </c>
      <c r="C218" s="2">
        <v>165.50147954965237</v>
      </c>
      <c r="D218" t="s">
        <v>4</v>
      </c>
      <c r="E218" t="str">
        <f>+INDEX(Check!$B$5:$B$33,MATCH(Compilado[[#This Row],[Items]],Check!$C$5:$C$33,0))</f>
        <v>PERSONAL FINCA</v>
      </c>
      <c r="F218" s="69">
        <f>+IFERROR(INDEX(Tabla2[TC],MATCH(Compilado[[#This Row],[Mes]],Tabla2[Mes],0))*Compilado[[#This Row],[USD]],0)</f>
        <v>194093.63419689954</v>
      </c>
      <c r="G218" s="150">
        <v>45901</v>
      </c>
    </row>
    <row r="219" spans="1:7">
      <c r="A219" t="s">
        <v>335</v>
      </c>
      <c r="B219" t="s">
        <v>93</v>
      </c>
      <c r="C219" s="2">
        <v>164.97790861041321</v>
      </c>
      <c r="D219" t="s">
        <v>4</v>
      </c>
      <c r="E219" t="str">
        <f>+INDEX(Check!$B$5:$B$33,MATCH(Compilado[[#This Row],[Items]],Check!$C$5:$C$33,0))</f>
        <v>PERSONAL FINCA</v>
      </c>
      <c r="F219" s="69">
        <f>+IFERROR(INDEX(Tabla2[TC],MATCH(Compilado[[#This Row],[Mes]],Tabla2[Mes],0))*Compilado[[#This Row],[USD]],0)</f>
        <v>195414.40687326461</v>
      </c>
      <c r="G219" s="150">
        <v>45931</v>
      </c>
    </row>
    <row r="220" spans="1:7">
      <c r="A220" t="s">
        <v>335</v>
      </c>
      <c r="B220" t="s">
        <v>94</v>
      </c>
      <c r="C220" s="2">
        <v>164.46021168685911</v>
      </c>
      <c r="D220" t="s">
        <v>4</v>
      </c>
      <c r="E220" t="str">
        <f>+INDEX(Check!$B$5:$B$33,MATCH(Compilado[[#This Row],[Items]],Check!$C$5:$C$33,0))</f>
        <v>PERSONAL FINCA</v>
      </c>
      <c r="F220" s="69">
        <f>+IFERROR(INDEX(Tabla2[TC],MATCH(Compilado[[#This Row],[Mes]],Tabla2[Mes],0))*Compilado[[#This Row],[USD]],0)</f>
        <v>196749.21291977583</v>
      </c>
      <c r="G220" s="150">
        <v>45962</v>
      </c>
    </row>
    <row r="221" spans="1:7">
      <c r="A221" t="s">
        <v>335</v>
      </c>
      <c r="B221" t="s">
        <v>95</v>
      </c>
      <c r="C221" s="2">
        <v>163.95390942459963</v>
      </c>
      <c r="D221" t="s">
        <v>4</v>
      </c>
      <c r="E221" t="str">
        <f>+INDEX(Check!$B$5:$B$33,MATCH(Compilado[[#This Row],[Items]],Check!$C$5:$C$33,0))</f>
        <v>PERSONAL FINCA</v>
      </c>
      <c r="F221" s="69">
        <f>+IFERROR(INDEX(Tabla2[TC],MATCH(Compilado[[#This Row],[Mes]],Tabla2[Mes],0))*Compilado[[#This Row],[USD]],0)</f>
        <v>198104.94177636749</v>
      </c>
      <c r="G221" s="150">
        <v>45992</v>
      </c>
    </row>
    <row r="222" spans="1:7">
      <c r="A222" t="s">
        <v>335</v>
      </c>
      <c r="B222" t="s">
        <v>96</v>
      </c>
      <c r="C222" s="2">
        <v>163.45361140779804</v>
      </c>
      <c r="D222" t="s">
        <v>4</v>
      </c>
      <c r="E222" t="str">
        <f>+INDEX(Check!$B$5:$B$33,MATCH(Compilado[[#This Row],[Items]],Check!$C$5:$C$33,0))</f>
        <v>PERSONAL FINCA</v>
      </c>
      <c r="F222" s="69">
        <f>+IFERROR(INDEX(Tabla2[TC],MATCH(Compilado[[#This Row],[Mes]],Tabla2[Mes],0))*Compilado[[#This Row],[USD]],0)</f>
        <v>199475.43774691224</v>
      </c>
      <c r="G222" s="150">
        <v>46023</v>
      </c>
    </row>
    <row r="223" spans="1:7">
      <c r="A223" t="s">
        <v>335</v>
      </c>
      <c r="B223" t="s">
        <v>97</v>
      </c>
      <c r="C223" s="2">
        <v>162.96446267728896</v>
      </c>
      <c r="D223" t="s">
        <v>4</v>
      </c>
      <c r="E223" t="str">
        <f>+INDEX(Check!$B$5:$B$33,MATCH(Compilado[[#This Row],[Items]],Check!$C$5:$C$33,0))</f>
        <v>PERSONAL FINCA</v>
      </c>
      <c r="F223" s="69">
        <f>+IFERROR(INDEX(Tabla2[TC],MATCH(Compilado[[#This Row],[Mes]],Tabla2[Mes],0))*Compilado[[#This Row],[USD]],0)</f>
        <v>200867.27556680716</v>
      </c>
      <c r="G223" s="150">
        <v>46054</v>
      </c>
    </row>
    <row r="224" spans="1:7">
      <c r="A224" t="s">
        <v>335</v>
      </c>
      <c r="B224" t="s">
        <v>98</v>
      </c>
      <c r="C224" s="2">
        <v>162.47900496422574</v>
      </c>
      <c r="D224" t="s">
        <v>4</v>
      </c>
      <c r="E224" t="str">
        <f>+INDEX(Check!$B$5:$B$33,MATCH(Compilado[[#This Row],[Items]],Check!$C$5:$C$33,0))</f>
        <v>PERSONAL FINCA</v>
      </c>
      <c r="F224" s="69">
        <f>+IFERROR(INDEX(Tabla2[TC],MATCH(Compilado[[#This Row],[Mes]],Tabla2[Mes],0))*Compilado[[#This Row],[USD]],0)</f>
        <v>202271.59758066232</v>
      </c>
      <c r="G224" s="150">
        <v>46082</v>
      </c>
    </row>
    <row r="225" spans="1:7">
      <c r="A225" t="s">
        <v>335</v>
      </c>
      <c r="B225" t="s">
        <v>99</v>
      </c>
      <c r="C225" s="2">
        <v>162.00457611117974</v>
      </c>
      <c r="D225" t="s">
        <v>4</v>
      </c>
      <c r="E225" t="str">
        <f>+INDEX(Check!$B$5:$B$33,MATCH(Compilado[[#This Row],[Items]],Check!$C$5:$C$33,0))</f>
        <v>PERSONAL FINCA</v>
      </c>
      <c r="F225" s="69">
        <f>+IFERROR(INDEX(Tabla2[TC],MATCH(Compilado[[#This Row],[Mes]],Tabla2[Mes],0))*Compilado[[#This Row],[USD]],0)</f>
        <v>203697.78653511161</v>
      </c>
      <c r="G225" s="150">
        <v>46113</v>
      </c>
    </row>
    <row r="226" spans="1:7">
      <c r="A226" t="s">
        <v>336</v>
      </c>
      <c r="B226" t="s">
        <v>88</v>
      </c>
      <c r="C226" s="2">
        <v>742.7592410669032</v>
      </c>
      <c r="D226" t="s">
        <v>12</v>
      </c>
      <c r="E226" t="str">
        <f>+INDEX(Check!$B$5:$B$33,MATCH(Compilado[[#This Row],[Items]],Check!$C$5:$C$33,0))</f>
        <v>PERSONAL FINCA</v>
      </c>
      <c r="F226" s="69">
        <f>+IFERROR(INDEX(Tabla2[TC],MATCH(Compilado[[#This Row],[Mes]],Tabla2[Mes],0))*Compilado[[#This Row],[USD]],0)</f>
        <v>837089.66468239995</v>
      </c>
      <c r="G226" s="150">
        <v>45778</v>
      </c>
    </row>
    <row r="227" spans="1:7">
      <c r="A227" t="s">
        <v>336</v>
      </c>
      <c r="B227" t="s">
        <v>89</v>
      </c>
      <c r="C227" s="2">
        <v>1049.8790330655297</v>
      </c>
      <c r="D227" t="s">
        <v>12</v>
      </c>
      <c r="E227" t="str">
        <f>+INDEX(Check!$B$5:$B$33,MATCH(Compilado[[#This Row],[Items]],Check!$C$5:$C$33,0))</f>
        <v>PERSONAL FINCA</v>
      </c>
      <c r="F227" s="69">
        <f>+IFERROR(INDEX(Tabla2[TC],MATCH(Compilado[[#This Row],[Mes]],Tabla2[Mes],0))*Compilado[[#This Row],[USD]],0)</f>
        <v>1195045.8069675006</v>
      </c>
      <c r="G227" s="150">
        <v>45809</v>
      </c>
    </row>
    <row r="228" spans="1:7">
      <c r="A228" t="s">
        <v>336</v>
      </c>
      <c r="B228" t="s">
        <v>90</v>
      </c>
      <c r="C228" s="2">
        <v>760.77170220623998</v>
      </c>
      <c r="D228" t="s">
        <v>12</v>
      </c>
      <c r="E228" t="str">
        <f>+INDEX(Check!$B$5:$B$33,MATCH(Compilado[[#This Row],[Items]],Check!$C$5:$C$33,0))</f>
        <v>PERSONAL FINCA</v>
      </c>
      <c r="F228" s="69">
        <f>+IFERROR(INDEX(Tabla2[TC],MATCH(Compilado[[#This Row],[Mes]],Tabla2[Mes],0))*Compilado[[#This Row],[USD]],0)</f>
        <v>874623.24152499984</v>
      </c>
      <c r="G228" s="150">
        <v>45839</v>
      </c>
    </row>
    <row r="229" spans="1:7">
      <c r="A229" t="s">
        <v>336</v>
      </c>
      <c r="B229" t="s">
        <v>91</v>
      </c>
      <c r="C229" s="2">
        <v>780.5427687375103</v>
      </c>
      <c r="D229" t="s">
        <v>12</v>
      </c>
      <c r="E229" t="str">
        <f>+INDEX(Check!$B$5:$B$33,MATCH(Compilado[[#This Row],[Items]],Check!$C$5:$C$33,0))</f>
        <v>PERSONAL FINCA</v>
      </c>
      <c r="F229" s="69">
        <f>+IFERROR(INDEX(Tabla2[TC],MATCH(Compilado[[#This Row],[Mes]],Tabla2[Mes],0))*Compilado[[#This Row],[USD]],0)</f>
        <v>906326.63255999994</v>
      </c>
      <c r="G229" s="150">
        <v>45870</v>
      </c>
    </row>
    <row r="230" spans="1:7">
      <c r="A230" t="s">
        <v>336</v>
      </c>
      <c r="B230" t="s">
        <v>92</v>
      </c>
      <c r="C230" s="2">
        <v>740.50410231318779</v>
      </c>
      <c r="D230" t="s">
        <v>12</v>
      </c>
      <c r="E230" t="str">
        <f>+INDEX(Check!$B$5:$B$33,MATCH(Compilado[[#This Row],[Items]],Check!$C$5:$C$33,0))</f>
        <v>PERSONAL FINCA</v>
      </c>
      <c r="F230" s="69">
        <f>+IFERROR(INDEX(Tabla2[TC],MATCH(Compilado[[#This Row],[Mes]],Tabla2[Mes],0))*Compilado[[#This Row],[USD]],0)</f>
        <v>868434.12365119997</v>
      </c>
      <c r="G230" s="150">
        <v>45901</v>
      </c>
    </row>
    <row r="231" spans="1:7">
      <c r="A231" t="s">
        <v>336</v>
      </c>
      <c r="B231" t="s">
        <v>93</v>
      </c>
      <c r="C231" s="2">
        <v>792.25538015663244</v>
      </c>
      <c r="D231" t="s">
        <v>12</v>
      </c>
      <c r="E231" t="str">
        <f>+INDEX(Check!$B$5:$B$33,MATCH(Compilado[[#This Row],[Items]],Check!$C$5:$C$33,0))</f>
        <v>PERSONAL FINCA</v>
      </c>
      <c r="F231" s="69">
        <f>+IFERROR(INDEX(Tabla2[TC],MATCH(Compilado[[#This Row],[Mes]],Tabla2[Mes],0))*Compilado[[#This Row],[USD]],0)</f>
        <v>938417.24937279988</v>
      </c>
      <c r="G231" s="150">
        <v>45931</v>
      </c>
    </row>
    <row r="232" spans="1:7">
      <c r="A232" t="s">
        <v>336</v>
      </c>
      <c r="B232" t="s">
        <v>94</v>
      </c>
      <c r="C232" s="2">
        <v>751.87123788983092</v>
      </c>
      <c r="D232" t="s">
        <v>12</v>
      </c>
      <c r="E232" t="str">
        <f>+INDEX(Check!$B$5:$B$33,MATCH(Compilado[[#This Row],[Items]],Check!$C$5:$C$33,0))</f>
        <v>PERSONAL FINCA</v>
      </c>
      <c r="F232" s="69">
        <f>+IFERROR(INDEX(Tabla2[TC],MATCH(Compilado[[#This Row],[Mes]],Tabla2[Mes],0))*Compilado[[#This Row],[USD]],0)</f>
        <v>899488.53132640012</v>
      </c>
      <c r="G232" s="150">
        <v>45962</v>
      </c>
    </row>
    <row r="233" spans="1:7">
      <c r="A233" t="s">
        <v>336</v>
      </c>
      <c r="B233" t="s">
        <v>95</v>
      </c>
      <c r="C233" s="2">
        <v>1144.3498777080158</v>
      </c>
      <c r="D233" t="s">
        <v>12</v>
      </c>
      <c r="E233" t="str">
        <f>+INDEX(Check!$B$5:$B$33,MATCH(Compilado[[#This Row],[Items]],Check!$C$5:$C$33,0))</f>
        <v>PERSONAL FINCA</v>
      </c>
      <c r="F233" s="69">
        <f>+IFERROR(INDEX(Tabla2[TC],MATCH(Compilado[[#This Row],[Mes]],Tabla2[Mes],0))*Compilado[[#This Row],[USD]],0)</f>
        <v>1382713.9998719997</v>
      </c>
      <c r="G233" s="150">
        <v>45992</v>
      </c>
    </row>
    <row r="234" spans="1:7">
      <c r="A234" t="s">
        <v>336</v>
      </c>
      <c r="B234" t="s">
        <v>96</v>
      </c>
      <c r="C234" s="2">
        <v>588.83285076091011</v>
      </c>
      <c r="D234" t="s">
        <v>12</v>
      </c>
      <c r="E234" t="str">
        <f>+INDEX(Check!$B$5:$B$33,MATCH(Compilado[[#This Row],[Items]],Check!$C$5:$C$33,0))</f>
        <v>PERSONAL FINCA</v>
      </c>
      <c r="F234" s="69">
        <f>+IFERROR(INDEX(Tabla2[TC],MATCH(Compilado[[#This Row],[Mes]],Tabla2[Mes],0))*Compilado[[#This Row],[USD]],0)</f>
        <v>718599.54426</v>
      </c>
      <c r="G234" s="150">
        <v>46023</v>
      </c>
    </row>
    <row r="235" spans="1:7">
      <c r="A235" t="s">
        <v>336</v>
      </c>
      <c r="B235" t="s">
        <v>97</v>
      </c>
      <c r="C235" s="2">
        <v>220.29727333442801</v>
      </c>
      <c r="D235" t="s">
        <v>12</v>
      </c>
      <c r="E235" t="str">
        <f>+INDEX(Check!$B$5:$B$33,MATCH(Compilado[[#This Row],[Items]],Check!$C$5:$C$33,0))</f>
        <v>PERSONAL FINCA</v>
      </c>
      <c r="F235" s="69">
        <f>+IFERROR(INDEX(Tabla2[TC],MATCH(Compilado[[#This Row],[Mes]],Tabla2[Mes],0))*Compilado[[#This Row],[USD]],0)</f>
        <v>271534.74065759999</v>
      </c>
      <c r="G235" s="150">
        <v>46054</v>
      </c>
    </row>
    <row r="236" spans="1:7">
      <c r="A236" t="s">
        <v>336</v>
      </c>
      <c r="B236" t="s">
        <v>98</v>
      </c>
      <c r="C236" s="2">
        <v>230.05512369349199</v>
      </c>
      <c r="D236" t="s">
        <v>12</v>
      </c>
      <c r="E236" t="str">
        <f>+INDEX(Check!$B$5:$B$33,MATCH(Compilado[[#This Row],[Items]],Check!$C$5:$C$33,0))</f>
        <v>PERSONAL FINCA</v>
      </c>
      <c r="F236" s="69">
        <f>+IFERROR(INDEX(Tabla2[TC],MATCH(Compilado[[#This Row],[Mes]],Tabla2[Mes],0))*Compilado[[#This Row],[USD]],0)</f>
        <v>286397.7251174401</v>
      </c>
      <c r="G236" s="150">
        <v>46082</v>
      </c>
    </row>
    <row r="237" spans="1:7">
      <c r="A237" t="s">
        <v>336</v>
      </c>
      <c r="B237" t="s">
        <v>99</v>
      </c>
      <c r="C237" s="2">
        <v>767.76009167402901</v>
      </c>
      <c r="D237" t="s">
        <v>12</v>
      </c>
      <c r="E237" t="str">
        <f>+INDEX(Check!$B$5:$B$33,MATCH(Compilado[[#This Row],[Items]],Check!$C$5:$C$33,0))</f>
        <v>PERSONAL FINCA</v>
      </c>
      <c r="F237" s="69">
        <f>+IFERROR(INDEX(Tabla2[TC],MATCH(Compilado[[#This Row],[Mes]],Tabla2[Mes],0))*Compilado[[#This Row],[USD]],0)</f>
        <v>965349.4673919999</v>
      </c>
      <c r="G237" s="150">
        <v>46113</v>
      </c>
    </row>
    <row r="238" spans="1:7">
      <c r="A238" t="s">
        <v>337</v>
      </c>
      <c r="B238" t="s">
        <v>88</v>
      </c>
      <c r="C238" s="2">
        <v>1907.0027261259984</v>
      </c>
      <c r="D238" t="s">
        <v>12</v>
      </c>
      <c r="E238" t="str">
        <f>+INDEX(Check!$B$5:$B$33,MATCH(Compilado[[#This Row],[Items]],Check!$C$5:$C$33,0))</f>
        <v>PERSONAL FINCA</v>
      </c>
      <c r="F238" s="69">
        <f>+IFERROR(INDEX(Tabla2[TC],MATCH(Compilado[[#This Row],[Mes]],Tabla2[Mes],0))*Compilado[[#This Row],[USD]],0)</f>
        <v>2149192.072344</v>
      </c>
      <c r="G238" s="150">
        <v>45778</v>
      </c>
    </row>
    <row r="239" spans="1:7">
      <c r="A239" t="s">
        <v>337</v>
      </c>
      <c r="B239" t="s">
        <v>89</v>
      </c>
      <c r="C239" s="2">
        <v>2716.074103617771</v>
      </c>
      <c r="D239" t="s">
        <v>12</v>
      </c>
      <c r="E239" t="str">
        <f>+INDEX(Check!$B$5:$B$33,MATCH(Compilado[[#This Row],[Items]],Check!$C$5:$C$33,0))</f>
        <v>PERSONAL FINCA</v>
      </c>
      <c r="F239" s="69">
        <f>+IFERROR(INDEX(Tabla2[TC],MATCH(Compilado[[#This Row],[Mes]],Tabla2[Mes],0))*Compilado[[#This Row],[USD]],0)</f>
        <v>3091625.6699250001</v>
      </c>
      <c r="G239" s="150">
        <v>45809</v>
      </c>
    </row>
    <row r="240" spans="1:7">
      <c r="A240" t="s">
        <v>337</v>
      </c>
      <c r="B240" t="s">
        <v>90</v>
      </c>
      <c r="C240" s="2">
        <v>1953.6492827355601</v>
      </c>
      <c r="D240" t="s">
        <v>12</v>
      </c>
      <c r="E240" t="str">
        <f>+INDEX(Check!$B$5:$B$33,MATCH(Compilado[[#This Row],[Items]],Check!$C$5:$C$33,0))</f>
        <v>PERSONAL FINCA</v>
      </c>
      <c r="F240" s="69">
        <f>+IFERROR(INDEX(Tabla2[TC],MATCH(Compilado[[#This Row],[Mes]],Tabla2[Mes],0))*Compilado[[#This Row],[USD]],0)</f>
        <v>2246018.1727500004</v>
      </c>
      <c r="G240" s="150">
        <v>45839</v>
      </c>
    </row>
    <row r="241" spans="1:7">
      <c r="A241" t="s">
        <v>337</v>
      </c>
      <c r="B241" t="s">
        <v>91</v>
      </c>
      <c r="C241" s="2">
        <v>1992.9631435736203</v>
      </c>
      <c r="D241" t="s">
        <v>12</v>
      </c>
      <c r="E241" t="str">
        <f>+INDEX(Check!$B$5:$B$33,MATCH(Compilado[[#This Row],[Items]],Check!$C$5:$C$33,0))</f>
        <v>PERSONAL FINCA</v>
      </c>
      <c r="F241" s="69">
        <f>+IFERROR(INDEX(Tabla2[TC],MATCH(Compilado[[#This Row],[Mes]],Tabla2[Mes],0))*Compilado[[#This Row],[USD]],0)</f>
        <v>2314127.6135999993</v>
      </c>
      <c r="G241" s="150">
        <v>45870</v>
      </c>
    </row>
    <row r="242" spans="1:7">
      <c r="A242" t="s">
        <v>337</v>
      </c>
      <c r="B242" t="s">
        <v>92</v>
      </c>
      <c r="C242" s="2">
        <v>1898.6680963001793</v>
      </c>
      <c r="D242" t="s">
        <v>12</v>
      </c>
      <c r="E242" t="str">
        <f>+INDEX(Check!$B$5:$B$33,MATCH(Compilado[[#This Row],[Items]],Check!$C$5:$C$33,0))</f>
        <v>PERSONAL FINCA</v>
      </c>
      <c r="F242" s="69">
        <f>+IFERROR(INDEX(Tabla2[TC],MATCH(Compilado[[#This Row],[Mes]],Tabla2[Mes],0))*Compilado[[#This Row],[USD]],0)</f>
        <v>2226683.3622720004</v>
      </c>
      <c r="G242" s="150">
        <v>45901</v>
      </c>
    </row>
    <row r="243" spans="1:7">
      <c r="A243" t="s">
        <v>337</v>
      </c>
      <c r="B243" t="s">
        <v>93</v>
      </c>
      <c r="C243" s="2">
        <v>2016.2147906513828</v>
      </c>
      <c r="D243" t="s">
        <v>12</v>
      </c>
      <c r="E243" t="str">
        <f>+INDEX(Check!$B$5:$B$33,MATCH(Compilado[[#This Row],[Items]],Check!$C$5:$C$33,0))</f>
        <v>PERSONAL FINCA</v>
      </c>
      <c r="F243" s="69">
        <f>+IFERROR(INDEX(Tabla2[TC],MATCH(Compilado[[#This Row],[Mes]],Tabla2[Mes],0))*Compilado[[#This Row],[USD]],0)</f>
        <v>2388182.8831679998</v>
      </c>
      <c r="G243" s="150">
        <v>45931</v>
      </c>
    </row>
    <row r="244" spans="1:7">
      <c r="A244" t="s">
        <v>337</v>
      </c>
      <c r="B244" t="s">
        <v>94</v>
      </c>
      <c r="C244" s="2">
        <v>1921.1598919901655</v>
      </c>
      <c r="D244" t="s">
        <v>12</v>
      </c>
      <c r="E244" t="str">
        <f>+INDEX(Check!$B$5:$B$33,MATCH(Compilado[[#This Row],[Items]],Check!$C$5:$C$33,0))</f>
        <v>PERSONAL FINCA</v>
      </c>
      <c r="F244" s="69">
        <f>+IFERROR(INDEX(Tabla2[TC],MATCH(Compilado[[#This Row],[Mes]],Tabla2[Mes],0))*Compilado[[#This Row],[USD]],0)</f>
        <v>2298347.3799839998</v>
      </c>
      <c r="G244" s="150">
        <v>45962</v>
      </c>
    </row>
    <row r="245" spans="1:7">
      <c r="A245" t="s">
        <v>337</v>
      </c>
      <c r="B245" t="s">
        <v>95</v>
      </c>
      <c r="C245" s="2">
        <v>2917.1525882192482</v>
      </c>
      <c r="D245" t="s">
        <v>12</v>
      </c>
      <c r="E245" t="str">
        <f>+INDEX(Check!$B$5:$B$33,MATCH(Compilado[[#This Row],[Items]],Check!$C$5:$C$33,0))</f>
        <v>PERSONAL FINCA</v>
      </c>
      <c r="F245" s="69">
        <f>+IFERROR(INDEX(Tabla2[TC],MATCH(Compilado[[#This Row],[Mes]],Tabla2[Mes],0))*Compilado[[#This Row],[USD]],0)</f>
        <v>3524785.3843200002</v>
      </c>
      <c r="G245" s="150">
        <v>45992</v>
      </c>
    </row>
    <row r="246" spans="1:7">
      <c r="A246" t="s">
        <v>337</v>
      </c>
      <c r="B246" t="s">
        <v>96</v>
      </c>
      <c r="C246" s="2">
        <v>1494.7986505618974</v>
      </c>
      <c r="D246" t="s">
        <v>12</v>
      </c>
      <c r="E246" t="str">
        <f>+INDEX(Check!$B$5:$B$33,MATCH(Compilado[[#This Row],[Items]],Check!$C$5:$C$33,0))</f>
        <v>PERSONAL FINCA</v>
      </c>
      <c r="F246" s="69">
        <f>+IFERROR(INDEX(Tabla2[TC],MATCH(Compilado[[#This Row],[Mes]],Tabla2[Mes],0))*Compilado[[#This Row],[USD]],0)</f>
        <v>1824221.6406</v>
      </c>
      <c r="G246" s="150">
        <v>46023</v>
      </c>
    </row>
    <row r="247" spans="1:7">
      <c r="A247" t="s">
        <v>337</v>
      </c>
      <c r="B247" t="s">
        <v>97</v>
      </c>
      <c r="C247" s="2">
        <v>561.54733051783501</v>
      </c>
      <c r="D247" t="s">
        <v>12</v>
      </c>
      <c r="E247" t="str">
        <f>+INDEX(Check!$B$5:$B$33,MATCH(Compilado[[#This Row],[Items]],Check!$C$5:$C$33,0))</f>
        <v>PERSONAL FINCA</v>
      </c>
      <c r="F247" s="69">
        <f>+IFERROR(INDEX(Tabla2[TC],MATCH(Compilado[[#This Row],[Mes]],Tabla2[Mes],0))*Compilado[[#This Row],[USD]],0)</f>
        <v>692153.86305600009</v>
      </c>
      <c r="G247" s="150">
        <v>46054</v>
      </c>
    </row>
    <row r="248" spans="1:7">
      <c r="A248" t="s">
        <v>337</v>
      </c>
      <c r="B248" t="s">
        <v>98</v>
      </c>
      <c r="C248" s="2">
        <v>583.51900091802383</v>
      </c>
      <c r="D248" t="s">
        <v>12</v>
      </c>
      <c r="E248" t="str">
        <f>+INDEX(Check!$B$5:$B$33,MATCH(Compilado[[#This Row],[Items]],Check!$C$5:$C$33,0))</f>
        <v>PERSONAL FINCA</v>
      </c>
      <c r="F248" s="69">
        <f>+IFERROR(INDEX(Tabla2[TC],MATCH(Compilado[[#This Row],[Mes]],Tabla2[Mes],0))*Compilado[[#This Row],[USD]],0)</f>
        <v>726428.13488640008</v>
      </c>
      <c r="G248" s="150">
        <v>46082</v>
      </c>
    </row>
    <row r="249" spans="1:7">
      <c r="A249" t="s">
        <v>337</v>
      </c>
      <c r="B249" t="s">
        <v>99</v>
      </c>
      <c r="C249" s="2">
        <v>1945.3598056582616</v>
      </c>
      <c r="D249" t="s">
        <v>12</v>
      </c>
      <c r="E249" t="str">
        <f>+INDEX(Check!$B$5:$B$33,MATCH(Compilado[[#This Row],[Items]],Check!$C$5:$C$33,0))</f>
        <v>PERSONAL FINCA</v>
      </c>
      <c r="F249" s="69">
        <f>+IFERROR(INDEX(Tabla2[TC],MATCH(Compilado[[#This Row],[Mes]],Tabla2[Mes],0))*Compilado[[#This Row],[USD]],0)</f>
        <v>2446014.1555199996</v>
      </c>
      <c r="G249" s="150">
        <v>46113</v>
      </c>
    </row>
    <row r="250" spans="1:7">
      <c r="A250" t="s">
        <v>333</v>
      </c>
      <c r="B250" t="s">
        <v>88</v>
      </c>
      <c r="C250" s="2">
        <v>383.3677470971939</v>
      </c>
      <c r="D250" t="s">
        <v>12</v>
      </c>
      <c r="E250" t="str">
        <f>+INDEX(Check!$B$5:$B$33,MATCH(Compilado[[#This Row],[Items]],Check!$C$5:$C$33,0))</f>
        <v>PERSONAL FINCA</v>
      </c>
      <c r="F250" s="69">
        <f>+IFERROR(INDEX(Tabla2[TC],MATCH(Compilado[[#This Row],[Mes]],Tabla2[Mes],0))*Compilado[[#This Row],[USD]],0)</f>
        <v>432055.4509785375</v>
      </c>
      <c r="G250" s="150">
        <v>45778</v>
      </c>
    </row>
    <row r="251" spans="1:7">
      <c r="A251" t="s">
        <v>333</v>
      </c>
      <c r="B251" t="s">
        <v>89</v>
      </c>
      <c r="C251" s="2">
        <v>626.77378801626594</v>
      </c>
      <c r="D251" t="s">
        <v>12</v>
      </c>
      <c r="E251" t="str">
        <f>+INDEX(Check!$B$5:$B$33,MATCH(Compilado[[#This Row],[Items]],Check!$C$5:$C$33,0))</f>
        <v>PERSONAL FINCA</v>
      </c>
      <c r="F251" s="69">
        <f>+IFERROR(INDEX(Tabla2[TC],MATCH(Compilado[[#This Row],[Mes]],Tabla2[Mes],0))*Compilado[[#This Row],[USD]],0)</f>
        <v>713437.79968527507</v>
      </c>
      <c r="G251" s="150">
        <v>45809</v>
      </c>
    </row>
    <row r="252" spans="1:7">
      <c r="A252" t="s">
        <v>333</v>
      </c>
      <c r="B252" t="s">
        <v>90</v>
      </c>
      <c r="C252" s="2">
        <v>381.60112639517121</v>
      </c>
      <c r="D252" t="s">
        <v>12</v>
      </c>
      <c r="E252" t="str">
        <f>+INDEX(Check!$B$5:$B$33,MATCH(Compilado[[#This Row],[Items]],Check!$C$5:$C$33,0))</f>
        <v>PERSONAL FINCA</v>
      </c>
      <c r="F252" s="69">
        <f>+IFERROR(INDEX(Tabla2[TC],MATCH(Compilado[[#This Row],[Mes]],Tabla2[Mes],0))*Compilado[[#This Row],[USD]],0)</f>
        <v>438708.7652832499</v>
      </c>
      <c r="G252" s="150">
        <v>45839</v>
      </c>
    </row>
    <row r="253" spans="1:7">
      <c r="A253" t="s">
        <v>333</v>
      </c>
      <c r="B253" t="s">
        <v>91</v>
      </c>
      <c r="C253" s="2">
        <v>400.30430698189662</v>
      </c>
      <c r="D253" t="s">
        <v>12</v>
      </c>
      <c r="E253" t="str">
        <f>+INDEX(Check!$B$5:$B$33,MATCH(Compilado[[#This Row],[Items]],Check!$C$5:$C$33,0))</f>
        <v>PERSONAL FINCA</v>
      </c>
      <c r="F253" s="69">
        <f>+IFERROR(INDEX(Tabla2[TC],MATCH(Compilado[[#This Row],[Mes]],Tabla2[Mes],0))*Compilado[[#This Row],[USD]],0)</f>
        <v>464813.0366168</v>
      </c>
      <c r="G253" s="150">
        <v>45870</v>
      </c>
    </row>
    <row r="254" spans="1:7">
      <c r="A254" t="s">
        <v>333</v>
      </c>
      <c r="B254" t="s">
        <v>92</v>
      </c>
      <c r="C254" s="2">
        <v>371.76004840417983</v>
      </c>
      <c r="D254" t="s">
        <v>12</v>
      </c>
      <c r="E254" t="str">
        <f>+INDEX(Check!$B$5:$B$33,MATCH(Compilado[[#This Row],[Items]],Check!$C$5:$C$33,0))</f>
        <v>PERSONAL FINCA</v>
      </c>
      <c r="F254" s="69">
        <f>+IFERROR(INDEX(Tabla2[TC],MATCH(Compilado[[#This Row],[Mes]],Tabla2[Mes],0))*Compilado[[#This Row],[USD]],0)</f>
        <v>435985.58176233602</v>
      </c>
      <c r="G254" s="150">
        <v>45901</v>
      </c>
    </row>
    <row r="255" spans="1:7">
      <c r="A255" t="s">
        <v>333</v>
      </c>
      <c r="B255" t="s">
        <v>93</v>
      </c>
      <c r="C255" s="2">
        <v>413.02778554634386</v>
      </c>
      <c r="D255" t="s">
        <v>12</v>
      </c>
      <c r="E255" t="str">
        <f>+INDEX(Check!$B$5:$B$33,MATCH(Compilado[[#This Row],[Items]],Check!$C$5:$C$33,0))</f>
        <v>PERSONAL FINCA</v>
      </c>
      <c r="F255" s="69">
        <f>+IFERROR(INDEX(Tabla2[TC],MATCH(Compilado[[#This Row],[Mes]],Tabla2[Mes],0))*Compilado[[#This Row],[USD]],0)</f>
        <v>489226.59048438387</v>
      </c>
      <c r="G255" s="150">
        <v>45931</v>
      </c>
    </row>
    <row r="256" spans="1:7">
      <c r="A256" t="s">
        <v>333</v>
      </c>
      <c r="B256" t="s">
        <v>94</v>
      </c>
      <c r="C256" s="2">
        <v>384.18294824913227</v>
      </c>
      <c r="D256" t="s">
        <v>12</v>
      </c>
      <c r="E256" t="str">
        <f>+INDEX(Check!$B$5:$B$33,MATCH(Compilado[[#This Row],[Items]],Check!$C$5:$C$33,0))</f>
        <v>PERSONAL FINCA</v>
      </c>
      <c r="F256" s="69">
        <f>+IFERROR(INDEX(Tabla2[TC],MATCH(Compilado[[#This Row],[Mes]],Tabla2[Mes],0))*Compilado[[#This Row],[USD]],0)</f>
        <v>459610.81960139202</v>
      </c>
      <c r="G256" s="150">
        <v>45962</v>
      </c>
    </row>
    <row r="257" spans="1:7">
      <c r="A257" t="s">
        <v>333</v>
      </c>
      <c r="B257" t="s">
        <v>95</v>
      </c>
      <c r="C257" s="2">
        <v>705.81466456597673</v>
      </c>
      <c r="D257" t="s">
        <v>12</v>
      </c>
      <c r="E257" t="str">
        <f>+INDEX(Check!$B$5:$B$33,MATCH(Compilado[[#This Row],[Items]],Check!$C$5:$C$33,0))</f>
        <v>PERSONAL FINCA</v>
      </c>
      <c r="F257" s="69">
        <f>+IFERROR(INDEX(Tabla2[TC],MATCH(Compilado[[#This Row],[Mes]],Tabla2[Mes],0))*Compilado[[#This Row],[USD]],0)</f>
        <v>852833.41836416</v>
      </c>
      <c r="G257" s="150">
        <v>45992</v>
      </c>
    </row>
    <row r="258" spans="1:7">
      <c r="A258" t="s">
        <v>333</v>
      </c>
      <c r="B258" t="s">
        <v>96</v>
      </c>
      <c r="C258" s="2">
        <v>412.91012648094744</v>
      </c>
      <c r="D258" t="s">
        <v>12</v>
      </c>
      <c r="E258" t="str">
        <f>+INDEX(Check!$B$5:$B$33,MATCH(Compilado[[#This Row],[Items]],Check!$C$5:$C$33,0))</f>
        <v>PERSONAL FINCA</v>
      </c>
      <c r="F258" s="69">
        <f>+IFERROR(INDEX(Tabla2[TC],MATCH(Compilado[[#This Row],[Mes]],Tabla2[Mes],0))*Compilado[[#This Row],[USD]],0)</f>
        <v>503907.0566904</v>
      </c>
      <c r="G258" s="150">
        <v>46023</v>
      </c>
    </row>
    <row r="259" spans="1:7">
      <c r="A259" t="s">
        <v>333</v>
      </c>
      <c r="B259" t="s">
        <v>97</v>
      </c>
      <c r="C259" s="2">
        <v>375.58231451309109</v>
      </c>
      <c r="D259" t="s">
        <v>12</v>
      </c>
      <c r="E259" t="str">
        <f>+INDEX(Check!$B$5:$B$33,MATCH(Compilado[[#This Row],[Items]],Check!$C$5:$C$33,0))</f>
        <v>PERSONAL FINCA</v>
      </c>
      <c r="F259" s="69">
        <f>+IFERROR(INDEX(Tabla2[TC],MATCH(Compilado[[#This Row],[Mes]],Tabla2[Mes],0))*Compilado[[#This Row],[USD]],0)</f>
        <v>462936.48951375997</v>
      </c>
      <c r="G259" s="150">
        <v>46054</v>
      </c>
    </row>
    <row r="260" spans="1:7">
      <c r="A260" t="s">
        <v>333</v>
      </c>
      <c r="B260" t="s">
        <v>98</v>
      </c>
      <c r="C260" s="2">
        <v>402.12443767380182</v>
      </c>
      <c r="D260" t="s">
        <v>12</v>
      </c>
      <c r="E260" t="str">
        <f>+INDEX(Check!$B$5:$B$33,MATCH(Compilado[[#This Row],[Items]],Check!$C$5:$C$33,0))</f>
        <v>PERSONAL FINCA</v>
      </c>
      <c r="F260" s="69">
        <f>+IFERROR(INDEX(Tabla2[TC],MATCH(Compilado[[#This Row],[Mes]],Tabla2[Mes],0))*Compilado[[#This Row],[USD]],0)</f>
        <v>500608.38600294397</v>
      </c>
      <c r="G260" s="150">
        <v>46082</v>
      </c>
    </row>
    <row r="261" spans="1:7">
      <c r="A261" t="s">
        <v>333</v>
      </c>
      <c r="B261" t="s">
        <v>99</v>
      </c>
      <c r="C261" s="2">
        <v>404.59606695240689</v>
      </c>
      <c r="D261" t="s">
        <v>12</v>
      </c>
      <c r="E261" t="str">
        <f>+INDEX(Check!$B$5:$B$33,MATCH(Compilado[[#This Row],[Items]],Check!$C$5:$C$33,0))</f>
        <v>PERSONAL FINCA</v>
      </c>
      <c r="F261" s="69">
        <f>+IFERROR(INDEX(Tabla2[TC],MATCH(Compilado[[#This Row],[Mes]],Tabla2[Mes],0))*Compilado[[#This Row],[USD]],0)</f>
        <v>508722.19326975988</v>
      </c>
      <c r="G261" s="150">
        <v>46113</v>
      </c>
    </row>
    <row r="262" spans="1:7">
      <c r="A262" t="s">
        <v>335</v>
      </c>
      <c r="B262" t="s">
        <v>88</v>
      </c>
      <c r="C262" s="2">
        <v>364.13436113487506</v>
      </c>
      <c r="D262" t="s">
        <v>12</v>
      </c>
      <c r="E262" t="str">
        <f>+INDEX(Check!$B$5:$B$33,MATCH(Compilado[[#This Row],[Items]],Check!$C$5:$C$33,0))</f>
        <v>PERSONAL FINCA</v>
      </c>
      <c r="F262" s="69">
        <f>+IFERROR(INDEX(Tabla2[TC],MATCH(Compilado[[#This Row],[Mes]],Tabla2[Mes],0))*Compilado[[#This Row],[USD]],0)</f>
        <v>410379.42499900417</v>
      </c>
      <c r="G262" s="150">
        <v>45778</v>
      </c>
    </row>
    <row r="263" spans="1:7">
      <c r="A263" t="s">
        <v>335</v>
      </c>
      <c r="B263" t="s">
        <v>89</v>
      </c>
      <c r="C263" s="2">
        <v>368.06039428165928</v>
      </c>
      <c r="D263" t="s">
        <v>12</v>
      </c>
      <c r="E263" t="str">
        <f>+INDEX(Check!$B$5:$B$33,MATCH(Compilado[[#This Row],[Items]],Check!$C$5:$C$33,0))</f>
        <v>PERSONAL FINCA</v>
      </c>
      <c r="F263" s="69">
        <f>+IFERROR(INDEX(Tabla2[TC],MATCH(Compilado[[#This Row],[Mes]],Tabla2[Mes],0))*Compilado[[#This Row],[USD]],0)</f>
        <v>418952.10499898432</v>
      </c>
      <c r="G263" s="150">
        <v>45809</v>
      </c>
    </row>
    <row r="264" spans="1:7">
      <c r="A264" t="s">
        <v>335</v>
      </c>
      <c r="B264" t="s">
        <v>90</v>
      </c>
      <c r="C264" s="2">
        <v>371.98350214718249</v>
      </c>
      <c r="D264" t="s">
        <v>12</v>
      </c>
      <c r="E264" t="str">
        <f>+INDEX(Check!$B$5:$B$33,MATCH(Compilado[[#This Row],[Items]],Check!$C$5:$C$33,0))</f>
        <v>PERSONAL FINCA</v>
      </c>
      <c r="F264" s="69">
        <f>+IFERROR(INDEX(Tabla2[TC],MATCH(Compilado[[#This Row],[Mes]],Tabla2[Mes],0))*Compilado[[#This Row],[USD]],0)</f>
        <v>427651.83759896416</v>
      </c>
      <c r="G264" s="150">
        <v>45839</v>
      </c>
    </row>
    <row r="265" spans="1:7">
      <c r="A265" t="s">
        <v>335</v>
      </c>
      <c r="B265" t="s">
        <v>91</v>
      </c>
      <c r="C265" s="2">
        <v>373.33088139836747</v>
      </c>
      <c r="D265" t="s">
        <v>12</v>
      </c>
      <c r="E265" t="str">
        <f>+INDEX(Check!$B$5:$B$33,MATCH(Compilado[[#This Row],[Items]],Check!$C$5:$C$33,0))</f>
        <v>PERSONAL FINCA</v>
      </c>
      <c r="F265" s="69">
        <f>+IFERROR(INDEX(Tabla2[TC],MATCH(Compilado[[#This Row],[Mes]],Tabla2[Mes],0))*Compilado[[#This Row],[USD]],0)</f>
        <v>433492.86435094313</v>
      </c>
      <c r="G265" s="150">
        <v>45870</v>
      </c>
    </row>
    <row r="266" spans="1:7">
      <c r="A266" t="s">
        <v>335</v>
      </c>
      <c r="B266" t="s">
        <v>92</v>
      </c>
      <c r="C266" s="2">
        <v>394.67361051197503</v>
      </c>
      <c r="D266" t="s">
        <v>12</v>
      </c>
      <c r="E266" t="str">
        <f>+INDEX(Check!$B$5:$B$33,MATCH(Compilado[[#This Row],[Items]],Check!$C$5:$C$33,0))</f>
        <v>PERSONAL FINCA</v>
      </c>
      <c r="F266" s="69">
        <f>+IFERROR(INDEX(Tabla2[TC],MATCH(Compilado[[#This Row],[Mes]],Tabla2[Mes],0))*Compilado[[#This Row],[USD]],0)</f>
        <v>462857.70734091173</v>
      </c>
      <c r="G266" s="150">
        <v>45901</v>
      </c>
    </row>
    <row r="267" spans="1:7">
      <c r="A267" t="s">
        <v>335</v>
      </c>
      <c r="B267" t="s">
        <v>93</v>
      </c>
      <c r="C267" s="2">
        <v>395.97465685813518</v>
      </c>
      <c r="D267" t="s">
        <v>12</v>
      </c>
      <c r="E267" t="str">
        <f>+INDEX(Check!$B$5:$B$33,MATCH(Compilado[[#This Row],[Items]],Check!$C$5:$C$33,0))</f>
        <v>PERSONAL FINCA</v>
      </c>
      <c r="F267" s="69">
        <f>+IFERROR(INDEX(Tabla2[TC],MATCH(Compilado[[#This Row],[Mes]],Tabla2[Mes],0))*Compilado[[#This Row],[USD]],0)</f>
        <v>469027.3586235345</v>
      </c>
      <c r="G267" s="150">
        <v>45931</v>
      </c>
    </row>
    <row r="268" spans="1:7">
      <c r="A268" t="s">
        <v>335</v>
      </c>
      <c r="B268" t="s">
        <v>94</v>
      </c>
      <c r="C268" s="2">
        <v>397.32397446380094</v>
      </c>
      <c r="D268" t="s">
        <v>12</v>
      </c>
      <c r="E268" t="str">
        <f>+INDEX(Check!$B$5:$B$33,MATCH(Compilado[[#This Row],[Items]],Check!$C$5:$C$33,0))</f>
        <v>PERSONAL FINCA</v>
      </c>
      <c r="F268" s="69">
        <f>+IFERROR(INDEX(Tabla2[TC],MATCH(Compilado[[#This Row],[Mes]],Tabla2[Mes],0))*Compilado[[#This Row],[USD]],0)</f>
        <v>475331.86567189754</v>
      </c>
      <c r="G268" s="150">
        <v>45962</v>
      </c>
    </row>
    <row r="269" spans="1:7">
      <c r="A269" t="s">
        <v>335</v>
      </c>
      <c r="B269" t="s">
        <v>95</v>
      </c>
      <c r="C269" s="2">
        <v>398.66355975473454</v>
      </c>
      <c r="D269" t="s">
        <v>12</v>
      </c>
      <c r="E269" t="str">
        <f>+INDEX(Check!$B$5:$B$33,MATCH(Compilado[[#This Row],[Items]],Check!$C$5:$C$33,0))</f>
        <v>PERSONAL FINCA</v>
      </c>
      <c r="F269" s="69">
        <f>+IFERROR(INDEX(Tabla2[TC],MATCH(Compilado[[#This Row],[Mes]],Tabla2[Mes],0))*Compilado[[#This Row],[USD]],0)</f>
        <v>481703.80060313066</v>
      </c>
      <c r="G269" s="150">
        <v>45992</v>
      </c>
    </row>
    <row r="270" spans="1:7">
      <c r="A270" t="s">
        <v>335</v>
      </c>
      <c r="B270" t="s">
        <v>96</v>
      </c>
      <c r="C270" s="2">
        <v>400.04817223053715</v>
      </c>
      <c r="D270" t="s">
        <v>12</v>
      </c>
      <c r="E270" t="str">
        <f>+INDEX(Check!$B$5:$B$33,MATCH(Compilado[[#This Row],[Items]],Check!$C$5:$C$33,0))</f>
        <v>PERSONAL FINCA</v>
      </c>
      <c r="F270" s="69">
        <f>+IFERROR(INDEX(Tabla2[TC],MATCH(Compilado[[#This Row],[Mes]],Tabla2[Mes],0))*Compilado[[#This Row],[USD]],0)</f>
        <v>488210.59130010422</v>
      </c>
      <c r="G270" s="150">
        <v>46023</v>
      </c>
    </row>
    <row r="271" spans="1:7">
      <c r="A271" t="s">
        <v>335</v>
      </c>
      <c r="B271" t="s">
        <v>97</v>
      </c>
      <c r="C271" s="2">
        <v>401.42099033026653</v>
      </c>
      <c r="D271" t="s">
        <v>12</v>
      </c>
      <c r="E271" t="str">
        <f>+INDEX(Check!$B$5:$B$33,MATCH(Compilado[[#This Row],[Items]],Check!$C$5:$C$33,0))</f>
        <v>PERSONAL FINCA</v>
      </c>
      <c r="F271" s="69">
        <f>+IFERROR(INDEX(Tabla2[TC],MATCH(Compilado[[#This Row],[Mes]],Tabla2[Mes],0))*Compilado[[#This Row],[USD]],0)</f>
        <v>494784.80987994792</v>
      </c>
      <c r="G271" s="150">
        <v>46054</v>
      </c>
    </row>
    <row r="272" spans="1:7">
      <c r="A272" t="s">
        <v>335</v>
      </c>
      <c r="B272" t="s">
        <v>98</v>
      </c>
      <c r="C272" s="2">
        <v>402.86281458656617</v>
      </c>
      <c r="D272" t="s">
        <v>12</v>
      </c>
      <c r="E272" t="str">
        <f>+INDEX(Check!$B$5:$B$33,MATCH(Compilado[[#This Row],[Items]],Check!$C$5:$C$33,0))</f>
        <v>PERSONAL FINCA</v>
      </c>
      <c r="F272" s="69">
        <f>+IFERROR(INDEX(Tabla2[TC],MATCH(Compilado[[#This Row],[Mes]],Tabla2[Mes],0))*Compilado[[#This Row],[USD]],0)</f>
        <v>501527.59816696728</v>
      </c>
      <c r="G272" s="150">
        <v>46082</v>
      </c>
    </row>
    <row r="273" spans="1:7">
      <c r="A273" t="s">
        <v>335</v>
      </c>
      <c r="B273" t="s">
        <v>99</v>
      </c>
      <c r="C273" s="2">
        <v>404.29036335517947</v>
      </c>
      <c r="D273" t="s">
        <v>12</v>
      </c>
      <c r="E273" t="str">
        <f>+INDEX(Check!$B$5:$B$33,MATCH(Compilado[[#This Row],[Items]],Check!$C$5:$C$33,0))</f>
        <v>PERSONAL FINCA</v>
      </c>
      <c r="F273" s="69">
        <f>+IFERROR(INDEX(Tabla2[TC],MATCH(Compilado[[#This Row],[Mes]],Tabla2[Mes],0))*Compilado[[#This Row],[USD]],0)</f>
        <v>508337.81433685671</v>
      </c>
      <c r="G273" s="150">
        <v>46113</v>
      </c>
    </row>
    <row r="274" spans="1:7">
      <c r="A274" t="s">
        <v>336</v>
      </c>
      <c r="B274" t="s">
        <v>88</v>
      </c>
      <c r="C274" s="2">
        <v>795.33710176067052</v>
      </c>
      <c r="D274" t="s">
        <v>373</v>
      </c>
      <c r="E274" t="str">
        <f>+INDEX(Check!$B$5:$B$33,MATCH(Compilado[[#This Row],[Items]],Check!$C$5:$C$33,0))</f>
        <v>PERSONAL FINCA</v>
      </c>
      <c r="F274" s="69">
        <f>+IFERROR(INDEX(Tabla2[TC],MATCH(Compilado[[#This Row],[Mes]],Tabla2[Mes],0))*Compilado[[#This Row],[USD]],0)</f>
        <v>896344.9136842757</v>
      </c>
      <c r="G274" s="150">
        <v>45778</v>
      </c>
    </row>
    <row r="275" spans="1:7">
      <c r="A275" t="s">
        <v>336</v>
      </c>
      <c r="B275" t="s">
        <v>89</v>
      </c>
      <c r="C275" s="2">
        <v>1146.3603971423718</v>
      </c>
      <c r="D275" t="s">
        <v>373</v>
      </c>
      <c r="E275" t="str">
        <f>+INDEX(Check!$B$5:$B$33,MATCH(Compilado[[#This Row],[Items]],Check!$C$5:$C$33,0))</f>
        <v>PERSONAL FINCA</v>
      </c>
      <c r="F275" s="69">
        <f>+IFERROR(INDEX(Tabla2[TC],MATCH(Compilado[[#This Row],[Mes]],Tabla2[Mes],0))*Compilado[[#This Row],[USD]],0)</f>
        <v>1304867.6492552476</v>
      </c>
      <c r="G275" s="150">
        <v>45809</v>
      </c>
    </row>
    <row r="276" spans="1:7">
      <c r="A276" t="s">
        <v>336</v>
      </c>
      <c r="B276" t="s">
        <v>90</v>
      </c>
      <c r="C276" s="2">
        <v>801.63607225354883</v>
      </c>
      <c r="D276" t="s">
        <v>373</v>
      </c>
      <c r="E276" t="str">
        <f>+INDEX(Check!$B$5:$B$33,MATCH(Compilado[[#This Row],[Items]],Check!$C$5:$C$33,0))</f>
        <v>PERSONAL FINCA</v>
      </c>
      <c r="F276" s="69">
        <f>+IFERROR(INDEX(Tabla2[TC],MATCH(Compilado[[#This Row],[Mes]],Tabla2[Mes],0))*Compilado[[#This Row],[USD]],0)</f>
        <v>921603.07488368754</v>
      </c>
      <c r="G276" s="150">
        <v>45839</v>
      </c>
    </row>
    <row r="277" spans="1:7">
      <c r="A277" t="s">
        <v>336</v>
      </c>
      <c r="B277" t="s">
        <v>91</v>
      </c>
      <c r="C277" s="2">
        <v>810.85816675402975</v>
      </c>
      <c r="D277" t="s">
        <v>373</v>
      </c>
      <c r="E277" t="str">
        <f>+INDEX(Check!$B$5:$B$33,MATCH(Compilado[[#This Row],[Items]],Check!$C$5:$C$33,0))</f>
        <v>PERSONAL FINCA</v>
      </c>
      <c r="F277" s="69">
        <f>+IFERROR(INDEX(Tabla2[TC],MATCH(Compilado[[#This Row],[Mes]],Tabla2[Mes],0))*Compilado[[#This Row],[USD]],0)</f>
        <v>941527.33353307878</v>
      </c>
      <c r="G277" s="150">
        <v>45870</v>
      </c>
    </row>
    <row r="278" spans="1:7">
      <c r="A278" t="s">
        <v>336</v>
      </c>
      <c r="B278" t="s">
        <v>92</v>
      </c>
      <c r="C278" s="2">
        <v>790.77686059166683</v>
      </c>
      <c r="D278" t="s">
        <v>373</v>
      </c>
      <c r="E278" t="str">
        <f>+INDEX(Check!$B$5:$B$33,MATCH(Compilado[[#This Row],[Items]],Check!$C$5:$C$33,0))</f>
        <v>PERSONAL FINCA</v>
      </c>
      <c r="F278" s="69">
        <f>+IFERROR(INDEX(Tabla2[TC],MATCH(Compilado[[#This Row],[Mes]],Tabla2[Mes],0))*Compilado[[#This Row],[USD]],0)</f>
        <v>927392.03980955586</v>
      </c>
      <c r="G278" s="150">
        <v>45901</v>
      </c>
    </row>
    <row r="279" spans="1:7">
      <c r="A279" t="s">
        <v>336</v>
      </c>
      <c r="B279" t="s">
        <v>93</v>
      </c>
      <c r="C279" s="2">
        <v>833.08890863047202</v>
      </c>
      <c r="D279" t="s">
        <v>373</v>
      </c>
      <c r="E279" t="str">
        <f>+INDEX(Check!$B$5:$B$33,MATCH(Compilado[[#This Row],[Items]],Check!$C$5:$C$33,0))</f>
        <v>PERSONAL FINCA</v>
      </c>
      <c r="F279" s="69">
        <f>+IFERROR(INDEX(Tabla2[TC],MATCH(Compilado[[#This Row],[Mes]],Tabla2[Mes],0))*Compilado[[#This Row],[USD]],0)</f>
        <v>986784.08717834507</v>
      </c>
      <c r="G279" s="150">
        <v>45931</v>
      </c>
    </row>
    <row r="280" spans="1:7">
      <c r="A280" t="s">
        <v>336</v>
      </c>
      <c r="B280" t="s">
        <v>94</v>
      </c>
      <c r="C280" s="2">
        <v>810.9115479203839</v>
      </c>
      <c r="D280" t="s">
        <v>373</v>
      </c>
      <c r="E280" t="str">
        <f>+INDEX(Check!$B$5:$B$33,MATCH(Compilado[[#This Row],[Items]],Check!$C$5:$C$33,0))</f>
        <v>PERSONAL FINCA</v>
      </c>
      <c r="F280" s="69">
        <f>+IFERROR(INDEX(Tabla2[TC],MATCH(Compilado[[#This Row],[Mes]],Tabla2[Mes],0))*Compilado[[#This Row],[USD]],0)</f>
        <v>970120.41492854815</v>
      </c>
      <c r="G280" s="150">
        <v>45962</v>
      </c>
    </row>
    <row r="281" spans="1:7">
      <c r="A281" t="s">
        <v>336</v>
      </c>
      <c r="B281" t="s">
        <v>95</v>
      </c>
      <c r="C281" s="2">
        <v>1237.6218753584944</v>
      </c>
      <c r="D281" t="s">
        <v>373</v>
      </c>
      <c r="E281" t="str">
        <f>+INDEX(Check!$B$5:$B$33,MATCH(Compilado[[#This Row],[Items]],Check!$C$5:$C$33,0))</f>
        <v>PERSONAL FINCA</v>
      </c>
      <c r="F281" s="69">
        <f>+IFERROR(INDEX(Tabla2[TC],MATCH(Compilado[[#This Row],[Mes]],Tabla2[Mes],0))*Compilado[[#This Row],[USD]],0)</f>
        <v>1495414.2320821453</v>
      </c>
      <c r="G281" s="150">
        <v>45992</v>
      </c>
    </row>
    <row r="282" spans="1:7">
      <c r="A282" t="s">
        <v>336</v>
      </c>
      <c r="B282" t="s">
        <v>96</v>
      </c>
      <c r="C282" s="2">
        <v>846.8989654767654</v>
      </c>
      <c r="D282" t="s">
        <v>373</v>
      </c>
      <c r="E282" t="str">
        <f>+INDEX(Check!$B$5:$B$33,MATCH(Compilado[[#This Row],[Items]],Check!$C$5:$C$33,0))</f>
        <v>PERSONAL FINCA</v>
      </c>
      <c r="F282" s="69">
        <f>+IFERROR(INDEX(Tabla2[TC],MATCH(Compilado[[#This Row],[Mes]],Tabla2[Mes],0))*Compilado[[#This Row],[USD]],0)</f>
        <v>1033538.1421730113</v>
      </c>
      <c r="G282" s="150">
        <v>46023</v>
      </c>
    </row>
    <row r="283" spans="1:7">
      <c r="A283" t="s">
        <v>336</v>
      </c>
      <c r="B283" t="s">
        <v>97</v>
      </c>
      <c r="C283" s="2">
        <v>812.58632734799698</v>
      </c>
      <c r="D283" t="s">
        <v>373</v>
      </c>
      <c r="E283" t="str">
        <f>+INDEX(Check!$B$5:$B$33,MATCH(Compilado[[#This Row],[Items]],Check!$C$5:$C$33,0))</f>
        <v>PERSONAL FINCA</v>
      </c>
      <c r="F283" s="69">
        <f>+IFERROR(INDEX(Tabla2[TC],MATCH(Compilado[[#This Row],[Mes]],Tabla2[Mes],0))*Compilado[[#This Row],[USD]],0)</f>
        <v>1001580.338778835</v>
      </c>
      <c r="G283" s="150">
        <v>46054</v>
      </c>
    </row>
    <row r="284" spans="1:7">
      <c r="A284" t="s">
        <v>336</v>
      </c>
      <c r="B284" t="s">
        <v>98</v>
      </c>
      <c r="C284" s="2">
        <v>842.82650856921884</v>
      </c>
      <c r="D284" t="s">
        <v>373</v>
      </c>
      <c r="E284" t="str">
        <f>+INDEX(Check!$B$5:$B$33,MATCH(Compilado[[#This Row],[Items]],Check!$C$5:$C$33,0))</f>
        <v>PERSONAL FINCA</v>
      </c>
      <c r="F284" s="69">
        <f>+IFERROR(INDEX(Tabla2[TC],MATCH(Compilado[[#This Row],[Mes]],Tabla2[Mes],0))*Compilado[[#This Row],[USD]],0)</f>
        <v>1049242.420023212</v>
      </c>
      <c r="G284" s="150">
        <v>46082</v>
      </c>
    </row>
    <row r="285" spans="1:7">
      <c r="A285" t="s">
        <v>336</v>
      </c>
      <c r="B285" t="s">
        <v>99</v>
      </c>
      <c r="C285" s="2">
        <v>849.12132004840805</v>
      </c>
      <c r="D285" t="s">
        <v>373</v>
      </c>
      <c r="E285" t="str">
        <f>+INDEX(Check!$B$5:$B$33,MATCH(Compilado[[#This Row],[Items]],Check!$C$5:$C$33,0))</f>
        <v>PERSONAL FINCA</v>
      </c>
      <c r="F285" s="69">
        <f>+IFERROR(INDEX(Tabla2[TC],MATCH(Compilado[[#This Row],[Mes]],Tabla2[Mes],0))*Compilado[[#This Row],[USD]],0)</f>
        <v>1067649.6772222768</v>
      </c>
      <c r="G285" s="150">
        <v>46113</v>
      </c>
    </row>
    <row r="286" spans="1:7">
      <c r="A286" t="s">
        <v>337</v>
      </c>
      <c r="B286" t="s">
        <v>88</v>
      </c>
      <c r="C286" s="2">
        <v>9308.4805010177442</v>
      </c>
      <c r="D286" t="s">
        <v>373</v>
      </c>
      <c r="E286" t="str">
        <f>+INDEX(Check!$B$5:$B$33,MATCH(Compilado[[#This Row],[Items]],Check!$C$5:$C$33,0))</f>
        <v>PERSONAL FINCA</v>
      </c>
      <c r="F286" s="69">
        <f>+IFERROR(INDEX(Tabla2[TC],MATCH(Compilado[[#This Row],[Mes]],Tabla2[Mes],0))*Compilado[[#This Row],[USD]],0)</f>
        <v>10490657.524646997</v>
      </c>
      <c r="G286" s="150">
        <v>45778</v>
      </c>
    </row>
    <row r="287" spans="1:7">
      <c r="A287" t="s">
        <v>337</v>
      </c>
      <c r="B287" t="s">
        <v>89</v>
      </c>
      <c r="C287" s="2">
        <v>13253.0666171416</v>
      </c>
      <c r="D287" t="s">
        <v>373</v>
      </c>
      <c r="E287" t="str">
        <f>+INDEX(Check!$B$5:$B$33,MATCH(Compilado[[#This Row],[Items]],Check!$C$5:$C$33,0))</f>
        <v>PERSONAL FINCA</v>
      </c>
      <c r="F287" s="69">
        <f>+IFERROR(INDEX(Tabla2[TC],MATCH(Compilado[[#This Row],[Mes]],Tabla2[Mes],0))*Compilado[[#This Row],[USD]],0)</f>
        <v>15085568.138293769</v>
      </c>
      <c r="G287" s="150">
        <v>45809</v>
      </c>
    </row>
    <row r="288" spans="1:7">
      <c r="A288" t="s">
        <v>337</v>
      </c>
      <c r="B288" t="s">
        <v>90</v>
      </c>
      <c r="C288" s="2">
        <v>9536.0350254426012</v>
      </c>
      <c r="D288" t="s">
        <v>373</v>
      </c>
      <c r="E288" t="str">
        <f>+INDEX(Check!$B$5:$B$33,MATCH(Compilado[[#This Row],[Items]],Check!$C$5:$C$33,0))</f>
        <v>PERSONAL FINCA</v>
      </c>
      <c r="F288" s="69">
        <f>+IFERROR(INDEX(Tabla2[TC],MATCH(Compilado[[#This Row],[Mes]],Tabla2[Mes],0))*Compilado[[#This Row],[USD]],0)</f>
        <v>10963128.414294656</v>
      </c>
      <c r="G288" s="150">
        <v>45839</v>
      </c>
    </row>
    <row r="289" spans="1:7">
      <c r="A289" t="s">
        <v>337</v>
      </c>
      <c r="B289" t="s">
        <v>91</v>
      </c>
      <c r="C289" s="2">
        <v>9708.3154403553035</v>
      </c>
      <c r="D289" t="s">
        <v>373</v>
      </c>
      <c r="E289" t="str">
        <f>+INDEX(Check!$B$5:$B$33,MATCH(Compilado[[#This Row],[Items]],Check!$C$5:$C$33,0))</f>
        <v>PERSONAL FINCA</v>
      </c>
      <c r="F289" s="69">
        <f>+IFERROR(INDEX(Tabla2[TC],MATCH(Compilado[[#This Row],[Mes]],Tabla2[Mes],0))*Compilado[[#This Row],[USD]],0)</f>
        <v>11272802.969040727</v>
      </c>
      <c r="G289" s="150">
        <v>45870</v>
      </c>
    </row>
    <row r="290" spans="1:7">
      <c r="A290" t="s">
        <v>337</v>
      </c>
      <c r="B290" t="s">
        <v>92</v>
      </c>
      <c r="C290" s="2">
        <v>9267.6420571094168</v>
      </c>
      <c r="D290" t="s">
        <v>373</v>
      </c>
      <c r="E290" t="str">
        <f>+INDEX(Check!$B$5:$B$33,MATCH(Compilado[[#This Row],[Items]],Check!$C$5:$C$33,0))</f>
        <v>PERSONAL FINCA</v>
      </c>
      <c r="F290" s="69">
        <f>+IFERROR(INDEX(Tabla2[TC],MATCH(Compilado[[#This Row],[Mes]],Tabla2[Mes],0))*Compilado[[#This Row],[USD]],0)</f>
        <v>10868726.564832544</v>
      </c>
      <c r="G290" s="150">
        <v>45901</v>
      </c>
    </row>
    <row r="291" spans="1:7">
      <c r="A291" t="s">
        <v>337</v>
      </c>
      <c r="B291" t="s">
        <v>93</v>
      </c>
      <c r="C291" s="2">
        <v>9844.8686713359621</v>
      </c>
      <c r="D291" t="s">
        <v>373</v>
      </c>
      <c r="E291" t="str">
        <f>+INDEX(Check!$B$5:$B$33,MATCH(Compilado[[#This Row],[Items]],Check!$C$5:$C$33,0))</f>
        <v>PERSONAL FINCA</v>
      </c>
      <c r="F291" s="69">
        <f>+IFERROR(INDEX(Tabla2[TC],MATCH(Compilado[[#This Row],[Mes]],Tabla2[Mes],0))*Compilado[[#This Row],[USD]],0)</f>
        <v>11661132.016755799</v>
      </c>
      <c r="G291" s="150">
        <v>45931</v>
      </c>
    </row>
    <row r="292" spans="1:7">
      <c r="A292" t="s">
        <v>337</v>
      </c>
      <c r="B292" t="s">
        <v>94</v>
      </c>
      <c r="C292" s="2">
        <v>9378.9502371052913</v>
      </c>
      <c r="D292" t="s">
        <v>373</v>
      </c>
      <c r="E292" t="str">
        <f>+INDEX(Check!$B$5:$B$33,MATCH(Compilado[[#This Row],[Items]],Check!$C$5:$C$33,0))</f>
        <v>PERSONAL FINCA</v>
      </c>
      <c r="F292" s="69">
        <f>+IFERROR(INDEX(Tabla2[TC],MATCH(Compilado[[#This Row],[Mes]],Tabla2[Mes],0))*Compilado[[#This Row],[USD]],0)</f>
        <v>11220349.641029049</v>
      </c>
      <c r="G292" s="150">
        <v>45962</v>
      </c>
    </row>
    <row r="293" spans="1:7">
      <c r="A293" t="s">
        <v>337</v>
      </c>
      <c r="B293" t="s">
        <v>95</v>
      </c>
      <c r="C293" s="2">
        <v>14242.882501689488</v>
      </c>
      <c r="D293" t="s">
        <v>373</v>
      </c>
      <c r="E293" t="str">
        <f>+INDEX(Check!$B$5:$B$33,MATCH(Compilado[[#This Row],[Items]],Check!$C$5:$C$33,0))</f>
        <v>PERSONAL FINCA</v>
      </c>
      <c r="F293" s="69">
        <f>+IFERROR(INDEX(Tabla2[TC],MATCH(Compilado[[#This Row],[Mes]],Tabla2[Mes],0))*Compilado[[#This Row],[USD]],0)</f>
        <v>17209625.672405522</v>
      </c>
      <c r="G293" s="150">
        <v>45992</v>
      </c>
    </row>
    <row r="294" spans="1:7">
      <c r="A294" t="s">
        <v>337</v>
      </c>
      <c r="B294" t="s">
        <v>96</v>
      </c>
      <c r="C294" s="2">
        <v>9732.6879076038949</v>
      </c>
      <c r="D294" t="s">
        <v>373</v>
      </c>
      <c r="E294" t="str">
        <f>+INDEX(Check!$B$5:$B$33,MATCH(Compilado[[#This Row],[Items]],Check!$C$5:$C$33,0))</f>
        <v>PERSONAL FINCA</v>
      </c>
      <c r="F294" s="69">
        <f>+IFERROR(INDEX(Tabla2[TC],MATCH(Compilado[[#This Row],[Mes]],Tabla2[Mes],0))*Compilado[[#This Row],[USD]],0)</f>
        <v>11877572.87283005</v>
      </c>
      <c r="G294" s="150">
        <v>46023</v>
      </c>
    </row>
    <row r="295" spans="1:7">
      <c r="A295" t="s">
        <v>337</v>
      </c>
      <c r="B295" t="s">
        <v>97</v>
      </c>
      <c r="C295" s="2">
        <v>9138.2749309096234</v>
      </c>
      <c r="D295" t="s">
        <v>373</v>
      </c>
      <c r="E295" t="str">
        <f>+INDEX(Check!$B$5:$B$33,MATCH(Compilado[[#This Row],[Items]],Check!$C$5:$C$33,0))</f>
        <v>PERSONAL FINCA</v>
      </c>
      <c r="F295" s="69">
        <f>+IFERROR(INDEX(Tabla2[TC],MATCH(Compilado[[#This Row],[Mes]],Tabla2[Mes],0))*Compilado[[#This Row],[USD]],0)</f>
        <v>11263685.091805473</v>
      </c>
      <c r="G295" s="150">
        <v>46054</v>
      </c>
    </row>
    <row r="296" spans="1:7">
      <c r="A296" t="s">
        <v>337</v>
      </c>
      <c r="B296" t="s">
        <v>98</v>
      </c>
      <c r="C296" s="2">
        <v>9498.0799550161191</v>
      </c>
      <c r="D296" t="s">
        <v>373</v>
      </c>
      <c r="E296" t="str">
        <f>+INDEX(Check!$B$5:$B$33,MATCH(Compilado[[#This Row],[Items]],Check!$C$5:$C$33,0))</f>
        <v>PERSONAL FINCA</v>
      </c>
      <c r="F296" s="69">
        <f>+IFERROR(INDEX(Tabla2[TC],MATCH(Compilado[[#This Row],[Mes]],Tabla2[Mes],0))*Compilado[[#This Row],[USD]],0)</f>
        <v>11824246.504174367</v>
      </c>
      <c r="G296" s="150">
        <v>46082</v>
      </c>
    </row>
    <row r="297" spans="1:7">
      <c r="A297" t="s">
        <v>337</v>
      </c>
      <c r="B297" t="s">
        <v>99</v>
      </c>
      <c r="C297" s="2">
        <v>9499.9847971301388</v>
      </c>
      <c r="D297" t="s">
        <v>373</v>
      </c>
      <c r="E297" t="str">
        <f>+INDEX(Check!$B$5:$B$33,MATCH(Compilado[[#This Row],[Items]],Check!$C$5:$C$33,0))</f>
        <v>PERSONAL FINCA</v>
      </c>
      <c r="F297" s="69">
        <f>+IFERROR(INDEX(Tabla2[TC],MATCH(Compilado[[#This Row],[Mes]],Tabla2[Mes],0))*Compilado[[#This Row],[USD]],0)</f>
        <v>11944884.038118722</v>
      </c>
      <c r="G297" s="150">
        <v>46113</v>
      </c>
    </row>
    <row r="298" spans="1:7">
      <c r="A298" t="s">
        <v>333</v>
      </c>
      <c r="B298" t="s">
        <v>88</v>
      </c>
      <c r="C298" s="2">
        <v>1537.7860208190027</v>
      </c>
      <c r="D298" t="s">
        <v>373</v>
      </c>
      <c r="E298" t="str">
        <f>+INDEX(Check!$B$5:$B$33,MATCH(Compilado[[#This Row],[Items]],Check!$C$5:$C$33,0))</f>
        <v>PERSONAL FINCA</v>
      </c>
      <c r="F298" s="69">
        <f>+IFERROR(INDEX(Tabla2[TC],MATCH(Compilado[[#This Row],[Mes]],Tabla2[Mes],0))*Compilado[[#This Row],[USD]],0)</f>
        <v>1733084.8454630161</v>
      </c>
      <c r="G298" s="150">
        <v>45778</v>
      </c>
    </row>
    <row r="299" spans="1:7">
      <c r="A299" t="s">
        <v>333</v>
      </c>
      <c r="B299" t="s">
        <v>89</v>
      </c>
      <c r="C299" s="2">
        <v>2594.6804429288791</v>
      </c>
      <c r="D299" t="s">
        <v>373</v>
      </c>
      <c r="E299" t="str">
        <f>+INDEX(Check!$B$5:$B$33,MATCH(Compilado[[#This Row],[Items]],Check!$C$5:$C$33,0))</f>
        <v>PERSONAL FINCA</v>
      </c>
      <c r="F299" s="69">
        <f>+IFERROR(INDEX(Tabla2[TC],MATCH(Compilado[[#This Row],[Mes]],Tabla2[Mes],0))*Compilado[[#This Row],[USD]],0)</f>
        <v>2953446.9077726551</v>
      </c>
      <c r="G299" s="150">
        <v>45809</v>
      </c>
    </row>
    <row r="300" spans="1:7">
      <c r="A300" t="s">
        <v>333</v>
      </c>
      <c r="B300" t="s">
        <v>90</v>
      </c>
      <c r="C300" s="2">
        <v>1568.3807276454174</v>
      </c>
      <c r="D300" t="s">
        <v>373</v>
      </c>
      <c r="E300" t="str">
        <f>+INDEX(Check!$B$5:$B$33,MATCH(Compilado[[#This Row],[Items]],Check!$C$5:$C$33,0))</f>
        <v>PERSONAL FINCA</v>
      </c>
      <c r="F300" s="69">
        <f>+IFERROR(INDEX(Tabla2[TC],MATCH(Compilado[[#This Row],[Mes]],Tabla2[Mes],0))*Compilado[[#This Row],[USD]],0)</f>
        <v>1803093.1381655189</v>
      </c>
      <c r="G300" s="150">
        <v>45839</v>
      </c>
    </row>
    <row r="301" spans="1:7">
      <c r="A301" t="s">
        <v>333</v>
      </c>
      <c r="B301" t="s">
        <v>91</v>
      </c>
      <c r="C301" s="2">
        <v>1635.1447089070016</v>
      </c>
      <c r="D301" t="s">
        <v>373</v>
      </c>
      <c r="E301" t="str">
        <f>+INDEX(Check!$B$5:$B$33,MATCH(Compilado[[#This Row],[Items]],Check!$C$5:$C$33,0))</f>
        <v>PERSONAL FINCA</v>
      </c>
      <c r="F301" s="69">
        <f>+IFERROR(INDEX(Tabla2[TC],MATCH(Compilado[[#This Row],[Mes]],Tabla2[Mes],0))*Compilado[[#This Row],[USD]],0)</f>
        <v>1898647.0147805051</v>
      </c>
      <c r="G301" s="150">
        <v>45870</v>
      </c>
    </row>
    <row r="302" spans="1:7">
      <c r="A302" t="s">
        <v>333</v>
      </c>
      <c r="B302" t="s">
        <v>92</v>
      </c>
      <c r="C302" s="2">
        <v>1529.5711844127627</v>
      </c>
      <c r="D302" t="s">
        <v>373</v>
      </c>
      <c r="E302" t="str">
        <f>+INDEX(Check!$B$5:$B$33,MATCH(Compilado[[#This Row],[Items]],Check!$C$5:$C$33,0))</f>
        <v>PERSONAL FINCA</v>
      </c>
      <c r="F302" s="69">
        <f>+IFERROR(INDEX(Tabla2[TC],MATCH(Compilado[[#This Row],[Mes]],Tabla2[Mes],0))*Compilado[[#This Row],[USD]],0)</f>
        <v>1793821.0024065778</v>
      </c>
      <c r="G302" s="150">
        <v>45901</v>
      </c>
    </row>
    <row r="303" spans="1:7">
      <c r="A303" t="s">
        <v>333</v>
      </c>
      <c r="B303" t="s">
        <v>93</v>
      </c>
      <c r="C303" s="2">
        <v>1693.2936585547084</v>
      </c>
      <c r="D303" t="s">
        <v>373</v>
      </c>
      <c r="E303" t="str">
        <f>+INDEX(Check!$B$5:$B$33,MATCH(Compilado[[#This Row],[Items]],Check!$C$5:$C$33,0))</f>
        <v>PERSONAL FINCA</v>
      </c>
      <c r="F303" s="69">
        <f>+IFERROR(INDEX(Tabla2[TC],MATCH(Compilado[[#This Row],[Mes]],Tabla2[Mes],0))*Compilado[[#This Row],[USD]],0)</f>
        <v>2005686.5718313693</v>
      </c>
      <c r="G303" s="150">
        <v>45931</v>
      </c>
    </row>
    <row r="304" spans="1:7">
      <c r="A304" t="s">
        <v>333</v>
      </c>
      <c r="B304" t="s">
        <v>94</v>
      </c>
      <c r="C304" s="2">
        <v>1581.1652198811034</v>
      </c>
      <c r="D304" t="s">
        <v>373</v>
      </c>
      <c r="E304" t="str">
        <f>+INDEX(Check!$B$5:$B$33,MATCH(Compilado[[#This Row],[Items]],Check!$C$5:$C$33,0))</f>
        <v>PERSONAL FINCA</v>
      </c>
      <c r="F304" s="69">
        <f>+IFERROR(INDEX(Tabla2[TC],MATCH(Compilado[[#This Row],[Mes]],Tabla2[Mes],0))*Compilado[[#This Row],[USD]],0)</f>
        <v>1891600.4626095754</v>
      </c>
      <c r="G304" s="150">
        <v>45962</v>
      </c>
    </row>
    <row r="305" spans="1:7">
      <c r="A305" t="s">
        <v>333</v>
      </c>
      <c r="B305" t="s">
        <v>95</v>
      </c>
      <c r="C305" s="2">
        <v>2908.7594347112627</v>
      </c>
      <c r="D305" t="s">
        <v>373</v>
      </c>
      <c r="E305" t="str">
        <f>+INDEX(Check!$B$5:$B$33,MATCH(Compilado[[#This Row],[Items]],Check!$C$5:$C$33,0))</f>
        <v>PERSONAL FINCA</v>
      </c>
      <c r="F305" s="69">
        <f>+IFERROR(INDEX(Tabla2[TC],MATCH(Compilado[[#This Row],[Mes]],Tabla2[Mes],0))*Compilado[[#This Row],[USD]],0)</f>
        <v>3514643.965961298</v>
      </c>
      <c r="G305" s="150">
        <v>45992</v>
      </c>
    </row>
    <row r="306" spans="1:7">
      <c r="A306" t="s">
        <v>333</v>
      </c>
      <c r="B306" t="s">
        <v>96</v>
      </c>
      <c r="C306" s="2">
        <v>1696.6678175961576</v>
      </c>
      <c r="D306" t="s">
        <v>373</v>
      </c>
      <c r="E306" t="str">
        <f>+INDEX(Check!$B$5:$B$33,MATCH(Compilado[[#This Row],[Items]],Check!$C$5:$C$33,0))</f>
        <v>PERSONAL FINCA</v>
      </c>
      <c r="F306" s="69">
        <f>+IFERROR(INDEX(Tabla2[TC],MATCH(Compilado[[#This Row],[Mes]],Tabla2[Mes],0))*Compilado[[#This Row],[USD]],0)</f>
        <v>2070578.6351927943</v>
      </c>
      <c r="G306" s="150">
        <v>46023</v>
      </c>
    </row>
    <row r="307" spans="1:7">
      <c r="A307" t="s">
        <v>333</v>
      </c>
      <c r="B307" t="s">
        <v>97</v>
      </c>
      <c r="C307" s="2">
        <v>1549.3279794950299</v>
      </c>
      <c r="D307" t="s">
        <v>373</v>
      </c>
      <c r="E307" t="str">
        <f>+INDEX(Check!$B$5:$B$33,MATCH(Compilado[[#This Row],[Items]],Check!$C$5:$C$33,0))</f>
        <v>PERSONAL FINCA</v>
      </c>
      <c r="F307" s="69">
        <f>+IFERROR(INDEX(Tabla2[TC],MATCH(Compilado[[#This Row],[Mes]],Tabla2[Mes],0))*Compilado[[#This Row],[USD]],0)</f>
        <v>1909675.7973354363</v>
      </c>
      <c r="G307" s="150">
        <v>46054</v>
      </c>
    </row>
    <row r="308" spans="1:7">
      <c r="A308" t="s">
        <v>333</v>
      </c>
      <c r="B308" t="s">
        <v>98</v>
      </c>
      <c r="C308" s="2">
        <v>1655.4236507488918</v>
      </c>
      <c r="D308" t="s">
        <v>373</v>
      </c>
      <c r="E308" t="str">
        <f>+INDEX(Check!$B$5:$B$33,MATCH(Compilado[[#This Row],[Items]],Check!$C$5:$C$33,0))</f>
        <v>PERSONAL FINCA</v>
      </c>
      <c r="F308" s="69">
        <f>+IFERROR(INDEX(Tabla2[TC],MATCH(Compilado[[#This Row],[Mes]],Tabla2[Mes],0))*Compilado[[#This Row],[USD]],0)</f>
        <v>2060852.0256725857</v>
      </c>
      <c r="G308" s="150">
        <v>46082</v>
      </c>
    </row>
    <row r="309" spans="1:7">
      <c r="A309" t="s">
        <v>333</v>
      </c>
      <c r="B309" t="s">
        <v>99</v>
      </c>
      <c r="C309" s="2">
        <v>1666.3993382586664</v>
      </c>
      <c r="D309" t="s">
        <v>373</v>
      </c>
      <c r="E309" t="str">
        <f>+INDEX(Check!$B$5:$B$33,MATCH(Compilado[[#This Row],[Items]],Check!$C$5:$C$33,0))</f>
        <v>PERSONAL FINCA</v>
      </c>
      <c r="F309" s="69">
        <f>+IFERROR(INDEX(Tabla2[TC],MATCH(Compilado[[#This Row],[Mes]],Tabla2[Mes],0))*Compilado[[#This Row],[USD]],0)</f>
        <v>2095260.9169133254</v>
      </c>
      <c r="G309" s="150">
        <v>46113</v>
      </c>
    </row>
    <row r="310" spans="1:7">
      <c r="A310" t="s">
        <v>336</v>
      </c>
      <c r="B310" t="s">
        <v>88</v>
      </c>
      <c r="C310" s="2">
        <v>333.98415767798269</v>
      </c>
      <c r="D310" t="s">
        <v>15</v>
      </c>
      <c r="E310" t="str">
        <f>+INDEX(Check!$B$5:$B$33,MATCH(Compilado[[#This Row],[Items]],Check!$C$5:$C$33,0))</f>
        <v>PERSONAL FINCA</v>
      </c>
      <c r="F310" s="69">
        <f>+IFERROR(INDEX(Tabla2[TC],MATCH(Compilado[[#This Row],[Mes]],Tabla2[Mes],0))*Compilado[[#This Row],[USD]],0)</f>
        <v>376400.14570308651</v>
      </c>
      <c r="G310" s="150">
        <v>45778</v>
      </c>
    </row>
    <row r="311" spans="1:7">
      <c r="A311" t="s">
        <v>336</v>
      </c>
      <c r="B311" t="s">
        <v>89</v>
      </c>
      <c r="C311" s="2">
        <v>481.38859709603133</v>
      </c>
      <c r="D311" t="s">
        <v>15</v>
      </c>
      <c r="E311" t="str">
        <f>+INDEX(Check!$B$5:$B$33,MATCH(Compilado[[#This Row],[Items]],Check!$C$5:$C$33,0))</f>
        <v>PERSONAL FINCA</v>
      </c>
      <c r="F311" s="69">
        <f>+IFERROR(INDEX(Tabla2[TC],MATCH(Compilado[[#This Row],[Mes]],Tabla2[Mes],0))*Compilado[[#This Row],[USD]],0)</f>
        <v>547950.19841649954</v>
      </c>
      <c r="G311" s="150">
        <v>45809</v>
      </c>
    </row>
    <row r="312" spans="1:7">
      <c r="A312" t="s">
        <v>336</v>
      </c>
      <c r="B312" t="s">
        <v>90</v>
      </c>
      <c r="C312" s="2">
        <v>336.62927048567792</v>
      </c>
      <c r="D312" t="s">
        <v>15</v>
      </c>
      <c r="E312" t="str">
        <f>+INDEX(Check!$B$5:$B$33,MATCH(Compilado[[#This Row],[Items]],Check!$C$5:$C$33,0))</f>
        <v>PERSONAL FINCA</v>
      </c>
      <c r="F312" s="69">
        <f>+IFERROR(INDEX(Tabla2[TC],MATCH(Compilado[[#This Row],[Mes]],Tabla2[Mes],0))*Compilado[[#This Row],[USD]],0)</f>
        <v>387006.74971288996</v>
      </c>
      <c r="G312" s="150">
        <v>45839</v>
      </c>
    </row>
    <row r="313" spans="1:7">
      <c r="A313" t="s">
        <v>336</v>
      </c>
      <c r="B313" t="s">
        <v>91</v>
      </c>
      <c r="C313" s="2">
        <v>340.50188432068137</v>
      </c>
      <c r="D313" t="s">
        <v>15</v>
      </c>
      <c r="E313" t="str">
        <f>+INDEX(Check!$B$5:$B$33,MATCH(Compilado[[#This Row],[Items]],Check!$C$5:$C$33,0))</f>
        <v>PERSONAL FINCA</v>
      </c>
      <c r="F313" s="69">
        <f>+IFERROR(INDEX(Tabla2[TC],MATCH(Compilado[[#This Row],[Mes]],Tabla2[Mes],0))*Compilado[[#This Row],[USD]],0)</f>
        <v>395373.49977100262</v>
      </c>
      <c r="G313" s="150">
        <v>45870</v>
      </c>
    </row>
    <row r="314" spans="1:7">
      <c r="A314" t="s">
        <v>336</v>
      </c>
      <c r="B314" t="s">
        <v>92</v>
      </c>
      <c r="C314" s="2">
        <v>332.06918564629137</v>
      </c>
      <c r="D314" t="s">
        <v>15</v>
      </c>
      <c r="E314" t="str">
        <f>+INDEX(Check!$B$5:$B$33,MATCH(Compilado[[#This Row],[Items]],Check!$C$5:$C$33,0))</f>
        <v>PERSONAL FINCA</v>
      </c>
      <c r="F314" s="69">
        <f>+IFERROR(INDEX(Tabla2[TC],MATCH(Compilado[[#This Row],[Mes]],Tabla2[Mes],0))*Compilado[[#This Row],[USD]],0)</f>
        <v>389437.69700594788</v>
      </c>
      <c r="G314" s="150">
        <v>45901</v>
      </c>
    </row>
    <row r="315" spans="1:7">
      <c r="A315" t="s">
        <v>336</v>
      </c>
      <c r="B315" t="s">
        <v>93</v>
      </c>
      <c r="C315" s="2">
        <v>349.83719080107039</v>
      </c>
      <c r="D315" t="s">
        <v>15</v>
      </c>
      <c r="E315" t="str">
        <f>+INDEX(Check!$B$5:$B$33,MATCH(Compilado[[#This Row],[Items]],Check!$C$5:$C$33,0))</f>
        <v>PERSONAL FINCA</v>
      </c>
      <c r="F315" s="69">
        <f>+IFERROR(INDEX(Tabla2[TC],MATCH(Compilado[[#This Row],[Mes]],Tabla2[Mes],0))*Compilado[[#This Row],[USD]],0)</f>
        <v>414378.06866637216</v>
      </c>
      <c r="G315" s="150">
        <v>45931</v>
      </c>
    </row>
    <row r="316" spans="1:7">
      <c r="A316" t="s">
        <v>336</v>
      </c>
      <c r="B316" t="s">
        <v>94</v>
      </c>
      <c r="C316" s="2">
        <v>340.52430055631424</v>
      </c>
      <c r="D316" t="s">
        <v>15</v>
      </c>
      <c r="E316" t="str">
        <f>+INDEX(Check!$B$5:$B$33,MATCH(Compilado[[#This Row],[Items]],Check!$C$5:$C$33,0))</f>
        <v>PERSONAL FINCA</v>
      </c>
      <c r="F316" s="69">
        <f>+IFERROR(INDEX(Tabla2[TC],MATCH(Compilado[[#This Row],[Mes]],Tabla2[Mes],0))*Compilado[[#This Row],[USD]],0)</f>
        <v>407380.52947468846</v>
      </c>
      <c r="G316" s="150">
        <v>45962</v>
      </c>
    </row>
    <row r="317" spans="1:7">
      <c r="A317" t="s">
        <v>336</v>
      </c>
      <c r="B317" t="s">
        <v>95</v>
      </c>
      <c r="C317" s="2">
        <v>519.71182867039738</v>
      </c>
      <c r="D317" t="s">
        <v>15</v>
      </c>
      <c r="E317" t="str">
        <f>+INDEX(Check!$B$5:$B$33,MATCH(Compilado[[#This Row],[Items]],Check!$C$5:$C$33,0))</f>
        <v>PERSONAL FINCA</v>
      </c>
      <c r="F317" s="69">
        <f>+IFERROR(INDEX(Tabla2[TC],MATCH(Compilado[[#This Row],[Mes]],Tabla2[Mes],0))*Compilado[[#This Row],[USD]],0)</f>
        <v>627966.00532778038</v>
      </c>
      <c r="G317" s="150">
        <v>45992</v>
      </c>
    </row>
    <row r="318" spans="1:7">
      <c r="A318" t="s">
        <v>336</v>
      </c>
      <c r="B318" t="s">
        <v>96</v>
      </c>
      <c r="C318" s="2">
        <v>355.63641756049583</v>
      </c>
      <c r="D318" t="s">
        <v>15</v>
      </c>
      <c r="E318" t="str">
        <f>+INDEX(Check!$B$5:$B$33,MATCH(Compilado[[#This Row],[Items]],Check!$C$5:$C$33,0))</f>
        <v>PERSONAL FINCA</v>
      </c>
      <c r="F318" s="69">
        <f>+IFERROR(INDEX(Tabla2[TC],MATCH(Compilado[[#This Row],[Mes]],Tabla2[Mes],0))*Compilado[[#This Row],[USD]],0)</f>
        <v>434011.39602008904</v>
      </c>
      <c r="G318" s="150">
        <v>46023</v>
      </c>
    </row>
    <row r="319" spans="1:7">
      <c r="A319" t="s">
        <v>336</v>
      </c>
      <c r="B319" t="s">
        <v>97</v>
      </c>
      <c r="C319" s="2">
        <v>341.2275869932094</v>
      </c>
      <c r="D319" t="s">
        <v>15</v>
      </c>
      <c r="E319" t="str">
        <f>+INDEX(Check!$B$5:$B$33,MATCH(Compilado[[#This Row],[Items]],Check!$C$5:$C$33,0))</f>
        <v>PERSONAL FINCA</v>
      </c>
      <c r="F319" s="69">
        <f>+IFERROR(INDEX(Tabla2[TC],MATCH(Compilado[[#This Row],[Mes]],Tabla2[Mes],0))*Compilado[[#This Row],[USD]],0)</f>
        <v>420591.42601716274</v>
      </c>
      <c r="G319" s="150">
        <v>46054</v>
      </c>
    </row>
    <row r="320" spans="1:7">
      <c r="A320" t="s">
        <v>336</v>
      </c>
      <c r="B320" t="s">
        <v>98</v>
      </c>
      <c r="C320" s="2">
        <v>353.92627969953622</v>
      </c>
      <c r="D320" t="s">
        <v>15</v>
      </c>
      <c r="E320" t="str">
        <f>+INDEX(Check!$B$5:$B$33,MATCH(Compilado[[#This Row],[Items]],Check!$C$5:$C$33,0))</f>
        <v>PERSONAL FINCA</v>
      </c>
      <c r="F320" s="69">
        <f>+IFERROR(INDEX(Tabla2[TC],MATCH(Compilado[[#This Row],[Mes]],Tabla2[Mes],0))*Compilado[[#This Row],[USD]],0)</f>
        <v>440606.05883429607</v>
      </c>
      <c r="G320" s="150">
        <v>46082</v>
      </c>
    </row>
    <row r="321" spans="1:7">
      <c r="A321" t="s">
        <v>336</v>
      </c>
      <c r="B321" t="s">
        <v>99</v>
      </c>
      <c r="C321" s="2">
        <v>356.56964602177197</v>
      </c>
      <c r="D321" t="s">
        <v>15</v>
      </c>
      <c r="E321" t="str">
        <f>+INDEX(Check!$B$5:$B$33,MATCH(Compilado[[#This Row],[Items]],Check!$C$5:$C$33,0))</f>
        <v>PERSONAL FINCA</v>
      </c>
      <c r="F321" s="69">
        <f>+IFERROR(INDEX(Tabla2[TC],MATCH(Compilado[[#This Row],[Mes]],Tabla2[Mes],0))*Compilado[[#This Row],[USD]],0)</f>
        <v>448335.77781406225</v>
      </c>
      <c r="G321" s="150">
        <v>46113</v>
      </c>
    </row>
    <row r="322" spans="1:7">
      <c r="A322" t="s">
        <v>337</v>
      </c>
      <c r="B322" t="s">
        <v>88</v>
      </c>
      <c r="C322" s="2">
        <v>3908.8897179725054</v>
      </c>
      <c r="D322" t="s">
        <v>15</v>
      </c>
      <c r="E322" t="str">
        <f>+INDEX(Check!$B$5:$B$33,MATCH(Compilado[[#This Row],[Items]],Check!$C$5:$C$33,0))</f>
        <v>PERSONAL FINCA</v>
      </c>
      <c r="F322" s="69">
        <f>+IFERROR(INDEX(Tabla2[TC],MATCH(Compilado[[#This Row],[Mes]],Tabla2[Mes],0))*Compilado[[#This Row],[USD]],0)</f>
        <v>4405318.7121550133</v>
      </c>
      <c r="G322" s="150">
        <v>45778</v>
      </c>
    </row>
    <row r="323" spans="1:7">
      <c r="A323" t="s">
        <v>337</v>
      </c>
      <c r="B323" t="s">
        <v>89</v>
      </c>
      <c r="C323" s="2">
        <v>5565.3310790827118</v>
      </c>
      <c r="D323" t="s">
        <v>15</v>
      </c>
      <c r="E323" t="str">
        <f>+INDEX(Check!$B$5:$B$33,MATCH(Compilado[[#This Row],[Items]],Check!$C$5:$C$33,0))</f>
        <v>PERSONAL FINCA</v>
      </c>
      <c r="F323" s="69">
        <f>+IFERROR(INDEX(Tabla2[TC],MATCH(Compilado[[#This Row],[Mes]],Tabla2[Mes],0))*Compilado[[#This Row],[USD]],0)</f>
        <v>6334849.4073874783</v>
      </c>
      <c r="G323" s="150">
        <v>45809</v>
      </c>
    </row>
    <row r="324" spans="1:7">
      <c r="A324" t="s">
        <v>337</v>
      </c>
      <c r="B324" t="s">
        <v>90</v>
      </c>
      <c r="C324" s="2">
        <v>4004.4461883013842</v>
      </c>
      <c r="D324" t="s">
        <v>15</v>
      </c>
      <c r="E324" t="str">
        <f>+INDEX(Check!$B$5:$B$33,MATCH(Compilado[[#This Row],[Items]],Check!$C$5:$C$33,0))</f>
        <v>PERSONAL FINCA</v>
      </c>
      <c r="F324" s="69">
        <f>+IFERROR(INDEX(Tabla2[TC],MATCH(Compilado[[#This Row],[Mes]],Tabla2[Mes],0))*Compilado[[#This Row],[USD]],0)</f>
        <v>4603722.3723853948</v>
      </c>
      <c r="G324" s="150">
        <v>45839</v>
      </c>
    </row>
    <row r="325" spans="1:7">
      <c r="A325" t="s">
        <v>337</v>
      </c>
      <c r="B325" t="s">
        <v>91</v>
      </c>
      <c r="C325" s="2">
        <v>4076.7915235455921</v>
      </c>
      <c r="D325" t="s">
        <v>15</v>
      </c>
      <c r="E325" t="str">
        <f>+INDEX(Check!$B$5:$B$33,MATCH(Compilado[[#This Row],[Items]],Check!$C$5:$C$33,0))</f>
        <v>PERSONAL FINCA</v>
      </c>
      <c r="F325" s="69">
        <f>+IFERROR(INDEX(Tabla2[TC],MATCH(Compilado[[#This Row],[Mes]],Tabla2[Mes],0))*Compilado[[#This Row],[USD]],0)</f>
        <v>4733763.3262051167</v>
      </c>
      <c r="G325" s="150">
        <v>45870</v>
      </c>
    </row>
    <row r="326" spans="1:7">
      <c r="A326" t="s">
        <v>337</v>
      </c>
      <c r="B326" t="s">
        <v>92</v>
      </c>
      <c r="C326" s="2">
        <v>3891.7405201551169</v>
      </c>
      <c r="D326" t="s">
        <v>15</v>
      </c>
      <c r="E326" t="str">
        <f>+INDEX(Check!$B$5:$B$33,MATCH(Compilado[[#This Row],[Items]],Check!$C$5:$C$33,0))</f>
        <v>PERSONAL FINCA</v>
      </c>
      <c r="F326" s="69">
        <f>+IFERROR(INDEX(Tabla2[TC],MATCH(Compilado[[#This Row],[Mes]],Tabla2[Mes],0))*Compilado[[#This Row],[USD]],0)</f>
        <v>4564080.4116293192</v>
      </c>
      <c r="G326" s="150">
        <v>45901</v>
      </c>
    </row>
    <row r="327" spans="1:7">
      <c r="A327" t="s">
        <v>337</v>
      </c>
      <c r="B327" t="s">
        <v>93</v>
      </c>
      <c r="C327" s="2">
        <v>4134.1340211184088</v>
      </c>
      <c r="D327" t="s">
        <v>15</v>
      </c>
      <c r="E327" t="str">
        <f>+INDEX(Check!$B$5:$B$33,MATCH(Compilado[[#This Row],[Items]],Check!$C$5:$C$33,0))</f>
        <v>PERSONAL FINCA</v>
      </c>
      <c r="F327" s="69">
        <f>+IFERROR(INDEX(Tabla2[TC],MATCH(Compilado[[#This Row],[Mes]],Tabla2[Mes],0))*Compilado[[#This Row],[USD]],0)</f>
        <v>4896833.4880470568</v>
      </c>
      <c r="G327" s="150">
        <v>45931</v>
      </c>
    </row>
    <row r="328" spans="1:7">
      <c r="A328" t="s">
        <v>337</v>
      </c>
      <c r="B328" t="s">
        <v>94</v>
      </c>
      <c r="C328" s="2">
        <v>3938.4819190616881</v>
      </c>
      <c r="D328" t="s">
        <v>15</v>
      </c>
      <c r="E328" t="str">
        <f>+INDEX(Check!$B$5:$B$33,MATCH(Compilado[[#This Row],[Items]],Check!$C$5:$C$33,0))</f>
        <v>PERSONAL FINCA</v>
      </c>
      <c r="F328" s="69">
        <f>+IFERROR(INDEX(Tabla2[TC],MATCH(Compilado[[#This Row],[Mes]],Tabla2[Mes],0))*Compilado[[#This Row],[USD]],0)</f>
        <v>4711736.7156841122</v>
      </c>
      <c r="G328" s="150">
        <v>45962</v>
      </c>
    </row>
    <row r="329" spans="1:7">
      <c r="A329" t="s">
        <v>337</v>
      </c>
      <c r="B329" t="s">
        <v>95</v>
      </c>
      <c r="C329" s="2">
        <v>5980.9822837419533</v>
      </c>
      <c r="D329" t="s">
        <v>15</v>
      </c>
      <c r="E329" t="str">
        <f>+INDEX(Check!$B$5:$B$33,MATCH(Compilado[[#This Row],[Items]],Check!$C$5:$C$33,0))</f>
        <v>PERSONAL FINCA</v>
      </c>
      <c r="F329" s="69">
        <f>+IFERROR(INDEX(Tabla2[TC],MATCH(Compilado[[#This Row],[Mes]],Tabla2[Mes],0))*Compilado[[#This Row],[USD]],0)</f>
        <v>7226800.2101596026</v>
      </c>
      <c r="G329" s="150">
        <v>45992</v>
      </c>
    </row>
    <row r="330" spans="1:7">
      <c r="A330" t="s">
        <v>337</v>
      </c>
      <c r="B330" t="s">
        <v>96</v>
      </c>
      <c r="C330" s="2">
        <v>4087.026200045073</v>
      </c>
      <c r="D330" t="s">
        <v>15</v>
      </c>
      <c r="E330" t="str">
        <f>+INDEX(Check!$B$5:$B$33,MATCH(Compilado[[#This Row],[Items]],Check!$C$5:$C$33,0))</f>
        <v>PERSONAL FINCA</v>
      </c>
      <c r="F330" s="69">
        <f>+IFERROR(INDEX(Tabla2[TC],MATCH(Compilado[[#This Row],[Mes]],Tabla2[Mes],0))*Compilado[[#This Row],[USD]],0)</f>
        <v>4987723.0200996092</v>
      </c>
      <c r="G330" s="150">
        <v>46023</v>
      </c>
    </row>
    <row r="331" spans="1:7">
      <c r="A331" t="s">
        <v>337</v>
      </c>
      <c r="B331" t="s">
        <v>97</v>
      </c>
      <c r="C331" s="2">
        <v>3837.4156677379328</v>
      </c>
      <c r="D331" t="s">
        <v>15</v>
      </c>
      <c r="E331" t="str">
        <f>+INDEX(Check!$B$5:$B$33,MATCH(Compilado[[#This Row],[Items]],Check!$C$5:$C$33,0))</f>
        <v>PERSONAL FINCA</v>
      </c>
      <c r="F331" s="69">
        <f>+IFERROR(INDEX(Tabla2[TC],MATCH(Compilado[[#This Row],[Mes]],Tabla2[Mes],0))*Compilado[[#This Row],[USD]],0)</f>
        <v>4729934.4760967968</v>
      </c>
      <c r="G331" s="150">
        <v>46054</v>
      </c>
    </row>
    <row r="332" spans="1:7">
      <c r="A332" t="s">
        <v>337</v>
      </c>
      <c r="B332" t="s">
        <v>98</v>
      </c>
      <c r="C332" s="2">
        <v>3988.5077991605599</v>
      </c>
      <c r="D332" t="s">
        <v>15</v>
      </c>
      <c r="E332" t="str">
        <f>+INDEX(Check!$B$5:$B$33,MATCH(Compilado[[#This Row],[Items]],Check!$C$5:$C$33,0))</f>
        <v>PERSONAL FINCA</v>
      </c>
      <c r="F332" s="69">
        <f>+IFERROR(INDEX(Tabla2[TC],MATCH(Compilado[[#This Row],[Mes]],Tabla2[Mes],0))*Compilado[[#This Row],[USD]],0)</f>
        <v>4965329.7955435468</v>
      </c>
      <c r="G332" s="150">
        <v>46082</v>
      </c>
    </row>
    <row r="333" spans="1:7">
      <c r="A333" t="s">
        <v>337</v>
      </c>
      <c r="B333" t="s">
        <v>99</v>
      </c>
      <c r="C333" s="2">
        <v>3989.3076953147206</v>
      </c>
      <c r="D333" t="s">
        <v>15</v>
      </c>
      <c r="E333" t="str">
        <f>+INDEX(Check!$B$5:$B$33,MATCH(Compilado[[#This Row],[Items]],Check!$C$5:$C$33,0))</f>
        <v>PERSONAL FINCA</v>
      </c>
      <c r="F333" s="69">
        <f>+IFERROR(INDEX(Tabla2[TC],MATCH(Compilado[[#This Row],[Mes]],Tabla2[Mes],0))*Compilado[[#This Row],[USD]],0)</f>
        <v>5015988.8495089151</v>
      </c>
      <c r="G333" s="150">
        <v>46113</v>
      </c>
    </row>
    <row r="334" spans="1:7">
      <c r="A334" t="s">
        <v>333</v>
      </c>
      <c r="B334" t="s">
        <v>88</v>
      </c>
      <c r="C334" s="2">
        <v>645.75909726233363</v>
      </c>
      <c r="D334" t="s">
        <v>15</v>
      </c>
      <c r="E334" t="str">
        <f>+INDEX(Check!$B$5:$B$33,MATCH(Compilado[[#This Row],[Items]],Check!$C$5:$C$33,0))</f>
        <v>PERSONAL FINCA</v>
      </c>
      <c r="F334" s="69">
        <f>+IFERROR(INDEX(Tabla2[TC],MATCH(Compilado[[#This Row],[Mes]],Tabla2[Mes],0))*Compilado[[#This Row],[USD]],0)</f>
        <v>727770.50261464994</v>
      </c>
      <c r="G334" s="150">
        <v>45778</v>
      </c>
    </row>
    <row r="335" spans="1:7">
      <c r="A335" t="s">
        <v>333</v>
      </c>
      <c r="B335" t="s">
        <v>89</v>
      </c>
      <c r="C335" s="2">
        <v>1089.5784444819033</v>
      </c>
      <c r="D335" t="s">
        <v>15</v>
      </c>
      <c r="E335" t="str">
        <f>+INDEX(Check!$B$5:$B$33,MATCH(Compilado[[#This Row],[Items]],Check!$C$5:$C$33,0))</f>
        <v>PERSONAL FINCA</v>
      </c>
      <c r="F335" s="69">
        <f>+IFERROR(INDEX(Tabla2[TC],MATCH(Compilado[[#This Row],[Mes]],Tabla2[Mes],0))*Compilado[[#This Row],[USD]],0)</f>
        <v>1240234.4560004161</v>
      </c>
      <c r="G335" s="150">
        <v>45809</v>
      </c>
    </row>
    <row r="336" spans="1:7">
      <c r="A336" t="s">
        <v>333</v>
      </c>
      <c r="B336" t="s">
        <v>90</v>
      </c>
      <c r="C336" s="2">
        <v>658.60666512532475</v>
      </c>
      <c r="D336" t="s">
        <v>15</v>
      </c>
      <c r="E336" t="str">
        <f>+INDEX(Check!$B$5:$B$33,MATCH(Compilado[[#This Row],[Items]],Check!$C$5:$C$33,0))</f>
        <v>PERSONAL FINCA</v>
      </c>
      <c r="F336" s="69">
        <f>+IFERROR(INDEX(Tabla2[TC],MATCH(Compilado[[#This Row],[Mes]],Tabla2[Mes],0))*Compilado[[#This Row],[USD]],0)</f>
        <v>757168.93079932546</v>
      </c>
      <c r="G336" s="150">
        <v>45839</v>
      </c>
    </row>
    <row r="337" spans="1:7">
      <c r="A337" t="s">
        <v>333</v>
      </c>
      <c r="B337" t="s">
        <v>91</v>
      </c>
      <c r="C337" s="2">
        <v>686.64271675112786</v>
      </c>
      <c r="D337" t="s">
        <v>15</v>
      </c>
      <c r="E337" t="str">
        <f>+INDEX(Check!$B$5:$B$33,MATCH(Compilado[[#This Row],[Items]],Check!$C$5:$C$33,0))</f>
        <v>PERSONAL FINCA</v>
      </c>
      <c r="F337" s="69">
        <f>+IFERROR(INDEX(Tabla2[TC],MATCH(Compilado[[#This Row],[Mes]],Tabla2[Mes],0))*Compilado[[#This Row],[USD]],0)</f>
        <v>797294.65978075215</v>
      </c>
      <c r="G337" s="150">
        <v>45870</v>
      </c>
    </row>
    <row r="338" spans="1:7">
      <c r="A338" t="s">
        <v>333</v>
      </c>
      <c r="B338" t="s">
        <v>92</v>
      </c>
      <c r="C338" s="2">
        <v>642.30945910069534</v>
      </c>
      <c r="D338" t="s">
        <v>15</v>
      </c>
      <c r="E338" t="str">
        <f>+INDEX(Check!$B$5:$B$33,MATCH(Compilado[[#This Row],[Items]],Check!$C$5:$C$33,0))</f>
        <v>PERSONAL FINCA</v>
      </c>
      <c r="F338" s="69">
        <f>+IFERROR(INDEX(Tabla2[TC],MATCH(Compilado[[#This Row],[Mes]],Tabla2[Mes],0))*Compilado[[#This Row],[USD]],0)</f>
        <v>753275.30324885622</v>
      </c>
      <c r="G338" s="150">
        <v>45901</v>
      </c>
    </row>
    <row r="339" spans="1:7">
      <c r="A339" t="s">
        <v>333</v>
      </c>
      <c r="B339" t="s">
        <v>93</v>
      </c>
      <c r="C339" s="2">
        <v>711.06107712304572</v>
      </c>
      <c r="D339" t="s">
        <v>15</v>
      </c>
      <c r="E339" t="str">
        <f>+INDEX(Check!$B$5:$B$33,MATCH(Compilado[[#This Row],[Items]],Check!$C$5:$C$33,0))</f>
        <v>PERSONAL FINCA</v>
      </c>
      <c r="F339" s="69">
        <f>+IFERROR(INDEX(Tabla2[TC],MATCH(Compilado[[#This Row],[Mes]],Tabla2[Mes],0))*Compilado[[#This Row],[USD]],0)</f>
        <v>842243.54525424133</v>
      </c>
      <c r="G339" s="150">
        <v>45931</v>
      </c>
    </row>
    <row r="340" spans="1:7">
      <c r="A340" t="s">
        <v>333</v>
      </c>
      <c r="B340" t="s">
        <v>94</v>
      </c>
      <c r="C340" s="2">
        <v>663.9752287962815</v>
      </c>
      <c r="D340" t="s">
        <v>15</v>
      </c>
      <c r="E340" t="str">
        <f>+INDEX(Check!$B$5:$B$33,MATCH(Compilado[[#This Row],[Items]],Check!$C$5:$C$33,0))</f>
        <v>PERSONAL FINCA</v>
      </c>
      <c r="F340" s="69">
        <f>+IFERROR(INDEX(Tabla2[TC],MATCH(Compilado[[#This Row],[Mes]],Tabla2[Mes],0))*Compilado[[#This Row],[USD]],0)</f>
        <v>794335.6166452918</v>
      </c>
      <c r="G340" s="150">
        <v>45962</v>
      </c>
    </row>
    <row r="341" spans="1:7">
      <c r="A341" t="s">
        <v>333</v>
      </c>
      <c r="B341" t="s">
        <v>95</v>
      </c>
      <c r="C341" s="2">
        <v>1221.4689438469825</v>
      </c>
      <c r="D341" t="s">
        <v>15</v>
      </c>
      <c r="E341" t="str">
        <f>+INDEX(Check!$B$5:$B$33,MATCH(Compilado[[#This Row],[Items]],Check!$C$5:$C$33,0))</f>
        <v>PERSONAL FINCA</v>
      </c>
      <c r="F341" s="69">
        <f>+IFERROR(INDEX(Tabla2[TC],MATCH(Compilado[[#This Row],[Mes]],Tabla2[Mes],0))*Compilado[[#This Row],[USD]],0)</f>
        <v>1475896.7007964558</v>
      </c>
      <c r="G341" s="150">
        <v>45992</v>
      </c>
    </row>
    <row r="342" spans="1:7">
      <c r="A342" t="s">
        <v>333</v>
      </c>
      <c r="B342" t="s">
        <v>96</v>
      </c>
      <c r="C342" s="2">
        <v>712.47798029886303</v>
      </c>
      <c r="D342" t="s">
        <v>15</v>
      </c>
      <c r="E342" t="str">
        <f>+INDEX(Check!$B$5:$B$33,MATCH(Compilado[[#This Row],[Items]],Check!$C$5:$C$33,0))</f>
        <v>PERSONAL FINCA</v>
      </c>
      <c r="F342" s="69">
        <f>+IFERROR(INDEX(Tabla2[TC],MATCH(Compilado[[#This Row],[Mes]],Tabla2[Mes],0))*Compilado[[#This Row],[USD]],0)</f>
        <v>869493.52651850483</v>
      </c>
      <c r="G342" s="150">
        <v>46023</v>
      </c>
    </row>
    <row r="343" spans="1:7">
      <c r="A343" t="s">
        <v>333</v>
      </c>
      <c r="B343" t="s">
        <v>97</v>
      </c>
      <c r="C343" s="2">
        <v>650.6058865518479</v>
      </c>
      <c r="D343" t="s">
        <v>15</v>
      </c>
      <c r="E343" t="str">
        <f>+INDEX(Check!$B$5:$B$33,MATCH(Compilado[[#This Row],[Items]],Check!$C$5:$C$33,0))</f>
        <v>PERSONAL FINCA</v>
      </c>
      <c r="F343" s="69">
        <f>+IFERROR(INDEX(Tabla2[TC],MATCH(Compilado[[#This Row],[Mes]],Tabla2[Mes],0))*Compilado[[#This Row],[USD]],0)</f>
        <v>801925.95215183368</v>
      </c>
      <c r="G343" s="150">
        <v>46054</v>
      </c>
    </row>
    <row r="344" spans="1:7">
      <c r="A344" t="s">
        <v>333</v>
      </c>
      <c r="B344" t="s">
        <v>98</v>
      </c>
      <c r="C344" s="2">
        <v>695.15840814119531</v>
      </c>
      <c r="D344" t="s">
        <v>15</v>
      </c>
      <c r="E344" t="str">
        <f>+INDEX(Check!$B$5:$B$33,MATCH(Compilado[[#This Row],[Items]],Check!$C$5:$C$33,0))</f>
        <v>PERSONAL FINCA</v>
      </c>
      <c r="F344" s="69">
        <f>+IFERROR(INDEX(Tabla2[TC],MATCH(Compilado[[#This Row],[Mes]],Tabla2[Mes],0))*Compilado[[#This Row],[USD]],0)</f>
        <v>865409.0528022931</v>
      </c>
      <c r="G344" s="150">
        <v>46082</v>
      </c>
    </row>
    <row r="345" spans="1:7">
      <c r="A345" t="s">
        <v>333</v>
      </c>
      <c r="B345" t="s">
        <v>99</v>
      </c>
      <c r="C345" s="2">
        <v>699.76740442688833</v>
      </c>
      <c r="D345" t="s">
        <v>15</v>
      </c>
      <c r="E345" t="str">
        <f>+INDEX(Check!$B$5:$B$33,MATCH(Compilado[[#This Row],[Items]],Check!$C$5:$C$33,0))</f>
        <v>PERSONAL FINCA</v>
      </c>
      <c r="F345" s="69">
        <f>+IFERROR(INDEX(Tabla2[TC],MATCH(Compilado[[#This Row],[Mes]],Tabla2[Mes],0))*Compilado[[#This Row],[USD]],0)</f>
        <v>879858.30272692419</v>
      </c>
      <c r="G345" s="150">
        <v>46113</v>
      </c>
    </row>
    <row r="346" spans="1:7">
      <c r="A346" t="s">
        <v>190</v>
      </c>
      <c r="B346" t="s">
        <v>93</v>
      </c>
      <c r="C346" s="2">
        <v>66.416815382399989</v>
      </c>
      <c r="D346" t="s">
        <v>8</v>
      </c>
      <c r="E346" t="str">
        <f>+INDEX(Check!$B$5:$B$33,MATCH(Compilado[[#This Row],[Items]],Check!$C$5:$C$33,0))</f>
        <v>FITOSANITARIOS</v>
      </c>
      <c r="F346" s="69">
        <f>+IFERROR(INDEX(Tabla2[TC],MATCH(Compilado[[#This Row],[Mes]],Tabla2[Mes],0))*Compilado[[#This Row],[USD]],0)</f>
        <v>78669.942501281083</v>
      </c>
      <c r="G346" s="150">
        <v>45931</v>
      </c>
    </row>
    <row r="347" spans="1:7">
      <c r="A347" t="s">
        <v>190</v>
      </c>
      <c r="B347" t="s">
        <v>94</v>
      </c>
      <c r="C347" s="2">
        <v>79.700178458879989</v>
      </c>
      <c r="D347" t="s">
        <v>8</v>
      </c>
      <c r="E347" t="str">
        <f>+INDEX(Check!$B$5:$B$33,MATCH(Compilado[[#This Row],[Items]],Check!$C$5:$C$33,0))</f>
        <v>FITOSANITARIOS</v>
      </c>
      <c r="F347" s="69">
        <f>+IFERROR(INDEX(Tabla2[TC],MATCH(Compilado[[#This Row],[Mes]],Tabla2[Mes],0))*Compilado[[#This Row],[USD]],0)</f>
        <v>95347.970311552679</v>
      </c>
      <c r="G347" s="150">
        <v>45962</v>
      </c>
    </row>
    <row r="348" spans="1:7">
      <c r="A348" t="s">
        <v>190</v>
      </c>
      <c r="B348" t="s">
        <v>95</v>
      </c>
      <c r="C348" s="2">
        <v>66.416815382399989</v>
      </c>
      <c r="D348" t="s">
        <v>8</v>
      </c>
      <c r="E348" t="str">
        <f>+INDEX(Check!$B$5:$B$33,MATCH(Compilado[[#This Row],[Items]],Check!$C$5:$C$33,0))</f>
        <v>FITOSANITARIOS</v>
      </c>
      <c r="F348" s="69">
        <f>+IFERROR(INDEX(Tabla2[TC],MATCH(Compilado[[#This Row],[Mes]],Tabla2[Mes],0))*Compilado[[#This Row],[USD]],0)</f>
        <v>80251.208345556821</v>
      </c>
      <c r="G348" s="150">
        <v>45992</v>
      </c>
    </row>
    <row r="349" spans="1:7">
      <c r="A349" t="s">
        <v>190</v>
      </c>
      <c r="B349" t="s">
        <v>97</v>
      </c>
      <c r="C349" s="2">
        <v>119.55026768831998</v>
      </c>
      <c r="D349" t="s">
        <v>8</v>
      </c>
      <c r="E349" t="str">
        <f>+INDEX(Check!$B$5:$B$33,MATCH(Compilado[[#This Row],[Items]],Check!$C$5:$C$33,0))</f>
        <v>FITOSANITARIOS</v>
      </c>
      <c r="F349" s="69">
        <f>+IFERROR(INDEX(Tabla2[TC],MATCH(Compilado[[#This Row],[Mes]],Tabla2[Mes],0))*Compilado[[#This Row],[USD]],0)</f>
        <v>147355.66373994452</v>
      </c>
      <c r="G349" s="150">
        <v>46054</v>
      </c>
    </row>
    <row r="350" spans="1:7">
      <c r="A350" t="s">
        <v>190</v>
      </c>
      <c r="B350" t="s">
        <v>93</v>
      </c>
      <c r="C350" s="2">
        <v>101.82368908799999</v>
      </c>
      <c r="D350" t="s">
        <v>8</v>
      </c>
      <c r="E350" t="str">
        <f>+INDEX(Check!$B$5:$B$33,MATCH(Compilado[[#This Row],[Items]],Check!$C$5:$C$33,0))</f>
        <v>FITOSANITARIOS</v>
      </c>
      <c r="F350" s="69">
        <f>+IFERROR(INDEX(Tabla2[TC],MATCH(Compilado[[#This Row],[Mes]],Tabla2[Mes],0))*Compilado[[#This Row],[USD]],0)</f>
        <v>120608.97108210341</v>
      </c>
      <c r="G350" s="150">
        <v>45931</v>
      </c>
    </row>
    <row r="351" spans="1:7">
      <c r="A351" t="s">
        <v>190</v>
      </c>
      <c r="B351" t="s">
        <v>94</v>
      </c>
      <c r="C351" s="2">
        <v>122.18842690559998</v>
      </c>
      <c r="D351" t="s">
        <v>8</v>
      </c>
      <c r="E351" t="str">
        <f>+INDEX(Check!$B$5:$B$33,MATCH(Compilado[[#This Row],[Items]],Check!$C$5:$C$33,0))</f>
        <v>FITOSANITARIOS</v>
      </c>
      <c r="F351" s="69">
        <f>+IFERROR(INDEX(Tabla2[TC],MATCH(Compilado[[#This Row],[Mes]],Tabla2[Mes],0))*Compilado[[#This Row],[USD]],0)</f>
        <v>146178.07295150933</v>
      </c>
      <c r="G351" s="150">
        <v>45962</v>
      </c>
    </row>
    <row r="352" spans="1:7">
      <c r="A352" t="s">
        <v>190</v>
      </c>
      <c r="B352" t="s">
        <v>95</v>
      </c>
      <c r="C352" s="2">
        <v>101.82368908799999</v>
      </c>
      <c r="D352" t="s">
        <v>8</v>
      </c>
      <c r="E352" t="str">
        <f>+INDEX(Check!$B$5:$B$33,MATCH(Compilado[[#This Row],[Items]],Check!$C$5:$C$33,0))</f>
        <v>FITOSANITARIOS</v>
      </c>
      <c r="F352" s="69">
        <f>+IFERROR(INDEX(Tabla2[TC],MATCH(Compilado[[#This Row],[Mes]],Tabla2[Mes],0))*Compilado[[#This Row],[USD]],0)</f>
        <v>123033.21140085369</v>
      </c>
      <c r="G352" s="150">
        <v>45992</v>
      </c>
    </row>
    <row r="353" spans="1:7">
      <c r="A353" t="s">
        <v>190</v>
      </c>
      <c r="B353" t="s">
        <v>97</v>
      </c>
      <c r="C353" s="2">
        <v>183.28264035839999</v>
      </c>
      <c r="D353" t="s">
        <v>8</v>
      </c>
      <c r="E353" t="str">
        <f>+INDEX(Check!$B$5:$B$33,MATCH(Compilado[[#This Row],[Items]],Check!$C$5:$C$33,0))</f>
        <v>FITOSANITARIOS</v>
      </c>
      <c r="F353" s="69">
        <f>+IFERROR(INDEX(Tabla2[TC],MATCH(Compilado[[#This Row],[Mes]],Tabla2[Mes],0))*Compilado[[#This Row],[USD]],0)</f>
        <v>225911.1221100195</v>
      </c>
      <c r="G353" s="150">
        <v>46054</v>
      </c>
    </row>
    <row r="354" spans="1:7">
      <c r="A354" t="s">
        <v>202</v>
      </c>
      <c r="B354" t="s">
        <v>93</v>
      </c>
      <c r="C354" s="2">
        <v>19.7140743</v>
      </c>
      <c r="D354" t="s">
        <v>8</v>
      </c>
      <c r="E354" t="str">
        <f>+INDEX(Check!$B$5:$B$33,MATCH(Compilado[[#This Row],[Items]],Check!$C$5:$C$33,0))</f>
        <v>FITOSANITARIOS</v>
      </c>
      <c r="F354" s="69">
        <f>+IFERROR(INDEX(Tabla2[TC],MATCH(Compilado[[#This Row],[Mes]],Tabla2[Mes],0))*Compilado[[#This Row],[USD]],0)</f>
        <v>23351.090875368325</v>
      </c>
      <c r="G354" s="150">
        <v>45931</v>
      </c>
    </row>
    <row r="355" spans="1:7">
      <c r="A355" t="s">
        <v>202</v>
      </c>
      <c r="B355" t="s">
        <v>94</v>
      </c>
      <c r="C355" s="2">
        <v>23.656889159999999</v>
      </c>
      <c r="D355" t="s">
        <v>8</v>
      </c>
      <c r="E355" t="str">
        <f>+INDEX(Check!$B$5:$B$33,MATCH(Compilado[[#This Row],[Items]],Check!$C$5:$C$33,0))</f>
        <v>FITOSANITARIOS</v>
      </c>
      <c r="F355" s="69">
        <f>+IFERROR(INDEX(Tabla2[TC],MATCH(Compilado[[#This Row],[Mes]],Tabla2[Mes],0))*Compilado[[#This Row],[USD]],0)</f>
        <v>28301.52214094641</v>
      </c>
      <c r="G355" s="150">
        <v>45962</v>
      </c>
    </row>
    <row r="356" spans="1:7">
      <c r="A356" t="s">
        <v>202</v>
      </c>
      <c r="B356" t="s">
        <v>95</v>
      </c>
      <c r="C356" s="2">
        <v>19.7140743</v>
      </c>
      <c r="D356" t="s">
        <v>8</v>
      </c>
      <c r="E356" t="str">
        <f>+INDEX(Check!$B$5:$B$33,MATCH(Compilado[[#This Row],[Items]],Check!$C$5:$C$33,0))</f>
        <v>FITOSANITARIOS</v>
      </c>
      <c r="F356" s="69">
        <f>+IFERROR(INDEX(Tabla2[TC],MATCH(Compilado[[#This Row],[Mes]],Tabla2[Mes],0))*Compilado[[#This Row],[USD]],0)</f>
        <v>23820.44780196323</v>
      </c>
      <c r="G356" s="150">
        <v>45992</v>
      </c>
    </row>
    <row r="357" spans="1:7">
      <c r="A357" t="s">
        <v>202</v>
      </c>
      <c r="B357" t="s">
        <v>97</v>
      </c>
      <c r="C357" s="2">
        <v>35.485333739999994</v>
      </c>
      <c r="D357" t="s">
        <v>8</v>
      </c>
      <c r="E357" t="str">
        <f>+INDEX(Check!$B$5:$B$33,MATCH(Compilado[[#This Row],[Items]],Check!$C$5:$C$33,0))</f>
        <v>FITOSANITARIOS</v>
      </c>
      <c r="F357" s="69">
        <f>+IFERROR(INDEX(Tabla2[TC],MATCH(Compilado[[#This Row],[Mes]],Tabla2[Mes],0))*Compilado[[#This Row],[USD]],0)</f>
        <v>43738.629845008829</v>
      </c>
      <c r="G357" s="150">
        <v>46054</v>
      </c>
    </row>
    <row r="358" spans="1:7">
      <c r="A358" t="s">
        <v>202</v>
      </c>
      <c r="B358" t="s">
        <v>93</v>
      </c>
      <c r="C358" s="2">
        <v>209.22675839999999</v>
      </c>
      <c r="D358" t="s">
        <v>8</v>
      </c>
      <c r="E358" t="str">
        <f>+INDEX(Check!$B$5:$B$33,MATCH(Compilado[[#This Row],[Items]],Check!$C$5:$C$33,0))</f>
        <v>FITOSANITARIOS</v>
      </c>
      <c r="F358" s="69">
        <f>+IFERROR(INDEX(Tabla2[TC],MATCH(Compilado[[#This Row],[Mes]],Tabla2[Mes],0))*Compilado[[#This Row],[USD]],0)</f>
        <v>247826.65290843169</v>
      </c>
      <c r="G358" s="150">
        <v>45931</v>
      </c>
    </row>
    <row r="359" spans="1:7">
      <c r="A359" t="s">
        <v>202</v>
      </c>
      <c r="B359" t="s">
        <v>94</v>
      </c>
      <c r="C359" s="2">
        <v>251.07211007999999</v>
      </c>
      <c r="D359" t="s">
        <v>8</v>
      </c>
      <c r="E359" t="str">
        <f>+INDEX(Check!$B$5:$B$33,MATCH(Compilado[[#This Row],[Items]],Check!$C$5:$C$33,0))</f>
        <v>FITOSANITARIOS</v>
      </c>
      <c r="F359" s="69">
        <f>+IFERROR(INDEX(Tabla2[TC],MATCH(Compilado[[#This Row],[Mes]],Tabla2[Mes],0))*Compilado[[#This Row],[USD]],0)</f>
        <v>300365.90332501917</v>
      </c>
      <c r="G359" s="150">
        <v>45962</v>
      </c>
    </row>
    <row r="360" spans="1:7">
      <c r="A360" t="s">
        <v>202</v>
      </c>
      <c r="B360" t="s">
        <v>95</v>
      </c>
      <c r="C360" s="2">
        <v>209.22675839999999</v>
      </c>
      <c r="D360" t="s">
        <v>8</v>
      </c>
      <c r="E360" t="str">
        <f>+INDEX(Check!$B$5:$B$33,MATCH(Compilado[[#This Row],[Items]],Check!$C$5:$C$33,0))</f>
        <v>FITOSANITARIOS</v>
      </c>
      <c r="F360" s="69">
        <f>+IFERROR(INDEX(Tabla2[TC],MATCH(Compilado[[#This Row],[Mes]],Tabla2[Mes],0))*Compilado[[#This Row],[USD]],0)</f>
        <v>252807.96863189116</v>
      </c>
      <c r="G360" s="150">
        <v>45992</v>
      </c>
    </row>
    <row r="361" spans="1:7">
      <c r="A361" t="s">
        <v>202</v>
      </c>
      <c r="B361" t="s">
        <v>97</v>
      </c>
      <c r="C361" s="2">
        <v>376.60816512000002</v>
      </c>
      <c r="D361" t="s">
        <v>8</v>
      </c>
      <c r="E361" t="str">
        <f>+INDEX(Check!$B$5:$B$33,MATCH(Compilado[[#This Row],[Items]],Check!$C$5:$C$33,0))</f>
        <v>FITOSANITARIOS</v>
      </c>
      <c r="F361" s="69">
        <f>+IFERROR(INDEX(Tabla2[TC],MATCH(Compilado[[#This Row],[Mes]],Tabla2[Mes],0))*Compilado[[#This Row],[USD]],0)</f>
        <v>464200.93584250589</v>
      </c>
      <c r="G361" s="150">
        <v>46054</v>
      </c>
    </row>
    <row r="362" spans="1:7">
      <c r="A362" t="s">
        <v>202</v>
      </c>
      <c r="B362" t="s">
        <v>93</v>
      </c>
      <c r="C362" s="2">
        <v>125.3181105</v>
      </c>
      <c r="D362" t="s">
        <v>8</v>
      </c>
      <c r="E362" t="str">
        <f>+INDEX(Check!$B$5:$B$33,MATCH(Compilado[[#This Row],[Items]],Check!$C$5:$C$33,0))</f>
        <v>FITOSANITARIOS</v>
      </c>
      <c r="F362" s="69">
        <f>+IFERROR(INDEX(Tabla2[TC],MATCH(Compilado[[#This Row],[Mes]],Tabla2[Mes],0))*Compilado[[#This Row],[USD]],0)</f>
        <v>148437.83898161273</v>
      </c>
      <c r="G362" s="150">
        <v>45931</v>
      </c>
    </row>
    <row r="363" spans="1:7">
      <c r="A363" t="s">
        <v>202</v>
      </c>
      <c r="B363" t="s">
        <v>94</v>
      </c>
      <c r="C363" s="2">
        <v>150.38173259999999</v>
      </c>
      <c r="D363" t="s">
        <v>8</v>
      </c>
      <c r="E363" t="str">
        <f>+INDEX(Check!$B$5:$B$33,MATCH(Compilado[[#This Row],[Items]],Check!$C$5:$C$33,0))</f>
        <v>FITOSANITARIOS</v>
      </c>
      <c r="F363" s="69">
        <f>+IFERROR(INDEX(Tabla2[TC],MATCH(Compilado[[#This Row],[Mes]],Tabla2[Mes],0))*Compilado[[#This Row],[USD]],0)</f>
        <v>179906.66084571462</v>
      </c>
      <c r="G363" s="150">
        <v>45962</v>
      </c>
    </row>
    <row r="364" spans="1:7">
      <c r="A364" t="s">
        <v>202</v>
      </c>
      <c r="B364" t="s">
        <v>95</v>
      </c>
      <c r="C364" s="2">
        <v>125.3181105</v>
      </c>
      <c r="D364" t="s">
        <v>8</v>
      </c>
      <c r="E364" t="str">
        <f>+INDEX(Check!$B$5:$B$33,MATCH(Compilado[[#This Row],[Items]],Check!$C$5:$C$33,0))</f>
        <v>FITOSANITARIOS</v>
      </c>
      <c r="F364" s="69">
        <f>+IFERROR(INDEX(Tabla2[TC],MATCH(Compilado[[#This Row],[Mes]],Tabla2[Mes],0))*Compilado[[#This Row],[USD]],0)</f>
        <v>151421.43954514313</v>
      </c>
      <c r="G364" s="150">
        <v>45992</v>
      </c>
    </row>
    <row r="365" spans="1:7">
      <c r="A365" t="s">
        <v>202</v>
      </c>
      <c r="B365" t="s">
        <v>97</v>
      </c>
      <c r="C365" s="2">
        <v>225.57259889999995</v>
      </c>
      <c r="D365" t="s">
        <v>8</v>
      </c>
      <c r="E365" t="str">
        <f>+INDEX(Check!$B$5:$B$33,MATCH(Compilado[[#This Row],[Items]],Check!$C$5:$C$33,0))</f>
        <v>FITOSANITARIOS</v>
      </c>
      <c r="F365" s="69">
        <f>+IFERROR(INDEX(Tabla2[TC],MATCH(Compilado[[#This Row],[Mes]],Tabla2[Mes],0))*Compilado[[#This Row],[USD]],0)</f>
        <v>278037.01886400086</v>
      </c>
      <c r="G365" s="150">
        <v>46054</v>
      </c>
    </row>
    <row r="366" spans="1:7">
      <c r="A366" t="s">
        <v>202</v>
      </c>
      <c r="B366" t="s">
        <v>93</v>
      </c>
      <c r="C366" s="2">
        <v>74.116994112000015</v>
      </c>
      <c r="D366" t="s">
        <v>8</v>
      </c>
      <c r="E366" t="str">
        <f>+INDEX(Check!$B$5:$B$33,MATCH(Compilado[[#This Row],[Items]],Check!$C$5:$C$33,0))</f>
        <v>FITOSANITARIOS</v>
      </c>
      <c r="F366" s="69">
        <f>+IFERROR(INDEX(Tabla2[TC],MATCH(Compilado[[#This Row],[Mes]],Tabla2[Mes],0))*Compilado[[#This Row],[USD]],0)</f>
        <v>87790.714318168699</v>
      </c>
      <c r="G366" s="150">
        <v>45931</v>
      </c>
    </row>
    <row r="367" spans="1:7">
      <c r="A367" t="s">
        <v>202</v>
      </c>
      <c r="B367" t="s">
        <v>94</v>
      </c>
      <c r="C367" s="2">
        <v>88.940392934400009</v>
      </c>
      <c r="D367" t="s">
        <v>8</v>
      </c>
      <c r="E367" t="str">
        <f>+INDEX(Check!$B$5:$B$33,MATCH(Compilado[[#This Row],[Items]],Check!$C$5:$C$33,0))</f>
        <v>FITOSANITARIOS</v>
      </c>
      <c r="F367" s="69">
        <f>+IFERROR(INDEX(Tabla2[TC],MATCH(Compilado[[#This Row],[Mes]],Tabla2[Mes],0))*Compilado[[#This Row],[USD]],0)</f>
        <v>106402.34575362045</v>
      </c>
      <c r="G367" s="150">
        <v>45962</v>
      </c>
    </row>
    <row r="368" spans="1:7">
      <c r="A368" t="s">
        <v>202</v>
      </c>
      <c r="B368" t="s">
        <v>95</v>
      </c>
      <c r="C368" s="2">
        <v>74.116994112000015</v>
      </c>
      <c r="D368" t="s">
        <v>8</v>
      </c>
      <c r="E368" t="str">
        <f>+INDEX(Check!$B$5:$B$33,MATCH(Compilado[[#This Row],[Items]],Check!$C$5:$C$33,0))</f>
        <v>FITOSANITARIOS</v>
      </c>
      <c r="F368" s="69">
        <f>+IFERROR(INDEX(Tabla2[TC],MATCH(Compilado[[#This Row],[Mes]],Tabla2[Mes],0))*Compilado[[#This Row],[USD]],0)</f>
        <v>89555.307675963879</v>
      </c>
      <c r="G368" s="150">
        <v>45992</v>
      </c>
    </row>
    <row r="369" spans="1:7">
      <c r="A369" t="s">
        <v>202</v>
      </c>
      <c r="B369" t="s">
        <v>97</v>
      </c>
      <c r="C369" s="2">
        <v>133.41058940160002</v>
      </c>
      <c r="D369" t="s">
        <v>8</v>
      </c>
      <c r="E369" t="str">
        <f>+INDEX(Check!$B$5:$B$33,MATCH(Compilado[[#This Row],[Items]],Check!$C$5:$C$33,0))</f>
        <v>FITOSANITARIOS</v>
      </c>
      <c r="F369" s="69">
        <f>+IFERROR(INDEX(Tabla2[TC],MATCH(Compilado[[#This Row],[Mes]],Tabla2[Mes],0))*Compilado[[#This Row],[USD]],0)</f>
        <v>164439.66484845136</v>
      </c>
      <c r="G369" s="150">
        <v>46054</v>
      </c>
    </row>
    <row r="370" spans="1:7">
      <c r="A370" t="s">
        <v>202</v>
      </c>
      <c r="B370" t="s">
        <v>93</v>
      </c>
      <c r="C370" s="2">
        <v>115.906869</v>
      </c>
      <c r="D370" t="s">
        <v>8</v>
      </c>
      <c r="E370" t="str">
        <f>+INDEX(Check!$B$5:$B$33,MATCH(Compilado[[#This Row],[Items]],Check!$C$5:$C$33,0))</f>
        <v>FITOSANITARIOS</v>
      </c>
      <c r="F370" s="69">
        <f>+IFERROR(INDEX(Tabla2[TC],MATCH(Compilado[[#This Row],[Mes]],Tabla2[Mes],0))*Compilado[[#This Row],[USD]],0)</f>
        <v>137290.3332873414</v>
      </c>
      <c r="G370" s="150">
        <v>45931</v>
      </c>
    </row>
    <row r="371" spans="1:7">
      <c r="A371" t="s">
        <v>202</v>
      </c>
      <c r="B371" t="s">
        <v>94</v>
      </c>
      <c r="C371" s="2">
        <v>139.08824279999999</v>
      </c>
      <c r="D371" t="s">
        <v>8</v>
      </c>
      <c r="E371" t="str">
        <f>+INDEX(Check!$B$5:$B$33,MATCH(Compilado[[#This Row],[Items]],Check!$C$5:$C$33,0))</f>
        <v>FITOSANITARIOS</v>
      </c>
      <c r="F371" s="69">
        <f>+IFERROR(INDEX(Tabla2[TC],MATCH(Compilado[[#This Row],[Mes]],Tabla2[Mes],0))*Compilado[[#This Row],[USD]],0)</f>
        <v>166395.88394425777</v>
      </c>
      <c r="G371" s="150">
        <v>45962</v>
      </c>
    </row>
    <row r="372" spans="1:7">
      <c r="A372" t="s">
        <v>202</v>
      </c>
      <c r="B372" t="s">
        <v>95</v>
      </c>
      <c r="C372" s="2">
        <v>115.906869</v>
      </c>
      <c r="D372" t="s">
        <v>8</v>
      </c>
      <c r="E372" t="str">
        <f>+INDEX(Check!$B$5:$B$33,MATCH(Compilado[[#This Row],[Items]],Check!$C$5:$C$33,0))</f>
        <v>FITOSANITARIOS</v>
      </c>
      <c r="F372" s="69">
        <f>+IFERROR(INDEX(Tabla2[TC],MATCH(Compilado[[#This Row],[Mes]],Tabla2[Mes],0))*Compilado[[#This Row],[USD]],0)</f>
        <v>140049.86898641699</v>
      </c>
      <c r="G372" s="150">
        <v>45992</v>
      </c>
    </row>
    <row r="373" spans="1:7">
      <c r="A373" t="s">
        <v>202</v>
      </c>
      <c r="B373" t="s">
        <v>97</v>
      </c>
      <c r="C373" s="2">
        <v>208.63236420000001</v>
      </c>
      <c r="D373" t="s">
        <v>8</v>
      </c>
      <c r="E373" t="str">
        <f>+INDEX(Check!$B$5:$B$33,MATCH(Compilado[[#This Row],[Items]],Check!$C$5:$C$33,0))</f>
        <v>FITOSANITARIOS</v>
      </c>
      <c r="F373" s="69">
        <f>+IFERROR(INDEX(Tabla2[TC],MATCH(Compilado[[#This Row],[Mes]],Tabla2[Mes],0))*Compilado[[#This Row],[USD]],0)</f>
        <v>257156.76843547911</v>
      </c>
      <c r="G373" s="150">
        <v>46054</v>
      </c>
    </row>
    <row r="374" spans="1:7">
      <c r="A374" t="s">
        <v>202</v>
      </c>
      <c r="B374" t="s">
        <v>93</v>
      </c>
      <c r="C374" s="2">
        <v>520.11576539999999</v>
      </c>
      <c r="D374" t="s">
        <v>8</v>
      </c>
      <c r="E374" t="str">
        <f>+INDEX(Check!$B$5:$B$33,MATCH(Compilado[[#This Row],[Items]],Check!$C$5:$C$33,0))</f>
        <v>FITOSANITARIOS</v>
      </c>
      <c r="F374" s="69">
        <f>+IFERROR(INDEX(Tabla2[TC],MATCH(Compilado[[#This Row],[Mes]],Tabla2[Mes],0))*Compilado[[#This Row],[USD]],0)</f>
        <v>616071.05252551229</v>
      </c>
      <c r="G374" s="150">
        <v>45931</v>
      </c>
    </row>
    <row r="375" spans="1:7">
      <c r="A375" t="s">
        <v>202</v>
      </c>
      <c r="B375" t="s">
        <v>94</v>
      </c>
      <c r="C375" s="2">
        <v>624.13891847999992</v>
      </c>
      <c r="D375" t="s">
        <v>8</v>
      </c>
      <c r="E375" t="str">
        <f>+INDEX(Check!$B$5:$B$33,MATCH(Compilado[[#This Row],[Items]],Check!$C$5:$C$33,0))</f>
        <v>FITOSANITARIOS</v>
      </c>
      <c r="F375" s="69">
        <f>+IFERROR(INDEX(Tabla2[TC],MATCH(Compilado[[#This Row],[Mes]],Tabla2[Mes],0))*Compilado[[#This Row],[USD]],0)</f>
        <v>746678.11566092086</v>
      </c>
      <c r="G375" s="150">
        <v>45962</v>
      </c>
    </row>
    <row r="376" spans="1:7">
      <c r="A376" t="s">
        <v>202</v>
      </c>
      <c r="B376" t="s">
        <v>95</v>
      </c>
      <c r="C376" s="2">
        <v>520.11576539999999</v>
      </c>
      <c r="D376" t="s">
        <v>8</v>
      </c>
      <c r="E376" t="str">
        <f>+INDEX(Check!$B$5:$B$33,MATCH(Compilado[[#This Row],[Items]],Check!$C$5:$C$33,0))</f>
        <v>FITOSANITARIOS</v>
      </c>
      <c r="F376" s="69">
        <f>+IFERROR(INDEX(Tabla2[TC],MATCH(Compilado[[#This Row],[Mes]],Tabla2[Mes],0))*Compilado[[#This Row],[USD]],0)</f>
        <v>628454.08068127511</v>
      </c>
      <c r="G376" s="150">
        <v>45992</v>
      </c>
    </row>
    <row r="377" spans="1:7">
      <c r="A377" t="s">
        <v>202</v>
      </c>
      <c r="B377" t="s">
        <v>97</v>
      </c>
      <c r="C377" s="2">
        <v>936.20837772000004</v>
      </c>
      <c r="D377" t="s">
        <v>8</v>
      </c>
      <c r="E377" t="str">
        <f>+INDEX(Check!$B$5:$B$33,MATCH(Compilado[[#This Row],[Items]],Check!$C$5:$C$33,0))</f>
        <v>FITOSANITARIOS</v>
      </c>
      <c r="F377" s="69">
        <f>+IFERROR(INDEX(Tabla2[TC],MATCH(Compilado[[#This Row],[Mes]],Tabla2[Mes],0))*Compilado[[#This Row],[USD]],0)</f>
        <v>1153954.8138653438</v>
      </c>
      <c r="G377" s="150">
        <v>46054</v>
      </c>
    </row>
    <row r="378" spans="1:7">
      <c r="A378" t="s">
        <v>203</v>
      </c>
      <c r="B378" t="s">
        <v>93</v>
      </c>
      <c r="C378" s="2">
        <v>809.96116319999965</v>
      </c>
      <c r="D378" t="s">
        <v>8</v>
      </c>
      <c r="E378" t="str">
        <f>+INDEX(Check!$B$5:$B$33,MATCH(Compilado[[#This Row],[Items]],Check!$C$5:$C$33,0))</f>
        <v>FITOSANITARIOS</v>
      </c>
      <c r="F378" s="69">
        <f>+IFERROR(INDEX(Tabla2[TC],MATCH(Compilado[[#This Row],[Mes]],Tabla2[Mes],0))*Compilado[[#This Row],[USD]],0)</f>
        <v>959389.54269854946</v>
      </c>
      <c r="G378" s="150">
        <v>45931</v>
      </c>
    </row>
    <row r="379" spans="1:7">
      <c r="A379" t="s">
        <v>203</v>
      </c>
      <c r="B379" t="s">
        <v>94</v>
      </c>
      <c r="C379" s="2">
        <v>971.95339583999964</v>
      </c>
      <c r="D379" t="s">
        <v>8</v>
      </c>
      <c r="E379" t="str">
        <f>+INDEX(Check!$B$5:$B$33,MATCH(Compilado[[#This Row],[Items]],Check!$C$5:$C$33,0))</f>
        <v>FITOSANITARIOS</v>
      </c>
      <c r="F379" s="69">
        <f>+IFERROR(INDEX(Tabla2[TC],MATCH(Compilado[[#This Row],[Mes]],Tabla2[Mes],0))*Compilado[[#This Row],[USD]],0)</f>
        <v>1162780.125750642</v>
      </c>
      <c r="G379" s="150">
        <v>45962</v>
      </c>
    </row>
    <row r="380" spans="1:7">
      <c r="A380" t="s">
        <v>203</v>
      </c>
      <c r="B380" t="s">
        <v>95</v>
      </c>
      <c r="C380" s="2">
        <v>809.96116319999965</v>
      </c>
      <c r="D380" t="s">
        <v>8</v>
      </c>
      <c r="E380" t="str">
        <f>+INDEX(Check!$B$5:$B$33,MATCH(Compilado[[#This Row],[Items]],Check!$C$5:$C$33,0))</f>
        <v>FITOSANITARIOS</v>
      </c>
      <c r="F380" s="69">
        <f>+IFERROR(INDEX(Tabla2[TC],MATCH(Compilado[[#This Row],[Mes]],Tabla2[Mes],0))*Compilado[[#This Row],[USD]],0)</f>
        <v>978673.27250679035</v>
      </c>
      <c r="G380" s="150">
        <v>45992</v>
      </c>
    </row>
    <row r="381" spans="1:7">
      <c r="A381" t="s">
        <v>203</v>
      </c>
      <c r="B381" t="s">
        <v>97</v>
      </c>
      <c r="C381" s="2">
        <v>1457.9300937599994</v>
      </c>
      <c r="D381" t="s">
        <v>8</v>
      </c>
      <c r="E381" t="str">
        <f>+INDEX(Check!$B$5:$B$33,MATCH(Compilado[[#This Row],[Items]],Check!$C$5:$C$33,0))</f>
        <v>FITOSANITARIOS</v>
      </c>
      <c r="F381" s="69">
        <f>+IFERROR(INDEX(Tabla2[TC],MATCH(Compilado[[#This Row],[Mes]],Tabla2[Mes],0))*Compilado[[#This Row],[USD]],0)</f>
        <v>1797020.2895115183</v>
      </c>
      <c r="G381" s="150">
        <v>46054</v>
      </c>
    </row>
    <row r="382" spans="1:7">
      <c r="A382" t="s">
        <v>203</v>
      </c>
      <c r="B382" t="s">
        <v>93</v>
      </c>
      <c r="C382" s="2">
        <v>679.98696480000001</v>
      </c>
      <c r="D382" t="s">
        <v>8</v>
      </c>
      <c r="E382" t="str">
        <f>+INDEX(Check!$B$5:$B$33,MATCH(Compilado[[#This Row],[Items]],Check!$C$5:$C$33,0))</f>
        <v>FITOSANITARIOS</v>
      </c>
      <c r="F382" s="69">
        <f>+IFERROR(INDEX(Tabla2[TC],MATCH(Compilado[[#This Row],[Mes]],Tabla2[Mes],0))*Compilado[[#This Row],[USD]],0)</f>
        <v>805436.62195240299</v>
      </c>
      <c r="G382" s="150">
        <v>45931</v>
      </c>
    </row>
    <row r="383" spans="1:7">
      <c r="A383" t="s">
        <v>203</v>
      </c>
      <c r="B383" t="s">
        <v>94</v>
      </c>
      <c r="C383" s="2">
        <v>815.98435775999997</v>
      </c>
      <c r="D383" t="s">
        <v>8</v>
      </c>
      <c r="E383" t="str">
        <f>+INDEX(Check!$B$5:$B$33,MATCH(Compilado[[#This Row],[Items]],Check!$C$5:$C$33,0))</f>
        <v>FITOSANITARIOS</v>
      </c>
      <c r="F383" s="69">
        <f>+IFERROR(INDEX(Tabla2[TC],MATCH(Compilado[[#This Row],[Mes]],Tabla2[Mes],0))*Compilado[[#This Row],[USD]],0)</f>
        <v>976189.18580631237</v>
      </c>
      <c r="G383" s="150">
        <v>45962</v>
      </c>
    </row>
    <row r="384" spans="1:7">
      <c r="A384" t="s">
        <v>203</v>
      </c>
      <c r="B384" t="s">
        <v>95</v>
      </c>
      <c r="C384" s="2">
        <v>679.98696480000001</v>
      </c>
      <c r="D384" t="s">
        <v>8</v>
      </c>
      <c r="E384" t="str">
        <f>+INDEX(Check!$B$5:$B$33,MATCH(Compilado[[#This Row],[Items]],Check!$C$5:$C$33,0))</f>
        <v>FITOSANITARIOS</v>
      </c>
      <c r="F384" s="69">
        <f>+IFERROR(INDEX(Tabla2[TC],MATCH(Compilado[[#This Row],[Mes]],Tabla2[Mes],0))*Compilado[[#This Row],[USD]],0)</f>
        <v>821625.8980536462</v>
      </c>
      <c r="G384" s="150">
        <v>45992</v>
      </c>
    </row>
    <row r="385" spans="1:7">
      <c r="A385" t="s">
        <v>203</v>
      </c>
      <c r="B385" t="s">
        <v>97</v>
      </c>
      <c r="C385" s="2">
        <v>1223.9765366399999</v>
      </c>
      <c r="D385" t="s">
        <v>8</v>
      </c>
      <c r="E385" t="str">
        <f>+INDEX(Check!$B$5:$B$33,MATCH(Compilado[[#This Row],[Items]],Check!$C$5:$C$33,0))</f>
        <v>FITOSANITARIOS</v>
      </c>
      <c r="F385" s="69">
        <f>+IFERROR(INDEX(Tabla2[TC],MATCH(Compilado[[#This Row],[Mes]],Tabla2[Mes],0))*Compilado[[#This Row],[USD]],0)</f>
        <v>1508653.0414881441</v>
      </c>
      <c r="G385" s="150">
        <v>46054</v>
      </c>
    </row>
    <row r="386" spans="1:7">
      <c r="A386" t="s">
        <v>204</v>
      </c>
      <c r="B386" t="s">
        <v>93</v>
      </c>
      <c r="C386" s="2">
        <v>604.5746295072114</v>
      </c>
      <c r="D386" t="s">
        <v>8</v>
      </c>
      <c r="E386" t="str">
        <f>+INDEX(Check!$B$5:$B$33,MATCH(Compilado[[#This Row],[Items]],Check!$C$5:$C$33,0))</f>
        <v>FITOSANITARIOS</v>
      </c>
      <c r="F386" s="69">
        <f>+IFERROR(INDEX(Tabla2[TC],MATCH(Compilado[[#This Row],[Mes]],Tabla2[Mes],0))*Compilado[[#This Row],[USD]],0)</f>
        <v>716111.59112680377</v>
      </c>
      <c r="G386" s="150">
        <v>45931</v>
      </c>
    </row>
    <row r="387" spans="1:7">
      <c r="A387" t="s">
        <v>204</v>
      </c>
      <c r="B387" t="s">
        <v>94</v>
      </c>
      <c r="C387" s="2">
        <v>725.48955540865359</v>
      </c>
      <c r="D387" t="s">
        <v>8</v>
      </c>
      <c r="E387" t="str">
        <f>+INDEX(Check!$B$5:$B$33,MATCH(Compilado[[#This Row],[Items]],Check!$C$5:$C$33,0))</f>
        <v>FITOSANITARIOS</v>
      </c>
      <c r="F387" s="69">
        <f>+IFERROR(INDEX(Tabla2[TC],MATCH(Compilado[[#This Row],[Mes]],Tabla2[Mes],0))*Compilado[[#This Row],[USD]],0)</f>
        <v>867927.24844568607</v>
      </c>
      <c r="G387" s="150">
        <v>45962</v>
      </c>
    </row>
    <row r="388" spans="1:7">
      <c r="A388" t="s">
        <v>204</v>
      </c>
      <c r="B388" t="s">
        <v>95</v>
      </c>
      <c r="C388" s="2">
        <v>604.5746295072114</v>
      </c>
      <c r="D388" t="s">
        <v>8</v>
      </c>
      <c r="E388" t="str">
        <f>+INDEX(Check!$B$5:$B$33,MATCH(Compilado[[#This Row],[Items]],Check!$C$5:$C$33,0))</f>
        <v>FITOSANITARIOS</v>
      </c>
      <c r="F388" s="69">
        <f>+IFERROR(INDEX(Tabla2[TC],MATCH(Compilado[[#This Row],[Mes]],Tabla2[Mes],0))*Compilado[[#This Row],[USD]],0)</f>
        <v>730505.43410845252</v>
      </c>
      <c r="G388" s="150">
        <v>45992</v>
      </c>
    </row>
    <row r="389" spans="1:7">
      <c r="A389" t="s">
        <v>204</v>
      </c>
      <c r="B389" t="s">
        <v>97</v>
      </c>
      <c r="C389" s="2">
        <v>1088.2343331129805</v>
      </c>
      <c r="D389" t="s">
        <v>8</v>
      </c>
      <c r="E389" t="str">
        <f>+INDEX(Check!$B$5:$B$33,MATCH(Compilado[[#This Row],[Items]],Check!$C$5:$C$33,0))</f>
        <v>FITOSANITARIOS</v>
      </c>
      <c r="F389" s="69">
        <f>+IFERROR(INDEX(Tabla2[TC],MATCH(Compilado[[#This Row],[Mes]],Tabla2[Mes],0))*Compilado[[#This Row],[USD]],0)</f>
        <v>1341339.4680012583</v>
      </c>
      <c r="G389" s="150">
        <v>46054</v>
      </c>
    </row>
    <row r="390" spans="1:7">
      <c r="A390" t="s">
        <v>204</v>
      </c>
      <c r="B390" t="s">
        <v>93</v>
      </c>
      <c r="C390" s="2">
        <v>209.8285978441869</v>
      </c>
      <c r="D390" t="s">
        <v>8</v>
      </c>
      <c r="E390" t="str">
        <f>+INDEX(Check!$B$5:$B$33,MATCH(Compilado[[#This Row],[Items]],Check!$C$5:$C$33,0))</f>
        <v>FITOSANITARIOS</v>
      </c>
      <c r="F390" s="69">
        <f>+IFERROR(INDEX(Tabla2[TC],MATCH(Compilado[[#This Row],[Mes]],Tabla2[Mes],0))*Compilado[[#This Row],[USD]],0)</f>
        <v>248539.52470447586</v>
      </c>
      <c r="G390" s="150">
        <v>45931</v>
      </c>
    </row>
    <row r="391" spans="1:7">
      <c r="A391" t="s">
        <v>204</v>
      </c>
      <c r="B391" t="s">
        <v>94</v>
      </c>
      <c r="C391" s="2">
        <v>251.79431741302423</v>
      </c>
      <c r="D391" t="s">
        <v>8</v>
      </c>
      <c r="E391" t="str">
        <f>+INDEX(Check!$B$5:$B$33,MATCH(Compilado[[#This Row],[Items]],Check!$C$5:$C$33,0))</f>
        <v>FITOSANITARIOS</v>
      </c>
      <c r="F391" s="69">
        <f>+IFERROR(INDEX(Tabla2[TC],MATCH(Compilado[[#This Row],[Mes]],Tabla2[Mes],0))*Compilado[[#This Row],[USD]],0)</f>
        <v>301229.90394182468</v>
      </c>
      <c r="G391" s="150">
        <v>45962</v>
      </c>
    </row>
    <row r="392" spans="1:7">
      <c r="A392" t="s">
        <v>204</v>
      </c>
      <c r="B392" t="s">
        <v>95</v>
      </c>
      <c r="C392" s="2">
        <v>209.8285978441869</v>
      </c>
      <c r="D392" t="s">
        <v>8</v>
      </c>
      <c r="E392" t="str">
        <f>+INDEX(Check!$B$5:$B$33,MATCH(Compilado[[#This Row],[Items]],Check!$C$5:$C$33,0))</f>
        <v>FITOSANITARIOS</v>
      </c>
      <c r="F392" s="69">
        <f>+IFERROR(INDEX(Tabla2[TC],MATCH(Compilado[[#This Row],[Mes]],Tabla2[Mes],0))*Compilado[[#This Row],[USD]],0)</f>
        <v>253535.16915103584</v>
      </c>
      <c r="G392" s="150">
        <v>45992</v>
      </c>
    </row>
    <row r="393" spans="1:7">
      <c r="A393" t="s">
        <v>204</v>
      </c>
      <c r="B393" t="s">
        <v>97</v>
      </c>
      <c r="C393" s="2">
        <v>377.69147611953639</v>
      </c>
      <c r="D393" t="s">
        <v>8</v>
      </c>
      <c r="E393" t="str">
        <f>+INDEX(Check!$B$5:$B$33,MATCH(Compilado[[#This Row],[Items]],Check!$C$5:$C$33,0))</f>
        <v>FITOSANITARIOS</v>
      </c>
      <c r="F393" s="69">
        <f>+IFERROR(INDEX(Tabla2[TC],MATCH(Compilado[[#This Row],[Mes]],Tabla2[Mes],0))*Compilado[[#This Row],[USD]],0)</f>
        <v>465536.20689174888</v>
      </c>
      <c r="G393" s="150">
        <v>46054</v>
      </c>
    </row>
    <row r="394" spans="1:7">
      <c r="A394" t="s">
        <v>204</v>
      </c>
      <c r="B394" t="s">
        <v>93</v>
      </c>
      <c r="C394" s="2">
        <v>123.2367782451923</v>
      </c>
      <c r="D394" t="s">
        <v>8</v>
      </c>
      <c r="E394" t="str">
        <f>+INDEX(Check!$B$5:$B$33,MATCH(Compilado[[#This Row],[Items]],Check!$C$5:$C$33,0))</f>
        <v>FITOSANITARIOS</v>
      </c>
      <c r="F394" s="69">
        <f>+IFERROR(INDEX(Tabla2[TC],MATCH(Compilado[[#This Row],[Mes]],Tabla2[Mes],0))*Compilado[[#This Row],[USD]],0)</f>
        <v>145972.52522230271</v>
      </c>
      <c r="G394" s="150">
        <v>45931</v>
      </c>
    </row>
    <row r="395" spans="1:7">
      <c r="A395" t="s">
        <v>204</v>
      </c>
      <c r="B395" t="s">
        <v>94</v>
      </c>
      <c r="C395" s="2">
        <v>147.88413389423076</v>
      </c>
      <c r="D395" t="s">
        <v>8</v>
      </c>
      <c r="E395" t="str">
        <f>+INDEX(Check!$B$5:$B$33,MATCH(Compilado[[#This Row],[Items]],Check!$C$5:$C$33,0))</f>
        <v>FITOSANITARIOS</v>
      </c>
      <c r="F395" s="69">
        <f>+IFERROR(INDEX(Tabla2[TC],MATCH(Compilado[[#This Row],[Mes]],Tabla2[Mes],0))*Compilado[[#This Row],[USD]],0)</f>
        <v>176918.70056943089</v>
      </c>
      <c r="G395" s="150">
        <v>45962</v>
      </c>
    </row>
    <row r="396" spans="1:7">
      <c r="A396" t="s">
        <v>204</v>
      </c>
      <c r="B396" t="s">
        <v>95</v>
      </c>
      <c r="C396" s="2">
        <v>123.2367782451923</v>
      </c>
      <c r="D396" t="s">
        <v>8</v>
      </c>
      <c r="E396" t="str">
        <f>+INDEX(Check!$B$5:$B$33,MATCH(Compilado[[#This Row],[Items]],Check!$C$5:$C$33,0))</f>
        <v>FITOSANITARIOS</v>
      </c>
      <c r="F396" s="69">
        <f>+IFERROR(INDEX(Tabla2[TC],MATCH(Compilado[[#This Row],[Mes]],Tabla2[Mes],0))*Compilado[[#This Row],[USD]],0)</f>
        <v>148906.572979271</v>
      </c>
      <c r="G396" s="150">
        <v>45992</v>
      </c>
    </row>
    <row r="397" spans="1:7">
      <c r="A397" t="s">
        <v>204</v>
      </c>
      <c r="B397" t="s">
        <v>97</v>
      </c>
      <c r="C397" s="2">
        <v>221.82620084134612</v>
      </c>
      <c r="D397" t="s">
        <v>8</v>
      </c>
      <c r="E397" t="str">
        <f>+INDEX(Check!$B$5:$B$33,MATCH(Compilado[[#This Row],[Items]],Check!$C$5:$C$33,0))</f>
        <v>FITOSANITARIOS</v>
      </c>
      <c r="F397" s="69">
        <f>+IFERROR(INDEX(Tabla2[TC],MATCH(Compilado[[#This Row],[Mes]],Tabla2[Mes],0))*Compilado[[#This Row],[USD]],0)</f>
        <v>273419.27117307775</v>
      </c>
      <c r="G397" s="150">
        <v>46054</v>
      </c>
    </row>
    <row r="398" spans="1:7">
      <c r="A398" t="s">
        <v>204</v>
      </c>
      <c r="B398" t="s">
        <v>93</v>
      </c>
      <c r="C398" s="2">
        <v>0</v>
      </c>
      <c r="D398" t="s">
        <v>8</v>
      </c>
      <c r="E398" t="str">
        <f>+INDEX(Check!$B$5:$B$33,MATCH(Compilado[[#This Row],[Items]],Check!$C$5:$C$33,0))</f>
        <v>FITOSANITARIOS</v>
      </c>
      <c r="F398" s="69">
        <f>+IFERROR(INDEX(Tabla2[TC],MATCH(Compilado[[#This Row],[Mes]],Tabla2[Mes],0))*Compilado[[#This Row],[USD]],0)</f>
        <v>0</v>
      </c>
      <c r="G398" s="150">
        <v>45931</v>
      </c>
    </row>
    <row r="399" spans="1:7">
      <c r="A399" t="s">
        <v>204</v>
      </c>
      <c r="B399" t="s">
        <v>94</v>
      </c>
      <c r="C399" s="2">
        <v>0</v>
      </c>
      <c r="D399" t="s">
        <v>8</v>
      </c>
      <c r="E399" t="str">
        <f>+INDEX(Check!$B$5:$B$33,MATCH(Compilado[[#This Row],[Items]],Check!$C$5:$C$33,0))</f>
        <v>FITOSANITARIOS</v>
      </c>
      <c r="F399" s="69">
        <f>+IFERROR(INDEX(Tabla2[TC],MATCH(Compilado[[#This Row],[Mes]],Tabla2[Mes],0))*Compilado[[#This Row],[USD]],0)</f>
        <v>0</v>
      </c>
      <c r="G399" s="150">
        <v>45962</v>
      </c>
    </row>
    <row r="400" spans="1:7">
      <c r="A400" t="s">
        <v>204</v>
      </c>
      <c r="B400" t="s">
        <v>95</v>
      </c>
      <c r="C400" s="2">
        <v>0</v>
      </c>
      <c r="D400" t="s">
        <v>8</v>
      </c>
      <c r="E400" t="str">
        <f>+INDEX(Check!$B$5:$B$33,MATCH(Compilado[[#This Row],[Items]],Check!$C$5:$C$33,0))</f>
        <v>FITOSANITARIOS</v>
      </c>
      <c r="F400" s="69">
        <f>+IFERROR(INDEX(Tabla2[TC],MATCH(Compilado[[#This Row],[Mes]],Tabla2[Mes],0))*Compilado[[#This Row],[USD]],0)</f>
        <v>0</v>
      </c>
      <c r="G400" s="150">
        <v>45992</v>
      </c>
    </row>
    <row r="401" spans="1:7">
      <c r="A401" t="s">
        <v>204</v>
      </c>
      <c r="B401" t="s">
        <v>97</v>
      </c>
      <c r="C401" s="2">
        <v>0</v>
      </c>
      <c r="D401" t="s">
        <v>8</v>
      </c>
      <c r="E401" t="str">
        <f>+INDEX(Check!$B$5:$B$33,MATCH(Compilado[[#This Row],[Items]],Check!$C$5:$C$33,0))</f>
        <v>FITOSANITARIOS</v>
      </c>
      <c r="F401" s="69">
        <f>+IFERROR(INDEX(Tabla2[TC],MATCH(Compilado[[#This Row],[Mes]],Tabla2[Mes],0))*Compilado[[#This Row],[USD]],0)</f>
        <v>0</v>
      </c>
      <c r="G401" s="150">
        <v>46054</v>
      </c>
    </row>
    <row r="402" spans="1:7">
      <c r="A402" t="s">
        <v>205</v>
      </c>
      <c r="B402" t="s">
        <v>93</v>
      </c>
      <c r="C402" s="2">
        <v>6.0251696623999997</v>
      </c>
      <c r="D402" t="s">
        <v>8</v>
      </c>
      <c r="E402" t="str">
        <f>+INDEX(Check!$B$5:$B$33,MATCH(Compilado[[#This Row],[Items]],Check!$C$5:$C$33,0))</f>
        <v>FITOSANITARIOS</v>
      </c>
      <c r="F402" s="69">
        <f>+IFERROR(INDEX(Tabla2[TC],MATCH(Compilado[[#This Row],[Mes]],Tabla2[Mes],0))*Compilado[[#This Row],[USD]],0)</f>
        <v>7136.7431300700073</v>
      </c>
      <c r="G402" s="150">
        <v>45931</v>
      </c>
    </row>
    <row r="403" spans="1:7">
      <c r="A403" t="s">
        <v>205</v>
      </c>
      <c r="B403" t="s">
        <v>94</v>
      </c>
      <c r="C403" s="2">
        <v>7.230203594879999</v>
      </c>
      <c r="D403" t="s">
        <v>8</v>
      </c>
      <c r="E403" t="str">
        <f>+INDEX(Check!$B$5:$B$33,MATCH(Compilado[[#This Row],[Items]],Check!$C$5:$C$33,0))</f>
        <v>FITOSANITARIOS</v>
      </c>
      <c r="F403" s="69">
        <f>+IFERROR(INDEX(Tabla2[TC],MATCH(Compilado[[#This Row],[Mes]],Tabla2[Mes],0))*Compilado[[#This Row],[USD]],0)</f>
        <v>8649.7326736448485</v>
      </c>
      <c r="G403" s="150">
        <v>45962</v>
      </c>
    </row>
    <row r="404" spans="1:7">
      <c r="A404" t="s">
        <v>205</v>
      </c>
      <c r="B404" t="s">
        <v>95</v>
      </c>
      <c r="C404" s="2">
        <v>6.0251696623999997</v>
      </c>
      <c r="D404" t="s">
        <v>8</v>
      </c>
      <c r="E404" t="str">
        <f>+INDEX(Check!$B$5:$B$33,MATCH(Compilado[[#This Row],[Items]],Check!$C$5:$C$33,0))</f>
        <v>FITOSANITARIOS</v>
      </c>
      <c r="F404" s="69">
        <f>+IFERROR(INDEX(Tabla2[TC],MATCH(Compilado[[#This Row],[Mes]],Tabla2[Mes],0))*Compilado[[#This Row],[USD]],0)</f>
        <v>7280.191666984414</v>
      </c>
      <c r="G404" s="150">
        <v>45992</v>
      </c>
    </row>
    <row r="405" spans="1:7">
      <c r="A405" t="s">
        <v>205</v>
      </c>
      <c r="B405" t="s">
        <v>97</v>
      </c>
      <c r="C405" s="2">
        <v>10.845305392319998</v>
      </c>
      <c r="D405" t="s">
        <v>8</v>
      </c>
      <c r="E405" t="str">
        <f>+INDEX(Check!$B$5:$B$33,MATCH(Compilado[[#This Row],[Items]],Check!$C$5:$C$33,0))</f>
        <v>FITOSANITARIOS</v>
      </c>
      <c r="F405" s="69">
        <f>+IFERROR(INDEX(Tabla2[TC],MATCH(Compilado[[#This Row],[Mes]],Tabla2[Mes],0))*Compilado[[#This Row],[USD]],0)</f>
        <v>13367.74233508344</v>
      </c>
      <c r="G405" s="150">
        <v>46054</v>
      </c>
    </row>
    <row r="406" spans="1:7">
      <c r="A406" t="s">
        <v>205</v>
      </c>
      <c r="B406" t="s">
        <v>93</v>
      </c>
      <c r="C406" s="2">
        <v>153.33120000000002</v>
      </c>
      <c r="D406" t="s">
        <v>8</v>
      </c>
      <c r="E406" t="str">
        <f>+INDEX(Check!$B$5:$B$33,MATCH(Compilado[[#This Row],[Items]],Check!$C$5:$C$33,0))</f>
        <v>FITOSANITARIOS</v>
      </c>
      <c r="F406" s="69">
        <f>+IFERROR(INDEX(Tabla2[TC],MATCH(Compilado[[#This Row],[Mes]],Tabla2[Mes],0))*Compilado[[#This Row],[USD]],0)</f>
        <v>181619.01648251759</v>
      </c>
      <c r="G406" s="150">
        <v>45931</v>
      </c>
    </row>
    <row r="407" spans="1:7">
      <c r="A407" t="s">
        <v>205</v>
      </c>
      <c r="B407" t="s">
        <v>94</v>
      </c>
      <c r="C407" s="2">
        <v>183.99744000000001</v>
      </c>
      <c r="D407" t="s">
        <v>8</v>
      </c>
      <c r="E407" t="str">
        <f>+INDEX(Check!$B$5:$B$33,MATCH(Compilado[[#This Row],[Items]],Check!$C$5:$C$33,0))</f>
        <v>FITOSANITARIOS</v>
      </c>
      <c r="F407" s="69">
        <f>+IFERROR(INDEX(Tabla2[TC],MATCH(Compilado[[#This Row],[Mes]],Tabla2[Mes],0))*Compilado[[#This Row],[USD]],0)</f>
        <v>220122.24797681131</v>
      </c>
      <c r="G407" s="150">
        <v>45962</v>
      </c>
    </row>
    <row r="408" spans="1:7">
      <c r="A408" t="s">
        <v>205</v>
      </c>
      <c r="B408" t="s">
        <v>95</v>
      </c>
      <c r="C408" s="2">
        <v>153.33120000000002</v>
      </c>
      <c r="D408" t="s">
        <v>8</v>
      </c>
      <c r="E408" t="str">
        <f>+INDEX(Check!$B$5:$B$33,MATCH(Compilado[[#This Row],[Items]],Check!$C$5:$C$33,0))</f>
        <v>FITOSANITARIOS</v>
      </c>
      <c r="F408" s="69">
        <f>+IFERROR(INDEX(Tabla2[TC],MATCH(Compilado[[#This Row],[Mes]],Tabla2[Mes],0))*Compilado[[#This Row],[USD]],0)</f>
        <v>185269.55871381619</v>
      </c>
      <c r="G408" s="150">
        <v>45992</v>
      </c>
    </row>
    <row r="409" spans="1:7">
      <c r="A409" t="s">
        <v>205</v>
      </c>
      <c r="B409" t="s">
        <v>97</v>
      </c>
      <c r="C409" s="2">
        <v>275.99616000000003</v>
      </c>
      <c r="D409" t="s">
        <v>8</v>
      </c>
      <c r="E409" t="str">
        <f>+INDEX(Check!$B$5:$B$33,MATCH(Compilado[[#This Row],[Items]],Check!$C$5:$C$33,0))</f>
        <v>FITOSANITARIOS</v>
      </c>
      <c r="F409" s="69">
        <f>+IFERROR(INDEX(Tabla2[TC],MATCH(Compilado[[#This Row],[Mes]],Tabla2[Mes],0))*Compilado[[#This Row],[USD]],0)</f>
        <v>340188.258319135</v>
      </c>
      <c r="G409" s="150">
        <v>46054</v>
      </c>
    </row>
    <row r="410" spans="1:7">
      <c r="A410" t="s">
        <v>206</v>
      </c>
      <c r="B410" t="s">
        <v>93</v>
      </c>
      <c r="C410" s="2">
        <v>35.720805288461541</v>
      </c>
      <c r="D410" t="s">
        <v>8</v>
      </c>
      <c r="E410" t="str">
        <f>+INDEX(Check!$B$5:$B$33,MATCH(Compilado[[#This Row],[Items]],Check!$C$5:$C$33,0))</f>
        <v>FITOSANITARIOS</v>
      </c>
      <c r="F410" s="69">
        <f>+IFERROR(INDEX(Tabla2[TC],MATCH(Compilado[[#This Row],[Mes]],Tabla2[Mes],0))*Compilado[[#This Row],[USD]],0)</f>
        <v>42310.876876029775</v>
      </c>
      <c r="G410" s="150">
        <v>45931</v>
      </c>
    </row>
    <row r="411" spans="1:7">
      <c r="A411" t="s">
        <v>206</v>
      </c>
      <c r="B411" t="s">
        <v>94</v>
      </c>
      <c r="C411" s="2">
        <v>42.864966346153842</v>
      </c>
      <c r="D411" t="s">
        <v>8</v>
      </c>
      <c r="E411" t="str">
        <f>+INDEX(Check!$B$5:$B$33,MATCH(Compilado[[#This Row],[Items]],Check!$C$5:$C$33,0))</f>
        <v>FITOSANITARIOS</v>
      </c>
      <c r="F411" s="69">
        <f>+IFERROR(INDEX(Tabla2[TC],MATCH(Compilado[[#This Row],[Mes]],Tabla2[Mes],0))*Compilado[[#This Row],[USD]],0)</f>
        <v>51280.782773748084</v>
      </c>
      <c r="G411" s="150">
        <v>45962</v>
      </c>
    </row>
    <row r="412" spans="1:7">
      <c r="A412" t="s">
        <v>206</v>
      </c>
      <c r="B412" t="s">
        <v>95</v>
      </c>
      <c r="C412" s="2">
        <v>35.720805288461541</v>
      </c>
      <c r="D412" t="s">
        <v>8</v>
      </c>
      <c r="E412" t="str">
        <f>+INDEX(Check!$B$5:$B$33,MATCH(Compilado[[#This Row],[Items]],Check!$C$5:$C$33,0))</f>
        <v>FITOSANITARIOS</v>
      </c>
      <c r="F412" s="69">
        <f>+IFERROR(INDEX(Tabla2[TC],MATCH(Compilado[[#This Row],[Mes]],Tabla2[Mes],0))*Compilado[[#This Row],[USD]],0)</f>
        <v>43161.325501237974</v>
      </c>
      <c r="G412" s="150">
        <v>45992</v>
      </c>
    </row>
    <row r="413" spans="1:7">
      <c r="A413" t="s">
        <v>206</v>
      </c>
      <c r="B413" t="s">
        <v>97</v>
      </c>
      <c r="C413" s="2">
        <v>64.297449519230767</v>
      </c>
      <c r="D413" t="s">
        <v>8</v>
      </c>
      <c r="E413" t="str">
        <f>+INDEX(Check!$B$5:$B$33,MATCH(Compilado[[#This Row],[Items]],Check!$C$5:$C$33,0))</f>
        <v>FITOSANITARIOS</v>
      </c>
      <c r="F413" s="69">
        <f>+IFERROR(INDEX(Tabla2[TC],MATCH(Compilado[[#This Row],[Mes]],Tabla2[Mes],0))*Compilado[[#This Row],[USD]],0)</f>
        <v>79251.962658863136</v>
      </c>
      <c r="G413" s="150">
        <v>46054</v>
      </c>
    </row>
    <row r="414" spans="1:7">
      <c r="A414" t="s">
        <v>206</v>
      </c>
      <c r="B414" t="s">
        <v>93</v>
      </c>
      <c r="C414" s="2">
        <v>160.48643399999995</v>
      </c>
      <c r="D414" t="s">
        <v>8</v>
      </c>
      <c r="E414" t="str">
        <f>+INDEX(Check!$B$5:$B$33,MATCH(Compilado[[#This Row],[Items]],Check!$C$5:$C$33,0))</f>
        <v>FITOSANITARIOS</v>
      </c>
      <c r="F414" s="69">
        <f>+IFERROR(INDEX(Tabla2[TC],MATCH(Compilado[[#This Row],[Mes]],Tabla2[Mes],0))*Compilado[[#This Row],[USD]],0)</f>
        <v>190094.3076286265</v>
      </c>
      <c r="G414" s="150">
        <v>45931</v>
      </c>
    </row>
    <row r="415" spans="1:7">
      <c r="A415" t="s">
        <v>206</v>
      </c>
      <c r="B415" t="s">
        <v>94</v>
      </c>
      <c r="C415" s="2">
        <v>192.58372079999992</v>
      </c>
      <c r="D415" t="s">
        <v>8</v>
      </c>
      <c r="E415" t="str">
        <f>+INDEX(Check!$B$5:$B$33,MATCH(Compilado[[#This Row],[Items]],Check!$C$5:$C$33,0))</f>
        <v>FITOSANITARIOS</v>
      </c>
      <c r="F415" s="69">
        <f>+IFERROR(INDEX(Tabla2[TC],MATCH(Compilado[[#This Row],[Mes]],Tabla2[Mes],0))*Compilado[[#This Row],[USD]],0)</f>
        <v>230394.30084589531</v>
      </c>
      <c r="G415" s="150">
        <v>45962</v>
      </c>
    </row>
    <row r="416" spans="1:7">
      <c r="A416" t="s">
        <v>206</v>
      </c>
      <c r="B416" t="s">
        <v>95</v>
      </c>
      <c r="C416" s="2">
        <v>160.48643399999995</v>
      </c>
      <c r="D416" t="s">
        <v>8</v>
      </c>
      <c r="E416" t="str">
        <f>+INDEX(Check!$B$5:$B$33,MATCH(Compilado[[#This Row],[Items]],Check!$C$5:$C$33,0))</f>
        <v>FITOSANITARIOS</v>
      </c>
      <c r="F416" s="69">
        <f>+IFERROR(INDEX(Tabla2[TC],MATCH(Compilado[[#This Row],[Mes]],Tabla2[Mes],0))*Compilado[[#This Row],[USD]],0)</f>
        <v>193915.2032119619</v>
      </c>
      <c r="G416" s="150">
        <v>45992</v>
      </c>
    </row>
    <row r="417" spans="1:7">
      <c r="A417" t="s">
        <v>206</v>
      </c>
      <c r="B417" t="s">
        <v>97</v>
      </c>
      <c r="C417" s="2">
        <v>288.87558119999989</v>
      </c>
      <c r="D417" t="s">
        <v>8</v>
      </c>
      <c r="E417" t="str">
        <f>+INDEX(Check!$B$5:$B$33,MATCH(Compilado[[#This Row],[Items]],Check!$C$5:$C$33,0))</f>
        <v>FITOSANITARIOS</v>
      </c>
      <c r="F417" s="69">
        <f>+IFERROR(INDEX(Tabla2[TC],MATCH(Compilado[[#This Row],[Mes]],Tabla2[Mes],0))*Compilado[[#This Row],[USD]],0)</f>
        <v>356063.21783374017</v>
      </c>
      <c r="G417" s="150">
        <v>46054</v>
      </c>
    </row>
    <row r="418" spans="1:7">
      <c r="A418" t="s">
        <v>206</v>
      </c>
      <c r="B418" t="s">
        <v>93</v>
      </c>
      <c r="C418" s="2">
        <v>200.07308771999996</v>
      </c>
      <c r="D418" t="s">
        <v>8</v>
      </c>
      <c r="E418" t="str">
        <f>+INDEX(Check!$B$5:$B$33,MATCH(Compilado[[#This Row],[Items]],Check!$C$5:$C$33,0))</f>
        <v>FITOSANITARIOS</v>
      </c>
      <c r="F418" s="69">
        <f>+IFERROR(INDEX(Tabla2[TC],MATCH(Compilado[[#This Row],[Mes]],Tabla2[Mes],0))*Compilado[[#This Row],[USD]],0)</f>
        <v>236984.23684368774</v>
      </c>
      <c r="G418" s="150">
        <v>45931</v>
      </c>
    </row>
    <row r="419" spans="1:7">
      <c r="A419" t="s">
        <v>206</v>
      </c>
      <c r="B419" t="s">
        <v>94</v>
      </c>
      <c r="C419" s="2">
        <v>240.08770526399991</v>
      </c>
      <c r="D419" t="s">
        <v>8</v>
      </c>
      <c r="E419" t="str">
        <f>+INDEX(Check!$B$5:$B$33,MATCH(Compilado[[#This Row],[Items]],Check!$C$5:$C$33,0))</f>
        <v>FITOSANITARIOS</v>
      </c>
      <c r="F419" s="69">
        <f>+IFERROR(INDEX(Tabla2[TC],MATCH(Compilado[[#This Row],[Mes]],Tabla2[Mes],0))*Compilado[[#This Row],[USD]],0)</f>
        <v>287224.8950545495</v>
      </c>
      <c r="G419" s="150">
        <v>45962</v>
      </c>
    </row>
    <row r="420" spans="1:7">
      <c r="A420" t="s">
        <v>206</v>
      </c>
      <c r="B420" t="s">
        <v>95</v>
      </c>
      <c r="C420" s="2">
        <v>200.07308771999996</v>
      </c>
      <c r="D420" t="s">
        <v>8</v>
      </c>
      <c r="E420" t="str">
        <f>+INDEX(Check!$B$5:$B$33,MATCH(Compilado[[#This Row],[Items]],Check!$C$5:$C$33,0))</f>
        <v>FITOSANITARIOS</v>
      </c>
      <c r="F420" s="69">
        <f>+IFERROR(INDEX(Tabla2[TC],MATCH(Compilado[[#This Row],[Mes]],Tabla2[Mes],0))*Compilado[[#This Row],[USD]],0)</f>
        <v>241747.62000424587</v>
      </c>
      <c r="G420" s="150">
        <v>45992</v>
      </c>
    </row>
    <row r="421" spans="1:7">
      <c r="A421" t="s">
        <v>206</v>
      </c>
      <c r="B421" t="s">
        <v>97</v>
      </c>
      <c r="C421" s="2">
        <v>360.13155789599989</v>
      </c>
      <c r="D421" t="s">
        <v>8</v>
      </c>
      <c r="E421" t="str">
        <f>+INDEX(Check!$B$5:$B$33,MATCH(Compilado[[#This Row],[Items]],Check!$C$5:$C$33,0))</f>
        <v>FITOSANITARIOS</v>
      </c>
      <c r="F421" s="69">
        <f>+IFERROR(INDEX(Tabla2[TC],MATCH(Compilado[[#This Row],[Mes]],Tabla2[Mes],0))*Compilado[[#This Row],[USD]],0)</f>
        <v>443892.14489939611</v>
      </c>
      <c r="G421" s="150">
        <v>46054</v>
      </c>
    </row>
    <row r="422" spans="1:7">
      <c r="A422" t="s">
        <v>206</v>
      </c>
      <c r="B422" t="s">
        <v>93</v>
      </c>
      <c r="C422" s="2">
        <v>210.99144873600005</v>
      </c>
      <c r="D422" t="s">
        <v>8</v>
      </c>
      <c r="E422" t="str">
        <f>+INDEX(Check!$B$5:$B$33,MATCH(Compilado[[#This Row],[Items]],Check!$C$5:$C$33,0))</f>
        <v>FITOSANITARIOS</v>
      </c>
      <c r="F422" s="69">
        <f>+IFERROR(INDEX(Tabla2[TC],MATCH(Compilado[[#This Row],[Mes]],Tabla2[Mes],0))*Compilado[[#This Row],[USD]],0)</f>
        <v>249916.90801124528</v>
      </c>
      <c r="G422" s="150">
        <v>45931</v>
      </c>
    </row>
    <row r="423" spans="1:7">
      <c r="A423" t="s">
        <v>206</v>
      </c>
      <c r="B423" t="s">
        <v>94</v>
      </c>
      <c r="C423" s="2">
        <v>253.18973848319999</v>
      </c>
      <c r="D423" t="s">
        <v>8</v>
      </c>
      <c r="E423" t="str">
        <f>+INDEX(Check!$B$5:$B$33,MATCH(Compilado[[#This Row],[Items]],Check!$C$5:$C$33,0))</f>
        <v>FITOSANITARIOS</v>
      </c>
      <c r="F423" s="69">
        <f>+IFERROR(INDEX(Tabla2[TC],MATCH(Compilado[[#This Row],[Mes]],Tabla2[Mes],0))*Compilado[[#This Row],[USD]],0)</f>
        <v>302899.29250962922</v>
      </c>
      <c r="G423" s="150">
        <v>45962</v>
      </c>
    </row>
    <row r="424" spans="1:7">
      <c r="A424" t="s">
        <v>206</v>
      </c>
      <c r="B424" t="s">
        <v>95</v>
      </c>
      <c r="C424" s="2">
        <v>210.99144873600005</v>
      </c>
      <c r="D424" t="s">
        <v>8</v>
      </c>
      <c r="E424" t="str">
        <f>+INDEX(Check!$B$5:$B$33,MATCH(Compilado[[#This Row],[Items]],Check!$C$5:$C$33,0))</f>
        <v>FITOSANITARIOS</v>
      </c>
      <c r="F424" s="69">
        <f>+IFERROR(INDEX(Tabla2[TC],MATCH(Compilado[[#This Row],[Mes]],Tabla2[Mes],0))*Compilado[[#This Row],[USD]],0)</f>
        <v>254940.23786227131</v>
      </c>
      <c r="G424" s="150">
        <v>45992</v>
      </c>
    </row>
    <row r="425" spans="1:7">
      <c r="A425" t="s">
        <v>206</v>
      </c>
      <c r="B425" t="s">
        <v>97</v>
      </c>
      <c r="C425" s="2">
        <v>379.78460772480003</v>
      </c>
      <c r="D425" t="s">
        <v>8</v>
      </c>
      <c r="E425" t="str">
        <f>+INDEX(Check!$B$5:$B$33,MATCH(Compilado[[#This Row],[Items]],Check!$C$5:$C$33,0))</f>
        <v>FITOSANITARIOS</v>
      </c>
      <c r="F425" s="69">
        <f>+IFERROR(INDEX(Tabla2[TC],MATCH(Compilado[[#This Row],[Mes]],Tabla2[Mes],0))*Compilado[[#This Row],[USD]],0)</f>
        <v>468116.16595794522</v>
      </c>
      <c r="G425" s="150">
        <v>46054</v>
      </c>
    </row>
    <row r="426" spans="1:7">
      <c r="A426" t="s">
        <v>206</v>
      </c>
      <c r="B426" t="s">
        <v>93</v>
      </c>
      <c r="C426" s="2">
        <v>74.451385216346139</v>
      </c>
      <c r="D426" t="s">
        <v>8</v>
      </c>
      <c r="E426" t="str">
        <f>+INDEX(Check!$B$5:$B$33,MATCH(Compilado[[#This Row],[Items]],Check!$C$5:$C$33,0))</f>
        <v>FITOSANITARIOS</v>
      </c>
      <c r="F426" s="69">
        <f>+IFERROR(INDEX(Tabla2[TC],MATCH(Compilado[[#This Row],[Mes]],Tabla2[Mes],0))*Compilado[[#This Row],[USD]],0)</f>
        <v>88186.79667773965</v>
      </c>
      <c r="G426" s="150">
        <v>45931</v>
      </c>
    </row>
    <row r="427" spans="1:7">
      <c r="A427" t="s">
        <v>206</v>
      </c>
      <c r="B427" t="s">
        <v>94</v>
      </c>
      <c r="C427" s="2">
        <v>89.341662259615362</v>
      </c>
      <c r="D427" t="s">
        <v>8</v>
      </c>
      <c r="E427" t="str">
        <f>+INDEX(Check!$B$5:$B$33,MATCH(Compilado[[#This Row],[Items]],Check!$C$5:$C$33,0))</f>
        <v>FITOSANITARIOS</v>
      </c>
      <c r="F427" s="69">
        <f>+IFERROR(INDEX(Tabla2[TC],MATCH(Compilado[[#This Row],[Mes]],Tabla2[Mes],0))*Compilado[[#This Row],[USD]],0)</f>
        <v>106882.39757342046</v>
      </c>
      <c r="G427" s="150">
        <v>45962</v>
      </c>
    </row>
    <row r="428" spans="1:7">
      <c r="A428" t="s">
        <v>206</v>
      </c>
      <c r="B428" t="s">
        <v>95</v>
      </c>
      <c r="C428" s="2">
        <v>74.451385216346139</v>
      </c>
      <c r="D428" t="s">
        <v>8</v>
      </c>
      <c r="E428" t="str">
        <f>+INDEX(Check!$B$5:$B$33,MATCH(Compilado[[#This Row],[Items]],Check!$C$5:$C$33,0))</f>
        <v>FITOSANITARIOS</v>
      </c>
      <c r="F428" s="69">
        <f>+IFERROR(INDEX(Tabla2[TC],MATCH(Compilado[[#This Row],[Mes]],Tabla2[Mes],0))*Compilado[[#This Row],[USD]],0)</f>
        <v>89959.351290962222</v>
      </c>
      <c r="G428" s="150">
        <v>45992</v>
      </c>
    </row>
    <row r="429" spans="1:7">
      <c r="A429" t="s">
        <v>206</v>
      </c>
      <c r="B429" t="s">
        <v>97</v>
      </c>
      <c r="C429" s="2">
        <v>134.01249338942304</v>
      </c>
      <c r="D429" t="s">
        <v>8</v>
      </c>
      <c r="E429" t="str">
        <f>+INDEX(Check!$B$5:$B$33,MATCH(Compilado[[#This Row],[Items]],Check!$C$5:$C$33,0))</f>
        <v>FITOSANITARIOS</v>
      </c>
      <c r="F429" s="69">
        <f>+IFERROR(INDEX(Tabla2[TC],MATCH(Compilado[[#This Row],[Mes]],Tabla2[Mes],0))*Compilado[[#This Row],[USD]],0)</f>
        <v>165181.56165343898</v>
      </c>
      <c r="G429" s="150">
        <v>46054</v>
      </c>
    </row>
    <row r="430" spans="1:7">
      <c r="A430" t="s">
        <v>206</v>
      </c>
      <c r="B430" t="s">
        <v>93</v>
      </c>
      <c r="C430" s="2">
        <v>0</v>
      </c>
      <c r="D430" t="s">
        <v>8</v>
      </c>
      <c r="E430" t="str">
        <f>+INDEX(Check!$B$5:$B$33,MATCH(Compilado[[#This Row],[Items]],Check!$C$5:$C$33,0))</f>
        <v>FITOSANITARIOS</v>
      </c>
      <c r="F430" s="69">
        <f>+IFERROR(INDEX(Tabla2[TC],MATCH(Compilado[[#This Row],[Mes]],Tabla2[Mes],0))*Compilado[[#This Row],[USD]],0)</f>
        <v>0</v>
      </c>
      <c r="G430" s="150">
        <v>45931</v>
      </c>
    </row>
    <row r="431" spans="1:7">
      <c r="A431" t="s">
        <v>206</v>
      </c>
      <c r="B431" t="s">
        <v>94</v>
      </c>
      <c r="C431" s="2">
        <v>0</v>
      </c>
      <c r="D431" t="s">
        <v>8</v>
      </c>
      <c r="E431" t="str">
        <f>+INDEX(Check!$B$5:$B$33,MATCH(Compilado[[#This Row],[Items]],Check!$C$5:$C$33,0))</f>
        <v>FITOSANITARIOS</v>
      </c>
      <c r="F431" s="69">
        <f>+IFERROR(INDEX(Tabla2[TC],MATCH(Compilado[[#This Row],[Mes]],Tabla2[Mes],0))*Compilado[[#This Row],[USD]],0)</f>
        <v>0</v>
      </c>
      <c r="G431" s="150">
        <v>45962</v>
      </c>
    </row>
    <row r="432" spans="1:7">
      <c r="A432" t="s">
        <v>206</v>
      </c>
      <c r="B432" t="s">
        <v>95</v>
      </c>
      <c r="C432" s="2">
        <v>0</v>
      </c>
      <c r="D432" t="s">
        <v>8</v>
      </c>
      <c r="E432" t="str">
        <f>+INDEX(Check!$B$5:$B$33,MATCH(Compilado[[#This Row],[Items]],Check!$C$5:$C$33,0))</f>
        <v>FITOSANITARIOS</v>
      </c>
      <c r="F432" s="69">
        <f>+IFERROR(INDEX(Tabla2[TC],MATCH(Compilado[[#This Row],[Mes]],Tabla2[Mes],0))*Compilado[[#This Row],[USD]],0)</f>
        <v>0</v>
      </c>
      <c r="G432" s="150">
        <v>45992</v>
      </c>
    </row>
    <row r="433" spans="1:7">
      <c r="A433" t="s">
        <v>206</v>
      </c>
      <c r="B433" t="s">
        <v>97</v>
      </c>
      <c r="C433" s="2">
        <v>0</v>
      </c>
      <c r="D433" t="s">
        <v>8</v>
      </c>
      <c r="E433" t="str">
        <f>+INDEX(Check!$B$5:$B$33,MATCH(Compilado[[#This Row],[Items]],Check!$C$5:$C$33,0))</f>
        <v>FITOSANITARIOS</v>
      </c>
      <c r="F433" s="69">
        <f>+IFERROR(INDEX(Tabla2[TC],MATCH(Compilado[[#This Row],[Mes]],Tabla2[Mes],0))*Compilado[[#This Row],[USD]],0)</f>
        <v>0</v>
      </c>
      <c r="G433" s="150">
        <v>46054</v>
      </c>
    </row>
    <row r="434" spans="1:7">
      <c r="A434" t="s">
        <v>190</v>
      </c>
      <c r="B434" t="s">
        <v>93</v>
      </c>
      <c r="C434" s="2">
        <v>40.527614399999997</v>
      </c>
      <c r="D434" t="s">
        <v>12</v>
      </c>
      <c r="E434" t="str">
        <f>+INDEX(Check!$B$5:$B$33,MATCH(Compilado[[#This Row],[Items]],Check!$C$5:$C$33,0))</f>
        <v>FITOSANITARIOS</v>
      </c>
      <c r="F434" s="69">
        <f>+IFERROR(INDEX(Tabla2[TC],MATCH(Compilado[[#This Row],[Mes]],Tabla2[Mes],0))*Compilado[[#This Row],[USD]],0)</f>
        <v>48004.486156181621</v>
      </c>
      <c r="G434" s="150">
        <v>45931</v>
      </c>
    </row>
    <row r="435" spans="1:7">
      <c r="A435" t="s">
        <v>190</v>
      </c>
      <c r="B435" t="s">
        <v>94</v>
      </c>
      <c r="C435" s="2">
        <v>48.63313728</v>
      </c>
      <c r="D435" t="s">
        <v>12</v>
      </c>
      <c r="E435" t="str">
        <f>+INDEX(Check!$B$5:$B$33,MATCH(Compilado[[#This Row],[Items]],Check!$C$5:$C$33,0))</f>
        <v>FITOSANITARIOS</v>
      </c>
      <c r="F435" s="69">
        <f>+IFERROR(INDEX(Tabla2[TC],MATCH(Compilado[[#This Row],[Mes]],Tabla2[Mes],0))*Compilado[[#This Row],[USD]],0)</f>
        <v>58181.43722129213</v>
      </c>
      <c r="G435" s="150">
        <v>45962</v>
      </c>
    </row>
    <row r="436" spans="1:7">
      <c r="A436" t="s">
        <v>190</v>
      </c>
      <c r="B436" t="s">
        <v>95</v>
      </c>
      <c r="C436" s="2">
        <v>40.527614399999997</v>
      </c>
      <c r="D436" t="s">
        <v>12</v>
      </c>
      <c r="E436" t="str">
        <f>+INDEX(Check!$B$5:$B$33,MATCH(Compilado[[#This Row],[Items]],Check!$C$5:$C$33,0))</f>
        <v>FITOSANITARIOS</v>
      </c>
      <c r="F436" s="69">
        <f>+IFERROR(INDEX(Tabla2[TC],MATCH(Compilado[[#This Row],[Mes]],Tabla2[Mes],0))*Compilado[[#This Row],[USD]],0)</f>
        <v>48969.376327920872</v>
      </c>
      <c r="G436" s="150">
        <v>45992</v>
      </c>
    </row>
    <row r="437" spans="1:7">
      <c r="A437" t="s">
        <v>190</v>
      </c>
      <c r="B437" t="s">
        <v>97</v>
      </c>
      <c r="C437" s="2">
        <v>72.94970592</v>
      </c>
      <c r="D437" t="s">
        <v>12</v>
      </c>
      <c r="E437" t="str">
        <f>+INDEX(Check!$B$5:$B$33,MATCH(Compilado[[#This Row],[Items]],Check!$C$5:$C$33,0))</f>
        <v>FITOSANITARIOS</v>
      </c>
      <c r="F437" s="69">
        <f>+IFERROR(INDEX(Tabla2[TC],MATCH(Compilado[[#This Row],[Mes]],Tabla2[Mes],0))*Compilado[[#This Row],[USD]],0)</f>
        <v>89916.589425801751</v>
      </c>
      <c r="G437" s="150">
        <v>46054</v>
      </c>
    </row>
    <row r="438" spans="1:7">
      <c r="A438" t="s">
        <v>190</v>
      </c>
      <c r="B438" t="s">
        <v>93</v>
      </c>
      <c r="C438" s="2">
        <v>62.132928000000007</v>
      </c>
      <c r="D438" t="s">
        <v>12</v>
      </c>
      <c r="E438" t="str">
        <f>+INDEX(Check!$B$5:$B$33,MATCH(Compilado[[#This Row],[Items]],Check!$C$5:$C$33,0))</f>
        <v>FITOSANITARIOS</v>
      </c>
      <c r="F438" s="69">
        <f>+IFERROR(INDEX(Tabla2[TC],MATCH(Compilado[[#This Row],[Mes]],Tabla2[Mes],0))*Compilado[[#This Row],[USD]],0)</f>
        <v>73595.727904947445</v>
      </c>
      <c r="G438" s="150">
        <v>45931</v>
      </c>
    </row>
    <row r="439" spans="1:7">
      <c r="A439" t="s">
        <v>190</v>
      </c>
      <c r="B439" t="s">
        <v>94</v>
      </c>
      <c r="C439" s="2">
        <v>74.559513600000002</v>
      </c>
      <c r="D439" t="s">
        <v>12</v>
      </c>
      <c r="E439" t="str">
        <f>+INDEX(Check!$B$5:$B$33,MATCH(Compilado[[#This Row],[Items]],Check!$C$5:$C$33,0))</f>
        <v>FITOSANITARIOS</v>
      </c>
      <c r="F439" s="69">
        <f>+IFERROR(INDEX(Tabla2[TC],MATCH(Compilado[[#This Row],[Mes]],Tabla2[Mes],0))*Compilado[[#This Row],[USD]],0)</f>
        <v>89198.022220796309</v>
      </c>
      <c r="G439" s="150">
        <v>45962</v>
      </c>
    </row>
    <row r="440" spans="1:7">
      <c r="A440" t="s">
        <v>190</v>
      </c>
      <c r="B440" t="s">
        <v>95</v>
      </c>
      <c r="C440" s="2">
        <v>62.132928000000007</v>
      </c>
      <c r="D440" t="s">
        <v>12</v>
      </c>
      <c r="E440" t="str">
        <f>+INDEX(Check!$B$5:$B$33,MATCH(Compilado[[#This Row],[Items]],Check!$C$5:$C$33,0))</f>
        <v>FITOSANITARIOS</v>
      </c>
      <c r="F440" s="69">
        <f>+IFERROR(INDEX(Tabla2[TC],MATCH(Compilado[[#This Row],[Mes]],Tabla2[Mes],0))*Compilado[[#This Row],[USD]],0)</f>
        <v>75075.002035836893</v>
      </c>
      <c r="G440" s="150">
        <v>45992</v>
      </c>
    </row>
    <row r="441" spans="1:7">
      <c r="A441" t="s">
        <v>190</v>
      </c>
      <c r="B441" t="s">
        <v>97</v>
      </c>
      <c r="C441" s="2">
        <v>111.8392704</v>
      </c>
      <c r="D441" t="s">
        <v>12</v>
      </c>
      <c r="E441" t="str">
        <f>+INDEX(Check!$B$5:$B$33,MATCH(Compilado[[#This Row],[Items]],Check!$C$5:$C$33,0))</f>
        <v>FITOSANITARIOS</v>
      </c>
      <c r="F441" s="69">
        <f>+IFERROR(INDEX(Tabla2[TC],MATCH(Compilado[[#This Row],[Mes]],Tabla2[Mes],0))*Compilado[[#This Row],[USD]],0)</f>
        <v>137851.21723816296</v>
      </c>
      <c r="G441" s="150">
        <v>46054</v>
      </c>
    </row>
    <row r="442" spans="1:7">
      <c r="A442" t="s">
        <v>202</v>
      </c>
      <c r="B442" t="s">
        <v>93</v>
      </c>
      <c r="C442" s="2">
        <v>12.02955</v>
      </c>
      <c r="D442" t="s">
        <v>12</v>
      </c>
      <c r="E442" t="str">
        <f>+INDEX(Check!$B$5:$B$33,MATCH(Compilado[[#This Row],[Items]],Check!$C$5:$C$33,0))</f>
        <v>FITOSANITARIOS</v>
      </c>
      <c r="F442" s="69">
        <f>+IFERROR(INDEX(Tabla2[TC],MATCH(Compilado[[#This Row],[Mes]],Tabla2[Mes],0))*Compilado[[#This Row],[USD]],0)</f>
        <v>14248.861547599374</v>
      </c>
      <c r="G442" s="150">
        <v>45931</v>
      </c>
    </row>
    <row r="443" spans="1:7">
      <c r="A443" t="s">
        <v>202</v>
      </c>
      <c r="B443" t="s">
        <v>94</v>
      </c>
      <c r="C443" s="2">
        <v>14.435460000000001</v>
      </c>
      <c r="D443" t="s">
        <v>12</v>
      </c>
      <c r="E443" t="str">
        <f>+INDEX(Check!$B$5:$B$33,MATCH(Compilado[[#This Row],[Items]],Check!$C$5:$C$33,0))</f>
        <v>FITOSANITARIOS</v>
      </c>
      <c r="F443" s="69">
        <f>+IFERROR(INDEX(Tabla2[TC],MATCH(Compilado[[#This Row],[Mes]],Tabla2[Mes],0))*Compilado[[#This Row],[USD]],0)</f>
        <v>17269.620195690444</v>
      </c>
      <c r="G443" s="150">
        <v>45962</v>
      </c>
    </row>
    <row r="444" spans="1:7">
      <c r="A444" t="s">
        <v>202</v>
      </c>
      <c r="B444" t="s">
        <v>95</v>
      </c>
      <c r="C444" s="2">
        <v>12.02955</v>
      </c>
      <c r="D444" t="s">
        <v>12</v>
      </c>
      <c r="E444" t="str">
        <f>+INDEX(Check!$B$5:$B$33,MATCH(Compilado[[#This Row],[Items]],Check!$C$5:$C$33,0))</f>
        <v>FITOSANITARIOS</v>
      </c>
      <c r="F444" s="69">
        <f>+IFERROR(INDEX(Tabla2[TC],MATCH(Compilado[[#This Row],[Mes]],Tabla2[Mes],0))*Compilado[[#This Row],[USD]],0)</f>
        <v>14535.263664706121</v>
      </c>
      <c r="G444" s="150">
        <v>45992</v>
      </c>
    </row>
    <row r="445" spans="1:7">
      <c r="A445" t="s">
        <v>202</v>
      </c>
      <c r="B445" t="s">
        <v>97</v>
      </c>
      <c r="C445" s="2">
        <v>21.653189999999999</v>
      </c>
      <c r="D445" t="s">
        <v>12</v>
      </c>
      <c r="E445" t="str">
        <f>+INDEX(Check!$B$5:$B$33,MATCH(Compilado[[#This Row],[Items]],Check!$C$5:$C$33,0))</f>
        <v>FITOSANITARIOS</v>
      </c>
      <c r="F445" s="69">
        <f>+IFERROR(INDEX(Tabla2[TC],MATCH(Compilado[[#This Row],[Mes]],Tabla2[Mes],0))*Compilado[[#This Row],[USD]],0)</f>
        <v>26689.360435860082</v>
      </c>
      <c r="G445" s="150">
        <v>46054</v>
      </c>
    </row>
    <row r="446" spans="1:7">
      <c r="A446" t="s">
        <v>202</v>
      </c>
      <c r="B446" t="s">
        <v>93</v>
      </c>
      <c r="C446" s="2">
        <v>127.6704</v>
      </c>
      <c r="D446" t="s">
        <v>12</v>
      </c>
      <c r="E446" t="str">
        <f>+INDEX(Check!$B$5:$B$33,MATCH(Compilado[[#This Row],[Items]],Check!$C$5:$C$33,0))</f>
        <v>FITOSANITARIOS</v>
      </c>
      <c r="F446" s="69">
        <f>+IFERROR(INDEX(Tabla2[TC],MATCH(Compilado[[#This Row],[Mes]],Tabla2[Mes],0))*Compilado[[#This Row],[USD]],0)</f>
        <v>151224.09843482351</v>
      </c>
      <c r="G446" s="150">
        <v>45931</v>
      </c>
    </row>
    <row r="447" spans="1:7">
      <c r="A447" t="s">
        <v>202</v>
      </c>
      <c r="B447" t="s">
        <v>94</v>
      </c>
      <c r="C447" s="2">
        <v>153.20447999999999</v>
      </c>
      <c r="D447" t="s">
        <v>12</v>
      </c>
      <c r="E447" t="str">
        <f>+INDEX(Check!$B$5:$B$33,MATCH(Compilado[[#This Row],[Items]],Check!$C$5:$C$33,0))</f>
        <v>FITOSANITARIOS</v>
      </c>
      <c r="F447" s="69">
        <f>+IFERROR(INDEX(Tabla2[TC],MATCH(Compilado[[#This Row],[Mes]],Tabla2[Mes],0))*Compilado[[#This Row],[USD]],0)</f>
        <v>183283.60730300608</v>
      </c>
      <c r="G447" s="150">
        <v>45962</v>
      </c>
    </row>
    <row r="448" spans="1:7">
      <c r="A448" t="s">
        <v>202</v>
      </c>
      <c r="B448" t="s">
        <v>95</v>
      </c>
      <c r="C448" s="2">
        <v>127.6704</v>
      </c>
      <c r="D448" t="s">
        <v>12</v>
      </c>
      <c r="E448" t="str">
        <f>+INDEX(Check!$B$5:$B$33,MATCH(Compilado[[#This Row],[Items]],Check!$C$5:$C$33,0))</f>
        <v>FITOSANITARIOS</v>
      </c>
      <c r="F448" s="69">
        <f>+IFERROR(INDEX(Tabla2[TC],MATCH(Compilado[[#This Row],[Mes]],Tabla2[Mes],0))*Compilado[[#This Row],[USD]],0)</f>
        <v>154263.70281336346</v>
      </c>
      <c r="G448" s="150">
        <v>45992</v>
      </c>
    </row>
    <row r="449" spans="1:7">
      <c r="A449" t="s">
        <v>202</v>
      </c>
      <c r="B449" t="s">
        <v>97</v>
      </c>
      <c r="C449" s="2">
        <v>229.80672000000001</v>
      </c>
      <c r="D449" t="s">
        <v>12</v>
      </c>
      <c r="E449" t="str">
        <f>+INDEX(Check!$B$5:$B$33,MATCH(Compilado[[#This Row],[Items]],Check!$C$5:$C$33,0))</f>
        <v>FITOSANITARIOS</v>
      </c>
      <c r="F449" s="69">
        <f>+IFERROR(INDEX(Tabla2[TC],MATCH(Compilado[[#This Row],[Mes]],Tabla2[Mes],0))*Compilado[[#This Row],[USD]],0)</f>
        <v>283255.92583184171</v>
      </c>
      <c r="G449" s="150">
        <v>46054</v>
      </c>
    </row>
    <row r="450" spans="1:7">
      <c r="A450" t="s">
        <v>202</v>
      </c>
      <c r="B450" t="s">
        <v>93</v>
      </c>
      <c r="C450" s="2">
        <v>76.469250000000002</v>
      </c>
      <c r="D450" t="s">
        <v>12</v>
      </c>
      <c r="E450" t="str">
        <f>+INDEX(Check!$B$5:$B$33,MATCH(Compilado[[#This Row],[Items]],Check!$C$5:$C$33,0))</f>
        <v>FITOSANITARIOS</v>
      </c>
      <c r="F450" s="69">
        <f>+IFERROR(INDEX(Tabla2[TC],MATCH(Compilado[[#This Row],[Mes]],Tabla2[Mes],0))*Compilado[[#This Row],[USD]],0)</f>
        <v>90576.93395835784</v>
      </c>
      <c r="G450" s="150">
        <v>45931</v>
      </c>
    </row>
    <row r="451" spans="1:7">
      <c r="A451" t="s">
        <v>202</v>
      </c>
      <c r="B451" t="s">
        <v>94</v>
      </c>
      <c r="C451" s="2">
        <v>91.763099999999994</v>
      </c>
      <c r="D451" t="s">
        <v>12</v>
      </c>
      <c r="E451" t="str">
        <f>+INDEX(Check!$B$5:$B$33,MATCH(Compilado[[#This Row],[Items]],Check!$C$5:$C$33,0))</f>
        <v>FITOSANITARIOS</v>
      </c>
      <c r="F451" s="69">
        <f>+IFERROR(INDEX(Tabla2[TC],MATCH(Compilado[[#This Row],[Mes]],Tabla2[Mes],0))*Compilado[[#This Row],[USD]],0)</f>
        <v>109779.24395752969</v>
      </c>
      <c r="G451" s="150">
        <v>45962</v>
      </c>
    </row>
    <row r="452" spans="1:7">
      <c r="A452" t="s">
        <v>202</v>
      </c>
      <c r="B452" t="s">
        <v>95</v>
      </c>
      <c r="C452" s="2">
        <v>76.469250000000002</v>
      </c>
      <c r="D452" t="s">
        <v>12</v>
      </c>
      <c r="E452" t="str">
        <f>+INDEX(Check!$B$5:$B$33,MATCH(Compilado[[#This Row],[Items]],Check!$C$5:$C$33,0))</f>
        <v>FITOSANITARIOS</v>
      </c>
      <c r="F452" s="69">
        <f>+IFERROR(INDEX(Tabla2[TC],MATCH(Compilado[[#This Row],[Mes]],Tabla2[Mes],0))*Compilado[[#This Row],[USD]],0)</f>
        <v>92397.530330920825</v>
      </c>
      <c r="G452" s="150">
        <v>45992</v>
      </c>
    </row>
    <row r="453" spans="1:7">
      <c r="A453" t="s">
        <v>202</v>
      </c>
      <c r="B453" t="s">
        <v>97</v>
      </c>
      <c r="C453" s="2">
        <v>137.64464999999998</v>
      </c>
      <c r="D453" t="s">
        <v>12</v>
      </c>
      <c r="E453" t="str">
        <f>+INDEX(Check!$B$5:$B$33,MATCH(Compilado[[#This Row],[Items]],Check!$C$5:$C$33,0))</f>
        <v>FITOSANITARIOS</v>
      </c>
      <c r="F453" s="69">
        <f>+IFERROR(INDEX(Tabla2[TC],MATCH(Compilado[[#This Row],[Mes]],Tabla2[Mes],0))*Compilado[[#This Row],[USD]],0)</f>
        <v>169658.49724303017</v>
      </c>
      <c r="G453" s="150">
        <v>46054</v>
      </c>
    </row>
    <row r="454" spans="1:7">
      <c r="A454" t="s">
        <v>202</v>
      </c>
      <c r="B454" t="s">
        <v>93</v>
      </c>
      <c r="C454" s="2">
        <v>45.226272000000009</v>
      </c>
      <c r="D454" t="s">
        <v>12</v>
      </c>
      <c r="E454" t="str">
        <f>+INDEX(Check!$B$5:$B$33,MATCH(Compilado[[#This Row],[Items]],Check!$C$5:$C$33,0))</f>
        <v>FITOSANITARIOS</v>
      </c>
      <c r="F454" s="69">
        <f>+IFERROR(INDEX(Tabla2[TC],MATCH(Compilado[[#This Row],[Mes]],Tabla2[Mes],0))*Compilado[[#This Row],[USD]],0)</f>
        <v>53569.991233426881</v>
      </c>
      <c r="G454" s="150">
        <v>45931</v>
      </c>
    </row>
    <row r="455" spans="1:7">
      <c r="A455" t="s">
        <v>202</v>
      </c>
      <c r="B455" t="s">
        <v>94</v>
      </c>
      <c r="C455" s="2">
        <v>54.271526400000006</v>
      </c>
      <c r="D455" t="s">
        <v>12</v>
      </c>
      <c r="E455" t="str">
        <f>+INDEX(Check!$B$5:$B$33,MATCH(Compilado[[#This Row],[Items]],Check!$C$5:$C$33,0))</f>
        <v>FITOSANITARIOS</v>
      </c>
      <c r="F455" s="69">
        <f>+IFERROR(INDEX(Tabla2[TC],MATCH(Compilado[[#This Row],[Mes]],Tabla2[Mes],0))*Compilado[[#This Row],[USD]],0)</f>
        <v>64926.829374913381</v>
      </c>
      <c r="G455" s="150">
        <v>45962</v>
      </c>
    </row>
    <row r="456" spans="1:7">
      <c r="A456" t="s">
        <v>202</v>
      </c>
      <c r="B456" t="s">
        <v>95</v>
      </c>
      <c r="C456" s="2">
        <v>45.226272000000009</v>
      </c>
      <c r="D456" t="s">
        <v>12</v>
      </c>
      <c r="E456" t="str">
        <f>+INDEX(Check!$B$5:$B$33,MATCH(Compilado[[#This Row],[Items]],Check!$C$5:$C$33,0))</f>
        <v>FITOSANITARIOS</v>
      </c>
      <c r="F456" s="69">
        <f>+IFERROR(INDEX(Tabla2[TC],MATCH(Compilado[[#This Row],[Mes]],Tabla2[Mes],0))*Compilado[[#This Row],[USD]],0)</f>
        <v>54646.748057218763</v>
      </c>
      <c r="G456" s="150">
        <v>45992</v>
      </c>
    </row>
    <row r="457" spans="1:7">
      <c r="A457" t="s">
        <v>202</v>
      </c>
      <c r="B457" t="s">
        <v>97</v>
      </c>
      <c r="C457" s="2">
        <v>81.407289600000013</v>
      </c>
      <c r="D457" t="s">
        <v>12</v>
      </c>
      <c r="E457" t="str">
        <f>+INDEX(Check!$B$5:$B$33,MATCH(Compilado[[#This Row],[Items]],Check!$C$5:$C$33,0))</f>
        <v>FITOSANITARIOS</v>
      </c>
      <c r="F457" s="69">
        <f>+IFERROR(INDEX(Tabla2[TC],MATCH(Compilado[[#This Row],[Mes]],Tabla2[Mes],0))*Compilado[[#This Row],[USD]],0)</f>
        <v>100341.26584770394</v>
      </c>
      <c r="G457" s="150">
        <v>46054</v>
      </c>
    </row>
    <row r="458" spans="1:7">
      <c r="A458" t="s">
        <v>202</v>
      </c>
      <c r="B458" t="s">
        <v>93</v>
      </c>
      <c r="C458" s="2">
        <v>70.726500000000016</v>
      </c>
      <c r="D458" t="s">
        <v>12</v>
      </c>
      <c r="E458" t="str">
        <f>+INDEX(Check!$B$5:$B$33,MATCH(Compilado[[#This Row],[Items]],Check!$C$5:$C$33,0))</f>
        <v>FITOSANITARIOS</v>
      </c>
      <c r="F458" s="69">
        <f>+IFERROR(INDEX(Tabla2[TC],MATCH(Compilado[[#This Row],[Mes]],Tabla2[Mes],0))*Compilado[[#This Row],[USD]],0)</f>
        <v>83774.71362156418</v>
      </c>
      <c r="G458" s="150">
        <v>45931</v>
      </c>
    </row>
    <row r="459" spans="1:7">
      <c r="A459" t="s">
        <v>202</v>
      </c>
      <c r="B459" t="s">
        <v>94</v>
      </c>
      <c r="C459" s="2">
        <v>84.871799999999993</v>
      </c>
      <c r="D459" t="s">
        <v>12</v>
      </c>
      <c r="E459" t="str">
        <f>+INDEX(Check!$B$5:$B$33,MATCH(Compilado[[#This Row],[Items]],Check!$C$5:$C$33,0))</f>
        <v>FITOSANITARIOS</v>
      </c>
      <c r="F459" s="69">
        <f>+IFERROR(INDEX(Tabla2[TC],MATCH(Compilado[[#This Row],[Mes]],Tabla2[Mes],0))*Compilado[[#This Row],[USD]],0)</f>
        <v>101534.95290933576</v>
      </c>
      <c r="G459" s="150">
        <v>45962</v>
      </c>
    </row>
    <row r="460" spans="1:7">
      <c r="A460" t="s">
        <v>202</v>
      </c>
      <c r="B460" t="s">
        <v>95</v>
      </c>
      <c r="C460" s="2">
        <v>70.726500000000016</v>
      </c>
      <c r="D460" t="s">
        <v>12</v>
      </c>
      <c r="E460" t="str">
        <f>+INDEX(Check!$B$5:$B$33,MATCH(Compilado[[#This Row],[Items]],Check!$C$5:$C$33,0))</f>
        <v>FITOSANITARIOS</v>
      </c>
      <c r="F460" s="69">
        <f>+IFERROR(INDEX(Tabla2[TC],MATCH(Compilado[[#This Row],[Mes]],Tabla2[Mes],0))*Compilado[[#This Row],[USD]],0)</f>
        <v>85458.58536535762</v>
      </c>
      <c r="G460" s="150">
        <v>45992</v>
      </c>
    </row>
    <row r="461" spans="1:7">
      <c r="A461" t="s">
        <v>202</v>
      </c>
      <c r="B461" t="s">
        <v>97</v>
      </c>
      <c r="C461" s="2">
        <v>127.3077</v>
      </c>
      <c r="D461" t="s">
        <v>12</v>
      </c>
      <c r="E461" t="str">
        <f>+INDEX(Check!$B$5:$B$33,MATCH(Compilado[[#This Row],[Items]],Check!$C$5:$C$33,0))</f>
        <v>FITOSANITARIOS</v>
      </c>
      <c r="F461" s="69">
        <f>+IFERROR(INDEX(Tabla2[TC],MATCH(Compilado[[#This Row],[Mes]],Tabla2[Mes],0))*Compilado[[#This Row],[USD]],0)</f>
        <v>156917.34527616229</v>
      </c>
      <c r="G461" s="150">
        <v>46054</v>
      </c>
    </row>
    <row r="462" spans="1:7">
      <c r="A462" t="s">
        <v>202</v>
      </c>
      <c r="B462" t="s">
        <v>93</v>
      </c>
      <c r="C462" s="2">
        <v>316.83850000000001</v>
      </c>
      <c r="D462" t="s">
        <v>12</v>
      </c>
      <c r="E462" t="str">
        <f>+INDEX(Check!$B$5:$B$33,MATCH(Compilado[[#This Row],[Items]],Check!$C$5:$C$33,0))</f>
        <v>FITOSANITARIOS</v>
      </c>
      <c r="F462" s="69">
        <f>+IFERROR(INDEX(Tabla2[TC],MATCH(Compilado[[#This Row],[Mes]],Tabla2[Mes],0))*Compilado[[#This Row],[USD]],0)</f>
        <v>375291.50462395221</v>
      </c>
      <c r="G462" s="150">
        <v>45931</v>
      </c>
    </row>
    <row r="463" spans="1:7">
      <c r="A463" t="s">
        <v>202</v>
      </c>
      <c r="B463" t="s">
        <v>94</v>
      </c>
      <c r="C463" s="2">
        <v>380.20620000000002</v>
      </c>
      <c r="D463" t="s">
        <v>12</v>
      </c>
      <c r="E463" t="str">
        <f>+INDEX(Check!$B$5:$B$33,MATCH(Compilado[[#This Row],[Items]],Check!$C$5:$C$33,0))</f>
        <v>FITOSANITARIOS</v>
      </c>
      <c r="F463" s="69">
        <f>+IFERROR(INDEX(Tabla2[TC],MATCH(Compilado[[#This Row],[Mes]],Tabla2[Mes],0))*Compilado[[#This Row],[USD]],0)</f>
        <v>454853.30360423011</v>
      </c>
      <c r="G463" s="150">
        <v>45962</v>
      </c>
    </row>
    <row r="464" spans="1:7">
      <c r="A464" t="s">
        <v>202</v>
      </c>
      <c r="B464" t="s">
        <v>95</v>
      </c>
      <c r="C464" s="2">
        <v>316.83850000000001</v>
      </c>
      <c r="D464" t="s">
        <v>12</v>
      </c>
      <c r="E464" t="str">
        <f>+INDEX(Check!$B$5:$B$33,MATCH(Compilado[[#This Row],[Items]],Check!$C$5:$C$33,0))</f>
        <v>FITOSANITARIOS</v>
      </c>
      <c r="F464" s="69">
        <f>+IFERROR(INDEX(Tabla2[TC],MATCH(Compilado[[#This Row],[Mes]],Tabla2[Mes],0))*Compilado[[#This Row],[USD]],0)</f>
        <v>382834.86386689363</v>
      </c>
      <c r="G464" s="150">
        <v>45992</v>
      </c>
    </row>
    <row r="465" spans="1:7">
      <c r="A465" t="s">
        <v>202</v>
      </c>
      <c r="B465" t="s">
        <v>97</v>
      </c>
      <c r="C465" s="2">
        <v>570.30929999999989</v>
      </c>
      <c r="D465" t="s">
        <v>12</v>
      </c>
      <c r="E465" t="str">
        <f>+INDEX(Check!$B$5:$B$33,MATCH(Compilado[[#This Row],[Items]],Check!$C$5:$C$33,0))</f>
        <v>FITOSANITARIOS</v>
      </c>
      <c r="F465" s="69">
        <f>+IFERROR(INDEX(Tabla2[TC],MATCH(Compilado[[#This Row],[Mes]],Tabla2[Mes],0))*Compilado[[#This Row],[USD]],0)</f>
        <v>702953.72033511254</v>
      </c>
      <c r="G465" s="150">
        <v>46054</v>
      </c>
    </row>
    <row r="466" spans="1:7">
      <c r="A466" t="s">
        <v>203</v>
      </c>
      <c r="B466" t="s">
        <v>93</v>
      </c>
      <c r="C466" s="2">
        <v>494.23919999999993</v>
      </c>
      <c r="D466" t="s">
        <v>12</v>
      </c>
      <c r="E466" t="str">
        <f>+INDEX(Check!$B$5:$B$33,MATCH(Compilado[[#This Row],[Items]],Check!$C$5:$C$33,0))</f>
        <v>FITOSANITARIOS</v>
      </c>
      <c r="F466" s="69">
        <f>+IFERROR(INDEX(Tabla2[TC],MATCH(Compilado[[#This Row],[Mes]],Tabla2[Mes],0))*Compilado[[#This Row],[USD]],0)</f>
        <v>585420.56288026366</v>
      </c>
      <c r="G466" s="150">
        <v>45931</v>
      </c>
    </row>
    <row r="467" spans="1:7">
      <c r="A467" t="s">
        <v>203</v>
      </c>
      <c r="B467" t="s">
        <v>94</v>
      </c>
      <c r="C467" s="2">
        <v>593.08703999999989</v>
      </c>
      <c r="D467" t="s">
        <v>12</v>
      </c>
      <c r="E467" t="str">
        <f>+INDEX(Check!$B$5:$B$33,MATCH(Compilado[[#This Row],[Items]],Check!$C$5:$C$33,0))</f>
        <v>FITOSANITARIOS</v>
      </c>
      <c r="F467" s="69">
        <f>+IFERROR(INDEX(Tabla2[TC],MATCH(Compilado[[#This Row],[Mes]],Tabla2[Mes],0))*Compilado[[#This Row],[USD]],0)</f>
        <v>709529.72221087955</v>
      </c>
      <c r="G467" s="150">
        <v>45962</v>
      </c>
    </row>
    <row r="468" spans="1:7">
      <c r="A468" t="s">
        <v>203</v>
      </c>
      <c r="B468" t="s">
        <v>95</v>
      </c>
      <c r="C468" s="2">
        <v>494.23919999999993</v>
      </c>
      <c r="D468" t="s">
        <v>12</v>
      </c>
      <c r="E468" t="str">
        <f>+INDEX(Check!$B$5:$B$33,MATCH(Compilado[[#This Row],[Items]],Check!$C$5:$C$33,0))</f>
        <v>FITOSANITARIOS</v>
      </c>
      <c r="F468" s="69">
        <f>+IFERROR(INDEX(Tabla2[TC],MATCH(Compilado[[#This Row],[Mes]],Tabla2[Mes],0))*Compilado[[#This Row],[USD]],0)</f>
        <v>597187.51619415695</v>
      </c>
      <c r="G468" s="150">
        <v>45992</v>
      </c>
    </row>
    <row r="469" spans="1:7">
      <c r="A469" t="s">
        <v>203</v>
      </c>
      <c r="B469" t="s">
        <v>97</v>
      </c>
      <c r="C469" s="2">
        <v>889.63055999999972</v>
      </c>
      <c r="D469" t="s">
        <v>12</v>
      </c>
      <c r="E469" t="str">
        <f>+INDEX(Check!$B$5:$B$33,MATCH(Compilado[[#This Row],[Items]],Check!$C$5:$C$33,0))</f>
        <v>FITOSANITARIOS</v>
      </c>
      <c r="F469" s="69">
        <f>+IFERROR(INDEX(Tabla2[TC],MATCH(Compilado[[#This Row],[Mes]],Tabla2[Mes],0))*Compilado[[#This Row],[USD]],0)</f>
        <v>1096543.7734853867</v>
      </c>
      <c r="G469" s="150">
        <v>46054</v>
      </c>
    </row>
    <row r="470" spans="1:7">
      <c r="A470" t="s">
        <v>203</v>
      </c>
      <c r="B470" t="s">
        <v>93</v>
      </c>
      <c r="C470" s="2">
        <v>414.92880000000008</v>
      </c>
      <c r="D470" t="s">
        <v>12</v>
      </c>
      <c r="E470" t="str">
        <f>+INDEX(Check!$B$5:$B$33,MATCH(Compilado[[#This Row],[Items]],Check!$C$5:$C$33,0))</f>
        <v>FITOSANITARIOS</v>
      </c>
      <c r="F470" s="69">
        <f>+IFERROR(INDEX(Tabla2[TC],MATCH(Compilado[[#This Row],[Mes]],Tabla2[Mes],0))*Compilado[[#This Row],[USD]],0)</f>
        <v>491478.31991317647</v>
      </c>
      <c r="G470" s="150">
        <v>45931</v>
      </c>
    </row>
    <row r="471" spans="1:7">
      <c r="A471" t="s">
        <v>203</v>
      </c>
      <c r="B471" t="s">
        <v>94</v>
      </c>
      <c r="C471" s="2">
        <v>497.91456000000011</v>
      </c>
      <c r="D471" t="s">
        <v>12</v>
      </c>
      <c r="E471" t="str">
        <f>+INDEX(Check!$B$5:$B$33,MATCH(Compilado[[#This Row],[Items]],Check!$C$5:$C$33,0))</f>
        <v>FITOSANITARIOS</v>
      </c>
      <c r="F471" s="69">
        <f>+IFERROR(INDEX(Tabla2[TC],MATCH(Compilado[[#This Row],[Mes]],Tabla2[Mes],0))*Compilado[[#This Row],[USD]],0)</f>
        <v>595671.72373476997</v>
      </c>
      <c r="G471" s="150">
        <v>45962</v>
      </c>
    </row>
    <row r="472" spans="1:7">
      <c r="A472" t="s">
        <v>203</v>
      </c>
      <c r="B472" t="s">
        <v>95</v>
      </c>
      <c r="C472" s="2">
        <v>414.92880000000008</v>
      </c>
      <c r="D472" t="s">
        <v>12</v>
      </c>
      <c r="E472" t="str">
        <f>+INDEX(Check!$B$5:$B$33,MATCH(Compilado[[#This Row],[Items]],Check!$C$5:$C$33,0))</f>
        <v>FITOSANITARIOS</v>
      </c>
      <c r="F472" s="69">
        <f>+IFERROR(INDEX(Tabla2[TC],MATCH(Compilado[[#This Row],[Mes]],Tabla2[Mes],0))*Compilado[[#This Row],[USD]],0)</f>
        <v>501357.03414343135</v>
      </c>
      <c r="G472" s="150">
        <v>45992</v>
      </c>
    </row>
    <row r="473" spans="1:7">
      <c r="A473" t="s">
        <v>203</v>
      </c>
      <c r="B473" t="s">
        <v>97</v>
      </c>
      <c r="C473" s="2">
        <v>746.87184000000002</v>
      </c>
      <c r="D473" t="s">
        <v>12</v>
      </c>
      <c r="E473" t="str">
        <f>+INDEX(Check!$B$5:$B$33,MATCH(Compilado[[#This Row],[Items]],Check!$C$5:$C$33,0))</f>
        <v>FITOSANITARIOS</v>
      </c>
      <c r="F473" s="69">
        <f>+IFERROR(INDEX(Tabla2[TC],MATCH(Compilado[[#This Row],[Mes]],Tabla2[Mes],0))*Compilado[[#This Row],[USD]],0)</f>
        <v>920581.75895348552</v>
      </c>
      <c r="G473" s="150">
        <v>46054</v>
      </c>
    </row>
    <row r="474" spans="1:7">
      <c r="A474" t="s">
        <v>204</v>
      </c>
      <c r="B474" t="s">
        <v>93</v>
      </c>
      <c r="C474" s="2">
        <v>368.912109375</v>
      </c>
      <c r="D474" t="s">
        <v>12</v>
      </c>
      <c r="E474" t="str">
        <f>+INDEX(Check!$B$5:$B$33,MATCH(Compilado[[#This Row],[Items]],Check!$C$5:$C$33,0))</f>
        <v>FITOSANITARIOS</v>
      </c>
      <c r="F474" s="69">
        <f>+IFERROR(INDEX(Tabla2[TC],MATCH(Compilado[[#This Row],[Mes]],Tabla2[Mes],0))*Compilado[[#This Row],[USD]],0)</f>
        <v>436972.08704541833</v>
      </c>
      <c r="G474" s="150">
        <v>45931</v>
      </c>
    </row>
    <row r="475" spans="1:7">
      <c r="A475" t="s">
        <v>204</v>
      </c>
      <c r="B475" t="s">
        <v>94</v>
      </c>
      <c r="C475" s="2">
        <v>442.6945312499999</v>
      </c>
      <c r="D475" t="s">
        <v>12</v>
      </c>
      <c r="E475" t="str">
        <f>+INDEX(Check!$B$5:$B$33,MATCH(Compilado[[#This Row],[Items]],Check!$C$5:$C$33,0))</f>
        <v>FITOSANITARIOS</v>
      </c>
      <c r="F475" s="69">
        <f>+IFERROR(INDEX(Tabla2[TC],MATCH(Compilado[[#This Row],[Mes]],Tabla2[Mes],0))*Compilado[[#This Row],[USD]],0)</f>
        <v>529610.16949904687</v>
      </c>
      <c r="G475" s="150">
        <v>45962</v>
      </c>
    </row>
    <row r="476" spans="1:7">
      <c r="A476" t="s">
        <v>204</v>
      </c>
      <c r="B476" t="s">
        <v>95</v>
      </c>
      <c r="C476" s="2">
        <v>368.912109375</v>
      </c>
      <c r="D476" t="s">
        <v>12</v>
      </c>
      <c r="E476" t="str">
        <f>+INDEX(Check!$B$5:$B$33,MATCH(Compilado[[#This Row],[Items]],Check!$C$5:$C$33,0))</f>
        <v>FITOSANITARIOS</v>
      </c>
      <c r="F476" s="69">
        <f>+IFERROR(INDEX(Tabla2[TC],MATCH(Compilado[[#This Row],[Mes]],Tabla2[Mes],0))*Compilado[[#This Row],[USD]],0)</f>
        <v>445755.22599503124</v>
      </c>
      <c r="G476" s="150">
        <v>45992</v>
      </c>
    </row>
    <row r="477" spans="1:7">
      <c r="A477" t="s">
        <v>204</v>
      </c>
      <c r="B477" t="s">
        <v>97</v>
      </c>
      <c r="C477" s="2">
        <v>664.04179687499993</v>
      </c>
      <c r="D477" t="s">
        <v>12</v>
      </c>
      <c r="E477" t="str">
        <f>+INDEX(Check!$B$5:$B$33,MATCH(Compilado[[#This Row],[Items]],Check!$C$5:$C$33,0))</f>
        <v>FITOSANITARIOS</v>
      </c>
      <c r="F477" s="69">
        <f>+IFERROR(INDEX(Tabla2[TC],MATCH(Compilado[[#This Row],[Mes]],Tabla2[Mes],0))*Compilado[[#This Row],[USD]],0)</f>
        <v>818486.83086755627</v>
      </c>
      <c r="G477" s="150">
        <v>46054</v>
      </c>
    </row>
    <row r="478" spans="1:7">
      <c r="A478" t="s">
        <v>204</v>
      </c>
      <c r="B478" t="s">
        <v>93</v>
      </c>
      <c r="C478" s="2">
        <v>128.03764309625936</v>
      </c>
      <c r="D478" t="s">
        <v>12</v>
      </c>
      <c r="E478" t="str">
        <f>+INDEX(Check!$B$5:$B$33,MATCH(Compilado[[#This Row],[Items]],Check!$C$5:$C$33,0))</f>
        <v>FITOSANITARIOS</v>
      </c>
      <c r="F478" s="69">
        <f>+IFERROR(INDEX(Tabla2[TC],MATCH(Compilado[[#This Row],[Mes]],Tabla2[Mes],0))*Compilado[[#This Row],[USD]],0)</f>
        <v>151659.09359531675</v>
      </c>
      <c r="G478" s="150">
        <v>45931</v>
      </c>
    </row>
    <row r="479" spans="1:7">
      <c r="A479" t="s">
        <v>204</v>
      </c>
      <c r="B479" t="s">
        <v>94</v>
      </c>
      <c r="C479" s="2">
        <v>153.64517171551122</v>
      </c>
      <c r="D479" t="s">
        <v>12</v>
      </c>
      <c r="E479" t="str">
        <f>+INDEX(Check!$B$5:$B$33,MATCH(Compilado[[#This Row],[Items]],Check!$C$5:$C$33,0))</f>
        <v>FITOSANITARIOS</v>
      </c>
      <c r="F479" s="69">
        <f>+IFERROR(INDEX(Tabla2[TC],MATCH(Compilado[[#This Row],[Mes]],Tabla2[Mes],0))*Compilado[[#This Row],[USD]],0)</f>
        <v>183810.82143752387</v>
      </c>
      <c r="G479" s="150">
        <v>45962</v>
      </c>
    </row>
    <row r="480" spans="1:7">
      <c r="A480" t="s">
        <v>204</v>
      </c>
      <c r="B480" t="s">
        <v>95</v>
      </c>
      <c r="C480" s="2">
        <v>128.03764309625936</v>
      </c>
      <c r="D480" t="s">
        <v>12</v>
      </c>
      <c r="E480" t="str">
        <f>+INDEX(Check!$B$5:$B$33,MATCH(Compilado[[#This Row],[Items]],Check!$C$5:$C$33,0))</f>
        <v>FITOSANITARIOS</v>
      </c>
      <c r="F480" s="69">
        <f>+IFERROR(INDEX(Tabla2[TC],MATCH(Compilado[[#This Row],[Mes]],Tabla2[Mes],0))*Compilado[[#This Row],[USD]],0)</f>
        <v>154707.4413765826</v>
      </c>
      <c r="G480" s="150">
        <v>45992</v>
      </c>
    </row>
    <row r="481" spans="1:7">
      <c r="A481" t="s">
        <v>204</v>
      </c>
      <c r="B481" t="s">
        <v>97</v>
      </c>
      <c r="C481" s="2">
        <v>230.46775757326679</v>
      </c>
      <c r="D481" t="s">
        <v>12</v>
      </c>
      <c r="E481" t="str">
        <f>+INDEX(Check!$B$5:$B$33,MATCH(Compilado[[#This Row],[Items]],Check!$C$5:$C$33,0))</f>
        <v>FITOSANITARIOS</v>
      </c>
      <c r="F481" s="69">
        <f>+IFERROR(INDEX(Tabla2[TC],MATCH(Compilado[[#This Row],[Mes]],Tabla2[Mes],0))*Compilado[[#This Row],[USD]],0)</f>
        <v>284070.70970685338</v>
      </c>
      <c r="G481" s="150">
        <v>46054</v>
      </c>
    </row>
    <row r="482" spans="1:7">
      <c r="A482" t="s">
        <v>204</v>
      </c>
      <c r="B482" t="s">
        <v>93</v>
      </c>
      <c r="C482" s="2">
        <v>75.199218749999986</v>
      </c>
      <c r="D482" t="s">
        <v>12</v>
      </c>
      <c r="E482" t="str">
        <f>+INDEX(Check!$B$5:$B$33,MATCH(Compilado[[#This Row],[Items]],Check!$C$5:$C$33,0))</f>
        <v>FITOSANITARIOS</v>
      </c>
      <c r="F482" s="69">
        <f>+IFERROR(INDEX(Tabla2[TC],MATCH(Compilado[[#This Row],[Mes]],Tabla2[Mes],0))*Compilado[[#This Row],[USD]],0)</f>
        <v>89072.596768489981</v>
      </c>
      <c r="G482" s="150">
        <v>45931</v>
      </c>
    </row>
    <row r="483" spans="1:7">
      <c r="A483" t="s">
        <v>204</v>
      </c>
      <c r="B483" t="s">
        <v>94</v>
      </c>
      <c r="C483" s="2">
        <v>90.239062499999989</v>
      </c>
      <c r="D483" t="s">
        <v>12</v>
      </c>
      <c r="E483" t="str">
        <f>+INDEX(Check!$B$5:$B$33,MATCH(Compilado[[#This Row],[Items]],Check!$C$5:$C$33,0))</f>
        <v>FITOSANITARIOS</v>
      </c>
      <c r="F483" s="69">
        <f>+IFERROR(INDEX(Tabla2[TC],MATCH(Compilado[[#This Row],[Mes]],Tabla2[Mes],0))*Compilado[[#This Row],[USD]],0)</f>
        <v>107955.98728340986</v>
      </c>
      <c r="G483" s="150">
        <v>45962</v>
      </c>
    </row>
    <row r="484" spans="1:7">
      <c r="A484" t="s">
        <v>204</v>
      </c>
      <c r="B484" t="s">
        <v>95</v>
      </c>
      <c r="C484" s="2">
        <v>75.199218749999986</v>
      </c>
      <c r="D484" t="s">
        <v>12</v>
      </c>
      <c r="E484" t="str">
        <f>+INDEX(Check!$B$5:$B$33,MATCH(Compilado[[#This Row],[Items]],Check!$C$5:$C$33,0))</f>
        <v>FITOSANITARIOS</v>
      </c>
      <c r="F484" s="69">
        <f>+IFERROR(INDEX(Tabla2[TC],MATCH(Compilado[[#This Row],[Mes]],Tabla2[Mes],0))*Compilado[[#This Row],[USD]],0)</f>
        <v>90862.955963536631</v>
      </c>
      <c r="G484" s="150">
        <v>45992</v>
      </c>
    </row>
    <row r="485" spans="1:7">
      <c r="A485" t="s">
        <v>204</v>
      </c>
      <c r="B485" t="s">
        <v>97</v>
      </c>
      <c r="C485" s="2">
        <v>135.35859374999998</v>
      </c>
      <c r="D485" t="s">
        <v>12</v>
      </c>
      <c r="E485" t="str">
        <f>+INDEX(Check!$B$5:$B$33,MATCH(Compilado[[#This Row],[Items]],Check!$C$5:$C$33,0))</f>
        <v>FITOSANITARIOS</v>
      </c>
      <c r="F485" s="69">
        <f>+IFERROR(INDEX(Tabla2[TC],MATCH(Compilado[[#This Row],[Mes]],Tabla2[Mes],0))*Compilado[[#This Row],[USD]],0)</f>
        <v>166840.74248112668</v>
      </c>
      <c r="G485" s="150">
        <v>46054</v>
      </c>
    </row>
    <row r="486" spans="1:7">
      <c r="A486" t="s">
        <v>204</v>
      </c>
      <c r="B486" t="s">
        <v>93</v>
      </c>
      <c r="C486" s="2">
        <v>0</v>
      </c>
      <c r="D486" t="s">
        <v>12</v>
      </c>
      <c r="E486" t="str">
        <f>+INDEX(Check!$B$5:$B$33,MATCH(Compilado[[#This Row],[Items]],Check!$C$5:$C$33,0))</f>
        <v>FITOSANITARIOS</v>
      </c>
      <c r="F486" s="69">
        <f>+IFERROR(INDEX(Tabla2[TC],MATCH(Compilado[[#This Row],[Mes]],Tabla2[Mes],0))*Compilado[[#This Row],[USD]],0)</f>
        <v>0</v>
      </c>
      <c r="G486" s="150">
        <v>45931</v>
      </c>
    </row>
    <row r="487" spans="1:7">
      <c r="A487" t="s">
        <v>204</v>
      </c>
      <c r="B487" t="s">
        <v>94</v>
      </c>
      <c r="C487" s="2">
        <v>0</v>
      </c>
      <c r="D487" t="s">
        <v>12</v>
      </c>
      <c r="E487" t="str">
        <f>+INDEX(Check!$B$5:$B$33,MATCH(Compilado[[#This Row],[Items]],Check!$C$5:$C$33,0))</f>
        <v>FITOSANITARIOS</v>
      </c>
      <c r="F487" s="69">
        <f>+IFERROR(INDEX(Tabla2[TC],MATCH(Compilado[[#This Row],[Mes]],Tabla2[Mes],0))*Compilado[[#This Row],[USD]],0)</f>
        <v>0</v>
      </c>
      <c r="G487" s="150">
        <v>45962</v>
      </c>
    </row>
    <row r="488" spans="1:7">
      <c r="A488" t="s">
        <v>204</v>
      </c>
      <c r="B488" t="s">
        <v>95</v>
      </c>
      <c r="C488" s="2">
        <v>0</v>
      </c>
      <c r="D488" t="s">
        <v>12</v>
      </c>
      <c r="E488" t="str">
        <f>+INDEX(Check!$B$5:$B$33,MATCH(Compilado[[#This Row],[Items]],Check!$C$5:$C$33,0))</f>
        <v>FITOSANITARIOS</v>
      </c>
      <c r="F488" s="69">
        <f>+IFERROR(INDEX(Tabla2[TC],MATCH(Compilado[[#This Row],[Mes]],Tabla2[Mes],0))*Compilado[[#This Row],[USD]],0)</f>
        <v>0</v>
      </c>
      <c r="G488" s="150">
        <v>45992</v>
      </c>
    </row>
    <row r="489" spans="1:7">
      <c r="A489" t="s">
        <v>204</v>
      </c>
      <c r="B489" t="s">
        <v>97</v>
      </c>
      <c r="C489" s="2">
        <v>0</v>
      </c>
      <c r="D489" t="s">
        <v>12</v>
      </c>
      <c r="E489" t="str">
        <f>+INDEX(Check!$B$5:$B$33,MATCH(Compilado[[#This Row],[Items]],Check!$C$5:$C$33,0))</f>
        <v>FITOSANITARIOS</v>
      </c>
      <c r="F489" s="69">
        <f>+IFERROR(INDEX(Tabla2[TC],MATCH(Compilado[[#This Row],[Mes]],Tabla2[Mes],0))*Compilado[[#This Row],[USD]],0)</f>
        <v>0</v>
      </c>
      <c r="G489" s="150">
        <v>46054</v>
      </c>
    </row>
    <row r="490" spans="1:7">
      <c r="A490" t="s">
        <v>205</v>
      </c>
      <c r="B490" t="s">
        <v>93</v>
      </c>
      <c r="C490" s="2">
        <v>4.7048648000000011</v>
      </c>
      <c r="D490" t="s">
        <v>12</v>
      </c>
      <c r="E490" t="str">
        <f>+INDEX(Check!$B$5:$B$33,MATCH(Compilado[[#This Row],[Items]],Check!$C$5:$C$33,0))</f>
        <v>FITOSANITARIOS</v>
      </c>
      <c r="F490" s="69">
        <f>+IFERROR(INDEX(Tabla2[TC],MATCH(Compilado[[#This Row],[Mes]],Tabla2[Mes],0))*Compilado[[#This Row],[USD]],0)</f>
        <v>5572.8574331852678</v>
      </c>
      <c r="G490" s="150">
        <v>45931</v>
      </c>
    </row>
    <row r="491" spans="1:7">
      <c r="A491" t="s">
        <v>205</v>
      </c>
      <c r="B491" t="s">
        <v>94</v>
      </c>
      <c r="C491" s="2">
        <v>5.6458377600000009</v>
      </c>
      <c r="D491" t="s">
        <v>12</v>
      </c>
      <c r="E491" t="str">
        <f>+INDEX(Check!$B$5:$B$33,MATCH(Compilado[[#This Row],[Items]],Check!$C$5:$C$33,0))</f>
        <v>FITOSANITARIOS</v>
      </c>
      <c r="F491" s="69">
        <f>+IFERROR(INDEX(Tabla2[TC],MATCH(Compilado[[#This Row],[Mes]],Tabla2[Mes],0))*Compilado[[#This Row],[USD]],0)</f>
        <v>6754.3032090205443</v>
      </c>
      <c r="G491" s="150">
        <v>45962</v>
      </c>
    </row>
    <row r="492" spans="1:7">
      <c r="A492" t="s">
        <v>205</v>
      </c>
      <c r="B492" t="s">
        <v>95</v>
      </c>
      <c r="C492" s="2">
        <v>4.7048648000000011</v>
      </c>
      <c r="D492" t="s">
        <v>12</v>
      </c>
      <c r="E492" t="str">
        <f>+INDEX(Check!$B$5:$B$33,MATCH(Compilado[[#This Row],[Items]],Check!$C$5:$C$33,0))</f>
        <v>FITOSANITARIOS</v>
      </c>
      <c r="F492" s="69">
        <f>+IFERROR(INDEX(Tabla2[TC],MATCH(Compilado[[#This Row],[Mes]],Tabla2[Mes],0))*Compilado[[#This Row],[USD]],0)</f>
        <v>5684.871867592291</v>
      </c>
      <c r="G492" s="150">
        <v>45992</v>
      </c>
    </row>
    <row r="493" spans="1:7">
      <c r="A493" t="s">
        <v>205</v>
      </c>
      <c r="B493" t="s">
        <v>97</v>
      </c>
      <c r="C493" s="2">
        <v>8.4687566400000005</v>
      </c>
      <c r="D493" t="s">
        <v>12</v>
      </c>
      <c r="E493" t="str">
        <f>+INDEX(Check!$B$5:$B$33,MATCH(Compilado[[#This Row],[Items]],Check!$C$5:$C$33,0))</f>
        <v>FITOSANITARIOS</v>
      </c>
      <c r="F493" s="69">
        <f>+IFERROR(INDEX(Tabla2[TC],MATCH(Compilado[[#This Row],[Mes]],Tabla2[Mes],0))*Compilado[[#This Row],[USD]],0)</f>
        <v>10438.448025835611</v>
      </c>
      <c r="G493" s="150">
        <v>46054</v>
      </c>
    </row>
    <row r="494" spans="1:7">
      <c r="A494" t="s">
        <v>205</v>
      </c>
      <c r="B494" t="s">
        <v>93</v>
      </c>
      <c r="C494" s="2">
        <v>94.864000000000004</v>
      </c>
      <c r="D494" t="s">
        <v>12</v>
      </c>
      <c r="E494" t="str">
        <f>+INDEX(Check!$B$5:$B$33,MATCH(Compilado[[#This Row],[Items]],Check!$C$5:$C$33,0))</f>
        <v>FITOSANITARIOS</v>
      </c>
      <c r="F494" s="69">
        <f>+IFERROR(INDEX(Tabla2[TC],MATCH(Compilado[[#This Row],[Mes]],Tabla2[Mes],0))*Compilado[[#This Row],[USD]],0)</f>
        <v>112365.3006015576</v>
      </c>
      <c r="G494" s="150">
        <v>45931</v>
      </c>
    </row>
    <row r="495" spans="1:7">
      <c r="A495" t="s">
        <v>205</v>
      </c>
      <c r="B495" t="s">
        <v>94</v>
      </c>
      <c r="C495" s="2">
        <v>113.8368</v>
      </c>
      <c r="D495" t="s">
        <v>12</v>
      </c>
      <c r="E495" t="str">
        <f>+INDEX(Check!$B$5:$B$33,MATCH(Compilado[[#This Row],[Items]],Check!$C$5:$C$33,0))</f>
        <v>FITOSANITARIOS</v>
      </c>
      <c r="F495" s="69">
        <f>+IFERROR(INDEX(Tabla2[TC],MATCH(Compilado[[#This Row],[Mes]],Tabla2[Mes],0))*Compilado[[#This Row],[USD]],0)</f>
        <v>136186.74432908779</v>
      </c>
      <c r="G495" s="150">
        <v>45962</v>
      </c>
    </row>
    <row r="496" spans="1:7">
      <c r="A496" t="s">
        <v>205</v>
      </c>
      <c r="B496" t="s">
        <v>95</v>
      </c>
      <c r="C496" s="2">
        <v>94.864000000000004</v>
      </c>
      <c r="D496" t="s">
        <v>12</v>
      </c>
      <c r="E496" t="str">
        <f>+INDEX(Check!$B$5:$B$33,MATCH(Compilado[[#This Row],[Items]],Check!$C$5:$C$33,0))</f>
        <v>FITOSANITARIOS</v>
      </c>
      <c r="F496" s="69">
        <f>+IFERROR(INDEX(Tabla2[TC],MATCH(Compilado[[#This Row],[Mes]],Tabla2[Mes],0))*Compilado[[#This Row],[USD]],0)</f>
        <v>114623.84314364889</v>
      </c>
      <c r="G496" s="150">
        <v>45992</v>
      </c>
    </row>
    <row r="497" spans="1:7">
      <c r="A497" t="s">
        <v>205</v>
      </c>
      <c r="B497" t="s">
        <v>97</v>
      </c>
      <c r="C497" s="2">
        <v>170.7552</v>
      </c>
      <c r="D497" t="s">
        <v>12</v>
      </c>
      <c r="E497" t="str">
        <f>+INDEX(Check!$B$5:$B$33,MATCH(Compilado[[#This Row],[Items]],Check!$C$5:$C$33,0))</f>
        <v>FITOSANITARIOS</v>
      </c>
      <c r="F497" s="69">
        <f>+IFERROR(INDEX(Tabla2[TC],MATCH(Compilado[[#This Row],[Mes]],Tabla2[Mes],0))*Compilado[[#This Row],[USD]],0)</f>
        <v>210470.00830350519</v>
      </c>
      <c r="G497" s="150">
        <v>46054</v>
      </c>
    </row>
    <row r="498" spans="1:7">
      <c r="A498" t="s">
        <v>206</v>
      </c>
      <c r="B498" t="s">
        <v>93</v>
      </c>
      <c r="C498" s="2">
        <v>21.796875</v>
      </c>
      <c r="D498" t="s">
        <v>12</v>
      </c>
      <c r="E498" t="str">
        <f>+INDEX(Check!$B$5:$B$33,MATCH(Compilado[[#This Row],[Items]],Check!$C$5:$C$33,0))</f>
        <v>FITOSANITARIOS</v>
      </c>
      <c r="F498" s="69">
        <f>+IFERROR(INDEX(Tabla2[TC],MATCH(Compilado[[#This Row],[Mes]],Tabla2[Mes],0))*Compilado[[#This Row],[USD]],0)</f>
        <v>25818.143990866665</v>
      </c>
      <c r="G498" s="150">
        <v>45931</v>
      </c>
    </row>
    <row r="499" spans="1:7">
      <c r="A499" t="s">
        <v>206</v>
      </c>
      <c r="B499" t="s">
        <v>94</v>
      </c>
      <c r="C499" s="2">
        <v>26.15625</v>
      </c>
      <c r="D499" t="s">
        <v>12</v>
      </c>
      <c r="E499" t="str">
        <f>+INDEX(Check!$B$5:$B$33,MATCH(Compilado[[#This Row],[Items]],Check!$C$5:$C$33,0))</f>
        <v>FITOSANITARIOS</v>
      </c>
      <c r="F499" s="69">
        <f>+IFERROR(INDEX(Tabla2[TC],MATCH(Compilado[[#This Row],[Mes]],Tabla2[Mes],0))*Compilado[[#This Row],[USD]],0)</f>
        <v>31291.590516930399</v>
      </c>
      <c r="G499" s="150">
        <v>45962</v>
      </c>
    </row>
    <row r="500" spans="1:7">
      <c r="A500" t="s">
        <v>206</v>
      </c>
      <c r="B500" t="s">
        <v>95</v>
      </c>
      <c r="C500" s="2">
        <v>21.796875</v>
      </c>
      <c r="D500" t="s">
        <v>12</v>
      </c>
      <c r="E500" t="str">
        <f>+INDEX(Check!$B$5:$B$33,MATCH(Compilado[[#This Row],[Items]],Check!$C$5:$C$33,0))</f>
        <v>FITOSANITARIOS</v>
      </c>
      <c r="F500" s="69">
        <f>+IFERROR(INDEX(Tabla2[TC],MATCH(Compilado[[#This Row],[Mes]],Tabla2[Mes],0))*Compilado[[#This Row],[USD]],0)</f>
        <v>26337.088685083087</v>
      </c>
      <c r="G500" s="150">
        <v>45992</v>
      </c>
    </row>
    <row r="501" spans="1:7">
      <c r="A501" t="s">
        <v>206</v>
      </c>
      <c r="B501" t="s">
        <v>97</v>
      </c>
      <c r="C501" s="2">
        <v>39.234375</v>
      </c>
      <c r="D501" t="s">
        <v>12</v>
      </c>
      <c r="E501" t="str">
        <f>+INDEX(Check!$B$5:$B$33,MATCH(Compilado[[#This Row],[Items]],Check!$C$5:$C$33,0))</f>
        <v>FITOSANITARIOS</v>
      </c>
      <c r="F501" s="69">
        <f>+IFERROR(INDEX(Tabla2[TC],MATCH(Compilado[[#This Row],[Mes]],Tabla2[Mes],0))*Compilado[[#This Row],[USD]],0)</f>
        <v>48359.635501775854</v>
      </c>
      <c r="G501" s="150">
        <v>46054</v>
      </c>
    </row>
    <row r="502" spans="1:7">
      <c r="A502" t="s">
        <v>206</v>
      </c>
      <c r="B502" t="s">
        <v>93</v>
      </c>
      <c r="C502" s="2">
        <v>97.929000000000002</v>
      </c>
      <c r="D502" t="s">
        <v>12</v>
      </c>
      <c r="E502" t="str">
        <f>+INDEX(Check!$B$5:$B$33,MATCH(Compilado[[#This Row],[Items]],Check!$C$5:$C$33,0))</f>
        <v>FITOSANITARIOS</v>
      </c>
      <c r="F502" s="69">
        <f>+IFERROR(INDEX(Tabla2[TC],MATCH(Compilado[[#This Row],[Mes]],Tabla2[Mes],0))*Compilado[[#This Row],[USD]],0)</f>
        <v>115995.75732216577</v>
      </c>
      <c r="G502" s="150">
        <v>45931</v>
      </c>
    </row>
    <row r="503" spans="1:7">
      <c r="A503" t="s">
        <v>206</v>
      </c>
      <c r="B503" t="s">
        <v>94</v>
      </c>
      <c r="C503" s="2">
        <v>117.51479999999999</v>
      </c>
      <c r="D503" t="s">
        <v>12</v>
      </c>
      <c r="E503" t="str">
        <f>+INDEX(Check!$B$5:$B$33,MATCH(Compilado[[#This Row],[Items]],Check!$C$5:$C$33,0))</f>
        <v>FITOSANITARIOS</v>
      </c>
      <c r="F503" s="69">
        <f>+IFERROR(INDEX(Tabla2[TC],MATCH(Compilado[[#This Row],[Mes]],Tabla2[Mes],0))*Compilado[[#This Row],[USD]],0)</f>
        <v>140586.85787446488</v>
      </c>
      <c r="G503" s="150">
        <v>45962</v>
      </c>
    </row>
    <row r="504" spans="1:7">
      <c r="A504" t="s">
        <v>206</v>
      </c>
      <c r="B504" t="s">
        <v>95</v>
      </c>
      <c r="C504" s="2">
        <v>97.929000000000002</v>
      </c>
      <c r="D504" t="s">
        <v>12</v>
      </c>
      <c r="E504" t="str">
        <f>+INDEX(Check!$B$5:$B$33,MATCH(Compilado[[#This Row],[Items]],Check!$C$5:$C$33,0))</f>
        <v>FITOSANITARIOS</v>
      </c>
      <c r="F504" s="69">
        <f>+IFERROR(INDEX(Tabla2[TC],MATCH(Compilado[[#This Row],[Mes]],Tabla2[Mes],0))*Compilado[[#This Row],[USD]],0)</f>
        <v>118327.27204434128</v>
      </c>
      <c r="G504" s="150">
        <v>45992</v>
      </c>
    </row>
    <row r="505" spans="1:7">
      <c r="A505" t="s">
        <v>206</v>
      </c>
      <c r="B505" t="s">
        <v>97</v>
      </c>
      <c r="C505" s="2">
        <v>176.2722</v>
      </c>
      <c r="D505" t="s">
        <v>12</v>
      </c>
      <c r="E505" t="str">
        <f>+INDEX(Check!$B$5:$B$33,MATCH(Compilado[[#This Row],[Items]],Check!$C$5:$C$33,0))</f>
        <v>FITOSANITARIOS</v>
      </c>
      <c r="F505" s="69">
        <f>+IFERROR(INDEX(Tabla2[TC],MATCH(Compilado[[#This Row],[Mes]],Tabla2[Mes],0))*Compilado[[#This Row],[USD]],0)</f>
        <v>217270.17038237856</v>
      </c>
      <c r="G505" s="150">
        <v>46054</v>
      </c>
    </row>
    <row r="506" spans="1:7">
      <c r="A506" t="s">
        <v>206</v>
      </c>
      <c r="B506" t="s">
        <v>93</v>
      </c>
      <c r="C506" s="2">
        <v>122.08482000000002</v>
      </c>
      <c r="D506" t="s">
        <v>12</v>
      </c>
      <c r="E506" t="str">
        <f>+INDEX(Check!$B$5:$B$33,MATCH(Compilado[[#This Row],[Items]],Check!$C$5:$C$33,0))</f>
        <v>FITOSANITARIOS</v>
      </c>
      <c r="F506" s="69">
        <f>+IFERROR(INDEX(Tabla2[TC],MATCH(Compilado[[#This Row],[Mes]],Tabla2[Mes],0))*Compilado[[#This Row],[USD]],0)</f>
        <v>144608.04412830001</v>
      </c>
      <c r="G506" s="150">
        <v>45931</v>
      </c>
    </row>
    <row r="507" spans="1:7">
      <c r="A507" t="s">
        <v>206</v>
      </c>
      <c r="B507" t="s">
        <v>94</v>
      </c>
      <c r="C507" s="2">
        <v>146.50178399999999</v>
      </c>
      <c r="D507" t="s">
        <v>12</v>
      </c>
      <c r="E507" t="str">
        <f>+INDEX(Check!$B$5:$B$33,MATCH(Compilado[[#This Row],[Items]],Check!$C$5:$C$33,0))</f>
        <v>FITOSANITARIOS</v>
      </c>
      <c r="F507" s="69">
        <f>+IFERROR(INDEX(Tabla2[TC],MATCH(Compilado[[#This Row],[Mes]],Tabla2[Mes],0))*Compilado[[#This Row],[USD]],0)</f>
        <v>175264.94948349957</v>
      </c>
      <c r="G507" s="150">
        <v>45962</v>
      </c>
    </row>
    <row r="508" spans="1:7">
      <c r="A508" t="s">
        <v>206</v>
      </c>
      <c r="B508" t="s">
        <v>95</v>
      </c>
      <c r="C508" s="2">
        <v>122.08482000000002</v>
      </c>
      <c r="D508" t="s">
        <v>12</v>
      </c>
      <c r="E508" t="str">
        <f>+INDEX(Check!$B$5:$B$33,MATCH(Compilado[[#This Row],[Items]],Check!$C$5:$C$33,0))</f>
        <v>FITOSANITARIOS</v>
      </c>
      <c r="F508" s="69">
        <f>+IFERROR(INDEX(Tabla2[TC],MATCH(Compilado[[#This Row],[Mes]],Tabla2[Mes],0))*Compilado[[#This Row],[USD]],0)</f>
        <v>147514.66581527883</v>
      </c>
      <c r="G508" s="150">
        <v>45992</v>
      </c>
    </row>
    <row r="509" spans="1:7">
      <c r="A509" t="s">
        <v>206</v>
      </c>
      <c r="B509" t="s">
        <v>97</v>
      </c>
      <c r="C509" s="2">
        <v>219.75267600000001</v>
      </c>
      <c r="D509" t="s">
        <v>12</v>
      </c>
      <c r="E509" t="str">
        <f>+INDEX(Check!$B$5:$B$33,MATCH(Compilado[[#This Row],[Items]],Check!$C$5:$C$33,0))</f>
        <v>FITOSANITARIOS</v>
      </c>
      <c r="F509" s="69">
        <f>+IFERROR(INDEX(Tabla2[TC],MATCH(Compilado[[#This Row],[Mes]],Tabla2[Mes],0))*Compilado[[#This Row],[USD]],0)</f>
        <v>270863.47907669866</v>
      </c>
      <c r="G509" s="150">
        <v>46054</v>
      </c>
    </row>
    <row r="510" spans="1:7">
      <c r="A510" t="s">
        <v>206</v>
      </c>
      <c r="B510" t="s">
        <v>93</v>
      </c>
      <c r="C510" s="2">
        <v>128.74721600000001</v>
      </c>
      <c r="D510" t="s">
        <v>12</v>
      </c>
      <c r="E510" t="str">
        <f>+INDEX(Check!$B$5:$B$33,MATCH(Compilado[[#This Row],[Items]],Check!$C$5:$C$33,0))</f>
        <v>FITOSANITARIOS</v>
      </c>
      <c r="F510" s="69">
        <f>+IFERROR(INDEX(Tabla2[TC],MATCH(Compilado[[#This Row],[Mes]],Tabla2[Mes],0))*Compilado[[#This Row],[USD]],0)</f>
        <v>152499.57441657179</v>
      </c>
      <c r="G510" s="150">
        <v>45931</v>
      </c>
    </row>
    <row r="511" spans="1:7">
      <c r="A511" t="s">
        <v>206</v>
      </c>
      <c r="B511" t="s">
        <v>94</v>
      </c>
      <c r="C511" s="2">
        <v>154.49665920000001</v>
      </c>
      <c r="D511" t="s">
        <v>12</v>
      </c>
      <c r="E511" t="str">
        <f>+INDEX(Check!$B$5:$B$33,MATCH(Compilado[[#This Row],[Items]],Check!$C$5:$C$33,0))</f>
        <v>FITOSANITARIOS</v>
      </c>
      <c r="F511" s="69">
        <f>+IFERROR(INDEX(Tabla2[TC],MATCH(Compilado[[#This Row],[Mes]],Tabla2[Mes],0))*Compilado[[#This Row],[USD]],0)</f>
        <v>184829.48419288499</v>
      </c>
      <c r="G511" s="150">
        <v>45962</v>
      </c>
    </row>
    <row r="512" spans="1:7">
      <c r="A512" t="s">
        <v>206</v>
      </c>
      <c r="B512" t="s">
        <v>95</v>
      </c>
      <c r="C512" s="2">
        <v>128.74721600000001</v>
      </c>
      <c r="D512" t="s">
        <v>12</v>
      </c>
      <c r="E512" t="str">
        <f>+INDEX(Check!$B$5:$B$33,MATCH(Compilado[[#This Row],[Items]],Check!$C$5:$C$33,0))</f>
        <v>FITOSANITARIOS</v>
      </c>
      <c r="F512" s="69">
        <f>+IFERROR(INDEX(Tabla2[TC],MATCH(Compilado[[#This Row],[Mes]],Tabla2[Mes],0))*Compilado[[#This Row],[USD]],0)</f>
        <v>155564.81586234487</v>
      </c>
      <c r="G512" s="150">
        <v>45992</v>
      </c>
    </row>
    <row r="513" spans="1:7">
      <c r="A513" t="s">
        <v>206</v>
      </c>
      <c r="B513" t="s">
        <v>97</v>
      </c>
      <c r="C513" s="2">
        <v>231.74498879999999</v>
      </c>
      <c r="D513" t="s">
        <v>12</v>
      </c>
      <c r="E513" t="str">
        <f>+INDEX(Check!$B$5:$B$33,MATCH(Compilado[[#This Row],[Items]],Check!$C$5:$C$33,0))</f>
        <v>FITOSANITARIOS</v>
      </c>
      <c r="F513" s="69">
        <f>+IFERROR(INDEX(Tabla2[TC],MATCH(Compilado[[#This Row],[Mes]],Tabla2[Mes],0))*Compilado[[#This Row],[USD]],0)</f>
        <v>285645.00359012035</v>
      </c>
      <c r="G513" s="150">
        <v>46054</v>
      </c>
    </row>
    <row r="514" spans="1:7">
      <c r="A514" t="s">
        <v>206</v>
      </c>
      <c r="B514" t="s">
        <v>93</v>
      </c>
      <c r="C514" s="2">
        <v>45.213281250000001</v>
      </c>
      <c r="D514" t="s">
        <v>12</v>
      </c>
      <c r="E514" t="str">
        <f>+INDEX(Check!$B$5:$B$33,MATCH(Compilado[[#This Row],[Items]],Check!$C$5:$C$33,0))</f>
        <v>FITOSANITARIOS</v>
      </c>
      <c r="F514" s="69">
        <f>+IFERROR(INDEX(Tabla2[TC],MATCH(Compilado[[#This Row],[Mes]],Tabla2[Mes],0))*Compilado[[#This Row],[USD]],0)</f>
        <v>53554.603841699878</v>
      </c>
      <c r="G514" s="150">
        <v>45931</v>
      </c>
    </row>
    <row r="515" spans="1:7">
      <c r="A515" t="s">
        <v>206</v>
      </c>
      <c r="B515" t="s">
        <v>94</v>
      </c>
      <c r="C515" s="2">
        <v>54.255937499999995</v>
      </c>
      <c r="D515" t="s">
        <v>12</v>
      </c>
      <c r="E515" t="str">
        <f>+INDEX(Check!$B$5:$B$33,MATCH(Compilado[[#This Row],[Items]],Check!$C$5:$C$33,0))</f>
        <v>FITOSANITARIOS</v>
      </c>
      <c r="F515" s="69">
        <f>+IFERROR(INDEX(Tabla2[TC],MATCH(Compilado[[#This Row],[Mes]],Tabla2[Mes],0))*Compilado[[#This Row],[USD]],0)</f>
        <v>64908.179856140247</v>
      </c>
      <c r="G515" s="150">
        <v>45962</v>
      </c>
    </row>
    <row r="516" spans="1:7">
      <c r="A516" t="s">
        <v>206</v>
      </c>
      <c r="B516" t="s">
        <v>95</v>
      </c>
      <c r="C516" s="2">
        <v>45.213281250000001</v>
      </c>
      <c r="D516" t="s">
        <v>12</v>
      </c>
      <c r="E516" t="str">
        <f>+INDEX(Check!$B$5:$B$33,MATCH(Compilado[[#This Row],[Items]],Check!$C$5:$C$33,0))</f>
        <v>FITOSANITARIOS</v>
      </c>
      <c r="F516" s="69">
        <f>+IFERROR(INDEX(Tabla2[TC],MATCH(Compilado[[#This Row],[Mes]],Tabla2[Mes],0))*Compilado[[#This Row],[USD]],0)</f>
        <v>54631.051378918048</v>
      </c>
      <c r="G516" s="150">
        <v>45992</v>
      </c>
    </row>
    <row r="517" spans="1:7">
      <c r="A517" t="s">
        <v>206</v>
      </c>
      <c r="B517" t="s">
        <v>97</v>
      </c>
      <c r="C517" s="2">
        <v>81.383906249999995</v>
      </c>
      <c r="D517" t="s">
        <v>12</v>
      </c>
      <c r="E517" t="str">
        <f>+INDEX(Check!$B$5:$B$33,MATCH(Compilado[[#This Row],[Items]],Check!$C$5:$C$33,0))</f>
        <v>FITOSANITARIOS</v>
      </c>
      <c r="F517" s="69">
        <f>+IFERROR(INDEX(Tabla2[TC],MATCH(Compilado[[#This Row],[Mes]],Tabla2[Mes],0))*Compilado[[#This Row],[USD]],0)</f>
        <v>100312.44392094172</v>
      </c>
      <c r="G517" s="150">
        <v>46054</v>
      </c>
    </row>
    <row r="518" spans="1:7">
      <c r="A518" t="s">
        <v>206</v>
      </c>
      <c r="B518" t="s">
        <v>93</v>
      </c>
      <c r="C518" s="2">
        <v>0</v>
      </c>
      <c r="D518" t="s">
        <v>12</v>
      </c>
      <c r="E518" t="str">
        <f>+INDEX(Check!$B$5:$B$33,MATCH(Compilado[[#This Row],[Items]],Check!$C$5:$C$33,0))</f>
        <v>FITOSANITARIOS</v>
      </c>
      <c r="F518" s="69">
        <f>+IFERROR(INDEX(Tabla2[TC],MATCH(Compilado[[#This Row],[Mes]],Tabla2[Mes],0))*Compilado[[#This Row],[USD]],0)</f>
        <v>0</v>
      </c>
      <c r="G518" s="150">
        <v>45931</v>
      </c>
    </row>
    <row r="519" spans="1:7">
      <c r="A519" t="s">
        <v>206</v>
      </c>
      <c r="B519" t="s">
        <v>94</v>
      </c>
      <c r="C519" s="2">
        <v>0</v>
      </c>
      <c r="D519" t="s">
        <v>12</v>
      </c>
      <c r="E519" t="str">
        <f>+INDEX(Check!$B$5:$B$33,MATCH(Compilado[[#This Row],[Items]],Check!$C$5:$C$33,0))</f>
        <v>FITOSANITARIOS</v>
      </c>
      <c r="F519" s="69">
        <f>+IFERROR(INDEX(Tabla2[TC],MATCH(Compilado[[#This Row],[Mes]],Tabla2[Mes],0))*Compilado[[#This Row],[USD]],0)</f>
        <v>0</v>
      </c>
      <c r="G519" s="150">
        <v>45962</v>
      </c>
    </row>
    <row r="520" spans="1:7">
      <c r="A520" t="s">
        <v>206</v>
      </c>
      <c r="B520" t="s">
        <v>95</v>
      </c>
      <c r="C520" s="2">
        <v>0</v>
      </c>
      <c r="D520" t="s">
        <v>12</v>
      </c>
      <c r="E520" t="str">
        <f>+INDEX(Check!$B$5:$B$33,MATCH(Compilado[[#This Row],[Items]],Check!$C$5:$C$33,0))</f>
        <v>FITOSANITARIOS</v>
      </c>
      <c r="F520" s="69">
        <f>+IFERROR(INDEX(Tabla2[TC],MATCH(Compilado[[#This Row],[Mes]],Tabla2[Mes],0))*Compilado[[#This Row],[USD]],0)</f>
        <v>0</v>
      </c>
      <c r="G520" s="150">
        <v>45992</v>
      </c>
    </row>
    <row r="521" spans="1:7">
      <c r="A521" t="s">
        <v>206</v>
      </c>
      <c r="B521" t="s">
        <v>97</v>
      </c>
      <c r="C521" s="2">
        <v>0</v>
      </c>
      <c r="D521" t="s">
        <v>12</v>
      </c>
      <c r="E521" t="str">
        <f>+INDEX(Check!$B$5:$B$33,MATCH(Compilado[[#This Row],[Items]],Check!$C$5:$C$33,0))</f>
        <v>FITOSANITARIOS</v>
      </c>
      <c r="F521" s="69">
        <f>+IFERROR(INDEX(Tabla2[TC],MATCH(Compilado[[#This Row],[Mes]],Tabla2[Mes],0))*Compilado[[#This Row],[USD]],0)</f>
        <v>0</v>
      </c>
      <c r="G521" s="150">
        <v>46054</v>
      </c>
    </row>
    <row r="522" spans="1:7">
      <c r="A522" t="s">
        <v>190</v>
      </c>
      <c r="B522" t="s">
        <v>93</v>
      </c>
      <c r="C522" s="2">
        <v>26.931253440000003</v>
      </c>
      <c r="D522" t="s">
        <v>4</v>
      </c>
      <c r="E522" t="str">
        <f>+INDEX(Check!$B$5:$B$33,MATCH(Compilado[[#This Row],[Items]],Check!$C$5:$C$33,0))</f>
        <v>FITOSANITARIOS</v>
      </c>
      <c r="F522" s="69">
        <f>+IFERROR(INDEX(Tabla2[TC],MATCH(Compilado[[#This Row],[Mes]],Tabla2[Mes],0))*Compilado[[#This Row],[USD]],0)</f>
        <v>31899.755316688439</v>
      </c>
      <c r="G522" s="150">
        <v>45931</v>
      </c>
    </row>
    <row r="523" spans="1:7">
      <c r="A523" t="s">
        <v>190</v>
      </c>
      <c r="B523" t="s">
        <v>94</v>
      </c>
      <c r="C523" s="2">
        <v>32.317504127999996</v>
      </c>
      <c r="D523" t="s">
        <v>4</v>
      </c>
      <c r="E523" t="str">
        <f>+INDEX(Check!$B$5:$B$33,MATCH(Compilado[[#This Row],[Items]],Check!$C$5:$C$33,0))</f>
        <v>FITOSANITARIOS</v>
      </c>
      <c r="F523" s="69">
        <f>+IFERROR(INDEX(Tabla2[TC],MATCH(Compilado[[#This Row],[Mes]],Tabla2[Mes],0))*Compilado[[#This Row],[USD]],0)</f>
        <v>38662.503443826383</v>
      </c>
      <c r="G523" s="150">
        <v>45962</v>
      </c>
    </row>
    <row r="524" spans="1:7">
      <c r="A524" t="s">
        <v>190</v>
      </c>
      <c r="B524" t="s">
        <v>95</v>
      </c>
      <c r="C524" s="2">
        <v>26.931253440000003</v>
      </c>
      <c r="D524" t="s">
        <v>4</v>
      </c>
      <c r="E524" t="str">
        <f>+INDEX(Check!$B$5:$B$33,MATCH(Compilado[[#This Row],[Items]],Check!$C$5:$C$33,0))</f>
        <v>FITOSANITARIOS</v>
      </c>
      <c r="F524" s="69">
        <f>+IFERROR(INDEX(Tabla2[TC],MATCH(Compilado[[#This Row],[Mes]],Tabla2[Mes],0))*Compilado[[#This Row],[USD]],0)</f>
        <v>32540.940398553874</v>
      </c>
      <c r="G524" s="150">
        <v>45992</v>
      </c>
    </row>
    <row r="525" spans="1:7">
      <c r="A525" t="s">
        <v>190</v>
      </c>
      <c r="B525" t="s">
        <v>97</v>
      </c>
      <c r="C525" s="2">
        <v>48.476256192000001</v>
      </c>
      <c r="D525" t="s">
        <v>4</v>
      </c>
      <c r="E525" t="str">
        <f>+INDEX(Check!$B$5:$B$33,MATCH(Compilado[[#This Row],[Items]],Check!$C$5:$C$33,0))</f>
        <v>FITOSANITARIOS</v>
      </c>
      <c r="F525" s="69">
        <f>+IFERROR(INDEX(Tabla2[TC],MATCH(Compilado[[#This Row],[Mes]],Tabla2[Mes],0))*Compilado[[#This Row],[USD]],0)</f>
        <v>59751.023941016647</v>
      </c>
      <c r="G525" s="150">
        <v>46054</v>
      </c>
    </row>
    <row r="526" spans="1:7">
      <c r="A526" t="s">
        <v>190</v>
      </c>
      <c r="B526" t="s">
        <v>93</v>
      </c>
      <c r="C526" s="2">
        <v>41.288332800000006</v>
      </c>
      <c r="D526" t="s">
        <v>4</v>
      </c>
      <c r="E526" t="str">
        <f>+INDEX(Check!$B$5:$B$33,MATCH(Compilado[[#This Row],[Items]],Check!$C$5:$C$33,0))</f>
        <v>FITOSANITARIOS</v>
      </c>
      <c r="F526" s="69">
        <f>+IFERROR(INDEX(Tabla2[TC],MATCH(Compilado[[#This Row],[Mes]],Tabla2[Mes],0))*Compilado[[#This Row],[USD]],0)</f>
        <v>48905.548220707016</v>
      </c>
      <c r="G526" s="150">
        <v>45931</v>
      </c>
    </row>
    <row r="527" spans="1:7">
      <c r="A527" t="s">
        <v>190</v>
      </c>
      <c r="B527" t="s">
        <v>94</v>
      </c>
      <c r="C527" s="2">
        <v>49.545999360000003</v>
      </c>
      <c r="D527" t="s">
        <v>4</v>
      </c>
      <c r="E527" t="str">
        <f>+INDEX(Check!$B$5:$B$33,MATCH(Compilado[[#This Row],[Items]],Check!$C$5:$C$33,0))</f>
        <v>FITOSANITARIOS</v>
      </c>
      <c r="F527" s="69">
        <f>+IFERROR(INDEX(Tabla2[TC],MATCH(Compilado[[#This Row],[Mes]],Tabla2[Mes],0))*Compilado[[#This Row],[USD]],0)</f>
        <v>59273.524443496899</v>
      </c>
      <c r="G527" s="150">
        <v>45962</v>
      </c>
    </row>
    <row r="528" spans="1:7">
      <c r="A528" t="s">
        <v>190</v>
      </c>
      <c r="B528" t="s">
        <v>95</v>
      </c>
      <c r="C528" s="2">
        <v>41.288332800000006</v>
      </c>
      <c r="D528" t="s">
        <v>4</v>
      </c>
      <c r="E528" t="str">
        <f>+INDEX(Check!$B$5:$B$33,MATCH(Compilado[[#This Row],[Items]],Check!$C$5:$C$33,0))</f>
        <v>FITOSANITARIOS</v>
      </c>
      <c r="F528" s="69">
        <f>+IFERROR(INDEX(Tabla2[TC],MATCH(Compilado[[#This Row],[Mes]],Tabla2[Mes],0))*Compilado[[#This Row],[USD]],0)</f>
        <v>49888.549739943228</v>
      </c>
      <c r="G528" s="150">
        <v>45992</v>
      </c>
    </row>
    <row r="529" spans="1:7">
      <c r="A529" t="s">
        <v>190</v>
      </c>
      <c r="B529" t="s">
        <v>97</v>
      </c>
      <c r="C529" s="2">
        <v>74.318999039999994</v>
      </c>
      <c r="D529" t="s">
        <v>4</v>
      </c>
      <c r="E529" t="str">
        <f>+INDEX(Check!$B$5:$B$33,MATCH(Compilado[[#This Row],[Items]],Check!$C$5:$C$33,0))</f>
        <v>FITOSANITARIOS</v>
      </c>
      <c r="F529" s="69">
        <f>+IFERROR(INDEX(Tabla2[TC],MATCH(Compilado[[#This Row],[Mes]],Tabla2[Mes],0))*Compilado[[#This Row],[USD]],0)</f>
        <v>91604.357261488927</v>
      </c>
      <c r="G529" s="150">
        <v>46054</v>
      </c>
    </row>
    <row r="530" spans="1:7">
      <c r="A530" t="s">
        <v>202</v>
      </c>
      <c r="B530" t="s">
        <v>93</v>
      </c>
      <c r="C530" s="2">
        <v>7.99383</v>
      </c>
      <c r="D530" t="s">
        <v>4</v>
      </c>
      <c r="E530" t="str">
        <f>+INDEX(Check!$B$5:$B$33,MATCH(Compilado[[#This Row],[Items]],Check!$C$5:$C$33,0))</f>
        <v>FITOSANITARIOS</v>
      </c>
      <c r="F530" s="69">
        <f>+IFERROR(INDEX(Tabla2[TC],MATCH(Compilado[[#This Row],[Mes]],Tabla2[Mes],0))*Compilado[[#This Row],[USD]],0)</f>
        <v>9468.5983187273268</v>
      </c>
      <c r="G530" s="150">
        <v>45931</v>
      </c>
    </row>
    <row r="531" spans="1:7">
      <c r="A531" t="s">
        <v>202</v>
      </c>
      <c r="B531" t="s">
        <v>94</v>
      </c>
      <c r="C531" s="2">
        <v>9.5925959999999986</v>
      </c>
      <c r="D531" t="s">
        <v>4</v>
      </c>
      <c r="E531" t="str">
        <f>+INDEX(Check!$B$5:$B$33,MATCH(Compilado[[#This Row],[Items]],Check!$C$5:$C$33,0))</f>
        <v>FITOSANITARIOS</v>
      </c>
      <c r="F531" s="69">
        <f>+IFERROR(INDEX(Tabla2[TC],MATCH(Compilado[[#This Row],[Mes]],Tabla2[Mes],0))*Compilado[[#This Row],[USD]],0)</f>
        <v>11475.941162297517</v>
      </c>
      <c r="G531" s="150">
        <v>45962</v>
      </c>
    </row>
    <row r="532" spans="1:7">
      <c r="A532" t="s">
        <v>202</v>
      </c>
      <c r="B532" t="s">
        <v>95</v>
      </c>
      <c r="C532" s="2">
        <v>7.99383</v>
      </c>
      <c r="D532" t="s">
        <v>4</v>
      </c>
      <c r="E532" t="str">
        <f>+INDEX(Check!$B$5:$B$33,MATCH(Compilado[[#This Row],[Items]],Check!$C$5:$C$33,0))</f>
        <v>FITOSANITARIOS</v>
      </c>
      <c r="F532" s="69">
        <f>+IFERROR(INDEX(Tabla2[TC],MATCH(Compilado[[#This Row],[Mes]],Tabla2[Mes],0))*Compilado[[#This Row],[USD]],0)</f>
        <v>9658.9171449337446</v>
      </c>
      <c r="G532" s="150">
        <v>45992</v>
      </c>
    </row>
    <row r="533" spans="1:7">
      <c r="A533" t="s">
        <v>202</v>
      </c>
      <c r="B533" t="s">
        <v>97</v>
      </c>
      <c r="C533" s="2">
        <v>14.388894000000001</v>
      </c>
      <c r="D533" t="s">
        <v>4</v>
      </c>
      <c r="E533" t="str">
        <f>+INDEX(Check!$B$5:$B$33,MATCH(Compilado[[#This Row],[Items]],Check!$C$5:$C$33,0))</f>
        <v>FITOSANITARIOS</v>
      </c>
      <c r="F533" s="69">
        <f>+IFERROR(INDEX(Tabla2[TC],MATCH(Compilado[[#This Row],[Mes]],Tabla2[Mes],0))*Compilado[[#This Row],[USD]],0)</f>
        <v>17735.510483184444</v>
      </c>
      <c r="G533" s="150">
        <v>46054</v>
      </c>
    </row>
    <row r="534" spans="1:7">
      <c r="A534" t="s">
        <v>202</v>
      </c>
      <c r="B534" t="s">
        <v>93</v>
      </c>
      <c r="C534" s="2">
        <v>84.839040000000011</v>
      </c>
      <c r="D534" t="s">
        <v>4</v>
      </c>
      <c r="E534" t="str">
        <f>+INDEX(Check!$B$5:$B$33,MATCH(Compilado[[#This Row],[Items]],Check!$C$5:$C$33,0))</f>
        <v>FITOSANITARIOS</v>
      </c>
      <c r="F534" s="69">
        <f>+IFERROR(INDEX(Tabla2[TC],MATCH(Compilado[[#This Row],[Mes]],Tabla2[Mes],0))*Compilado[[#This Row],[USD]],0)</f>
        <v>100490.85250830209</v>
      </c>
      <c r="G534" s="150">
        <v>45931</v>
      </c>
    </row>
    <row r="535" spans="1:7">
      <c r="A535" t="s">
        <v>202</v>
      </c>
      <c r="B535" t="s">
        <v>94</v>
      </c>
      <c r="C535" s="2">
        <v>101.806848</v>
      </c>
      <c r="D535" t="s">
        <v>4</v>
      </c>
      <c r="E535" t="str">
        <f>+INDEX(Check!$B$5:$B$33,MATCH(Compilado[[#This Row],[Items]],Check!$C$5:$C$33,0))</f>
        <v>FITOSANITARIOS</v>
      </c>
      <c r="F535" s="69">
        <f>+IFERROR(INDEX(Tabla2[TC],MATCH(Compilado[[#This Row],[Mes]],Tabla2[Mes],0))*Compilado[[#This Row],[USD]],0)</f>
        <v>121794.91324006212</v>
      </c>
      <c r="G535" s="150">
        <v>45962</v>
      </c>
    </row>
    <row r="536" spans="1:7">
      <c r="A536" t="s">
        <v>202</v>
      </c>
      <c r="B536" t="s">
        <v>95</v>
      </c>
      <c r="C536" s="2">
        <v>84.839040000000011</v>
      </c>
      <c r="D536" t="s">
        <v>4</v>
      </c>
      <c r="E536" t="str">
        <f>+INDEX(Check!$B$5:$B$33,MATCH(Compilado[[#This Row],[Items]],Check!$C$5:$C$33,0))</f>
        <v>FITOSANITARIOS</v>
      </c>
      <c r="F536" s="69">
        <f>+IFERROR(INDEX(Tabla2[TC],MATCH(Compilado[[#This Row],[Mes]],Tabla2[Mes],0))*Compilado[[#This Row],[USD]],0)</f>
        <v>102510.71864371895</v>
      </c>
      <c r="G536" s="150">
        <v>45992</v>
      </c>
    </row>
    <row r="537" spans="1:7">
      <c r="A537" t="s">
        <v>202</v>
      </c>
      <c r="B537" t="s">
        <v>97</v>
      </c>
      <c r="C537" s="2">
        <v>152.710272</v>
      </c>
      <c r="D537" t="s">
        <v>4</v>
      </c>
      <c r="E537" t="str">
        <f>+INDEX(Check!$B$5:$B$33,MATCH(Compilado[[#This Row],[Items]],Check!$C$5:$C$33,0))</f>
        <v>FITOSANITARIOS</v>
      </c>
      <c r="F537" s="69">
        <f>+IFERROR(INDEX(Tabla2[TC],MATCH(Compilado[[#This Row],[Mes]],Tabla2[Mes],0))*Compilado[[#This Row],[USD]],0)</f>
        <v>188228.13135922383</v>
      </c>
      <c r="G537" s="150">
        <v>46054</v>
      </c>
    </row>
    <row r="538" spans="1:7">
      <c r="A538" t="s">
        <v>202</v>
      </c>
      <c r="B538" t="s">
        <v>93</v>
      </c>
      <c r="C538" s="2">
        <v>50.815049999999999</v>
      </c>
      <c r="D538" t="s">
        <v>4</v>
      </c>
      <c r="E538" t="str">
        <f>+INDEX(Check!$B$5:$B$33,MATCH(Compilado[[#This Row],[Items]],Check!$C$5:$C$33,0))</f>
        <v>FITOSANITARIOS</v>
      </c>
      <c r="F538" s="69">
        <f>+IFERROR(INDEX(Tabla2[TC],MATCH(Compilado[[#This Row],[Mes]],Tabla2[Mes],0))*Compilado[[#This Row],[USD]],0)</f>
        <v>60189.833533618432</v>
      </c>
      <c r="G538" s="150">
        <v>45931</v>
      </c>
    </row>
    <row r="539" spans="1:7">
      <c r="A539" t="s">
        <v>202</v>
      </c>
      <c r="B539" t="s">
        <v>94</v>
      </c>
      <c r="C539" s="2">
        <v>60.978059999999992</v>
      </c>
      <c r="D539" t="s">
        <v>4</v>
      </c>
      <c r="E539" t="str">
        <f>+INDEX(Check!$B$5:$B$33,MATCH(Compilado[[#This Row],[Items]],Check!$C$5:$C$33,0))</f>
        <v>FITOSANITARIOS</v>
      </c>
      <c r="F539" s="69">
        <f>+IFERROR(INDEX(Tabla2[TC],MATCH(Compilado[[#This Row],[Mes]],Tabla2[Mes],0))*Compilado[[#This Row],[USD]],0)</f>
        <v>72950.078242745527</v>
      </c>
      <c r="G539" s="150">
        <v>45962</v>
      </c>
    </row>
    <row r="540" spans="1:7">
      <c r="A540" t="s">
        <v>202</v>
      </c>
      <c r="B540" t="s">
        <v>95</v>
      </c>
      <c r="C540" s="2">
        <v>50.815049999999999</v>
      </c>
      <c r="D540" t="s">
        <v>4</v>
      </c>
      <c r="E540" t="str">
        <f>+INDEX(Check!$B$5:$B$33,MATCH(Compilado[[#This Row],[Items]],Check!$C$5:$C$33,0))</f>
        <v>FITOSANITARIOS</v>
      </c>
      <c r="F540" s="69">
        <f>+IFERROR(INDEX(Tabla2[TC],MATCH(Compilado[[#This Row],[Mes]],Tabla2[Mes],0))*Compilado[[#This Row],[USD]],0)</f>
        <v>61399.649187644158</v>
      </c>
      <c r="G540" s="150">
        <v>45992</v>
      </c>
    </row>
    <row r="541" spans="1:7">
      <c r="A541" t="s">
        <v>202</v>
      </c>
      <c r="B541" t="s">
        <v>97</v>
      </c>
      <c r="C541" s="2">
        <v>91.467089999999985</v>
      </c>
      <c r="D541" t="s">
        <v>4</v>
      </c>
      <c r="E541" t="str">
        <f>+INDEX(Check!$B$5:$B$33,MATCH(Compilado[[#This Row],[Items]],Check!$C$5:$C$33,0))</f>
        <v>FITOSANITARIOS</v>
      </c>
      <c r="F541" s="69">
        <f>+IFERROR(INDEX(Tabla2[TC],MATCH(Compilado[[#This Row],[Mes]],Tabla2[Mes],0))*Compilado[[#This Row],[USD]],0)</f>
        <v>112740.80784536843</v>
      </c>
      <c r="G541" s="150">
        <v>46054</v>
      </c>
    </row>
    <row r="542" spans="1:7">
      <c r="A542" t="s">
        <v>202</v>
      </c>
      <c r="B542" t="s">
        <v>93</v>
      </c>
      <c r="C542" s="2">
        <v>30.05358720000001</v>
      </c>
      <c r="D542" t="s">
        <v>4</v>
      </c>
      <c r="E542" t="str">
        <f>+INDEX(Check!$B$5:$B$33,MATCH(Compilado[[#This Row],[Items]],Check!$C$5:$C$33,0))</f>
        <v>FITOSANITARIOS</v>
      </c>
      <c r="F542" s="69">
        <f>+IFERROR(INDEX(Tabla2[TC],MATCH(Compilado[[#This Row],[Mes]],Tabla2[Mes],0))*Compilado[[#This Row],[USD]],0)</f>
        <v>35598.123206728837</v>
      </c>
      <c r="G542" s="150">
        <v>45931</v>
      </c>
    </row>
    <row r="543" spans="1:7">
      <c r="A543" t="s">
        <v>202</v>
      </c>
      <c r="B543" t="s">
        <v>94</v>
      </c>
      <c r="C543" s="2">
        <v>36.064304640000003</v>
      </c>
      <c r="D543" t="s">
        <v>4</v>
      </c>
      <c r="E543" t="str">
        <f>+INDEX(Check!$B$5:$B$33,MATCH(Compilado[[#This Row],[Items]],Check!$C$5:$C$33,0))</f>
        <v>FITOSANITARIOS</v>
      </c>
      <c r="F543" s="69">
        <f>+IFERROR(INDEX(Tabla2[TC],MATCH(Compilado[[#This Row],[Mes]],Tabla2[Mes],0))*Compilado[[#This Row],[USD]],0)</f>
        <v>43144.925326555342</v>
      </c>
      <c r="G543" s="150">
        <v>45962</v>
      </c>
    </row>
    <row r="544" spans="1:7">
      <c r="A544" t="s">
        <v>202</v>
      </c>
      <c r="B544" t="s">
        <v>95</v>
      </c>
      <c r="C544" s="2">
        <v>30.05358720000001</v>
      </c>
      <c r="D544" t="s">
        <v>4</v>
      </c>
      <c r="E544" t="str">
        <f>+INDEX(Check!$B$5:$B$33,MATCH(Compilado[[#This Row],[Items]],Check!$C$5:$C$33,0))</f>
        <v>FITOSANITARIOS</v>
      </c>
      <c r="F544" s="69">
        <f>+IFERROR(INDEX(Tabla2[TC],MATCH(Compilado[[#This Row],[Mes]],Tabla2[Mes],0))*Compilado[[#This Row],[USD]],0)</f>
        <v>36313.645483184082</v>
      </c>
      <c r="G544" s="150">
        <v>45992</v>
      </c>
    </row>
    <row r="545" spans="1:7">
      <c r="A545" t="s">
        <v>202</v>
      </c>
      <c r="B545" t="s">
        <v>97</v>
      </c>
      <c r="C545" s="2">
        <v>54.096456960000005</v>
      </c>
      <c r="D545" t="s">
        <v>4</v>
      </c>
      <c r="E545" t="str">
        <f>+INDEX(Check!$B$5:$B$33,MATCH(Compilado[[#This Row],[Items]],Check!$C$5:$C$33,0))</f>
        <v>FITOSANITARIOS</v>
      </c>
      <c r="F545" s="69">
        <f>+IFERROR(INDEX(Tabla2[TC],MATCH(Compilado[[#This Row],[Mes]],Tabla2[Mes],0))*Compilado[[#This Row],[USD]],0)</f>
        <v>66678.389563312929</v>
      </c>
      <c r="G545" s="150">
        <v>46054</v>
      </c>
    </row>
    <row r="546" spans="1:7">
      <c r="A546" t="s">
        <v>202</v>
      </c>
      <c r="B546" t="s">
        <v>93</v>
      </c>
      <c r="C546" s="2">
        <v>46.998899999999992</v>
      </c>
      <c r="D546" t="s">
        <v>4</v>
      </c>
      <c r="E546" t="str">
        <f>+INDEX(Check!$B$5:$B$33,MATCH(Compilado[[#This Row],[Items]],Check!$C$5:$C$33,0))</f>
        <v>FITOSANITARIOS</v>
      </c>
      <c r="F546" s="69">
        <f>+IFERROR(INDEX(Tabla2[TC],MATCH(Compilado[[#This Row],[Mes]],Tabla2[Mes],0))*Compilado[[#This Row],[USD]],0)</f>
        <v>55669.648406587788</v>
      </c>
      <c r="G546" s="150">
        <v>45931</v>
      </c>
    </row>
    <row r="547" spans="1:7">
      <c r="A547" t="s">
        <v>202</v>
      </c>
      <c r="B547" t="s">
        <v>94</v>
      </c>
      <c r="C547" s="2">
        <v>56.398679999999992</v>
      </c>
      <c r="D547" t="s">
        <v>4</v>
      </c>
      <c r="E547" t="str">
        <f>+INDEX(Check!$B$5:$B$33,MATCH(Compilado[[#This Row],[Items]],Check!$C$5:$C$33,0))</f>
        <v>FITOSANITARIOS</v>
      </c>
      <c r="F547" s="69">
        <f>+IFERROR(INDEX(Tabla2[TC],MATCH(Compilado[[#This Row],[Mes]],Tabla2[Mes],0))*Compilado[[#This Row],[USD]],0)</f>
        <v>67471.613868784407</v>
      </c>
      <c r="G547" s="150">
        <v>45962</v>
      </c>
    </row>
    <row r="548" spans="1:7">
      <c r="A548" t="s">
        <v>202</v>
      </c>
      <c r="B548" t="s">
        <v>95</v>
      </c>
      <c r="C548" s="2">
        <v>46.998899999999992</v>
      </c>
      <c r="D548" t="s">
        <v>4</v>
      </c>
      <c r="E548" t="str">
        <f>+INDEX(Check!$B$5:$B$33,MATCH(Compilado[[#This Row],[Items]],Check!$C$5:$C$33,0))</f>
        <v>FITOSANITARIOS</v>
      </c>
      <c r="F548" s="69">
        <f>+IFERROR(INDEX(Tabla2[TC],MATCH(Compilado[[#This Row],[Mes]],Tabla2[Mes],0))*Compilado[[#This Row],[USD]],0)</f>
        <v>56788.608339560196</v>
      </c>
      <c r="G548" s="150">
        <v>45992</v>
      </c>
    </row>
    <row r="549" spans="1:7">
      <c r="A549" t="s">
        <v>202</v>
      </c>
      <c r="B549" t="s">
        <v>97</v>
      </c>
      <c r="C549" s="2">
        <v>84.598019999999977</v>
      </c>
      <c r="D549" t="s">
        <v>4</v>
      </c>
      <c r="E549" t="str">
        <f>+INDEX(Check!$B$5:$B$33,MATCH(Compilado[[#This Row],[Items]],Check!$C$5:$C$33,0))</f>
        <v>FITOSANITARIOS</v>
      </c>
      <c r="F549" s="69">
        <f>+IFERROR(INDEX(Tabla2[TC],MATCH(Compilado[[#This Row],[Mes]],Tabla2[Mes],0))*Compilado[[#This Row],[USD]],0)</f>
        <v>104274.10686093364</v>
      </c>
      <c r="G549" s="150">
        <v>46054</v>
      </c>
    </row>
    <row r="550" spans="1:7">
      <c r="A550" t="s">
        <v>202</v>
      </c>
      <c r="B550" t="s">
        <v>93</v>
      </c>
      <c r="C550" s="2">
        <v>211.47170000000003</v>
      </c>
      <c r="D550" t="s">
        <v>4</v>
      </c>
      <c r="E550" t="str">
        <f>+INDEX(Check!$B$5:$B$33,MATCH(Compilado[[#This Row],[Items]],Check!$C$5:$C$33,0))</f>
        <v>FITOSANITARIOS</v>
      </c>
      <c r="F550" s="69">
        <f>+IFERROR(INDEX(Tabla2[TC],MATCH(Compilado[[#This Row],[Mes]],Tabla2[Mes],0))*Compilado[[#This Row],[USD]],0)</f>
        <v>250485.76002722222</v>
      </c>
      <c r="G550" s="150">
        <v>45931</v>
      </c>
    </row>
    <row r="551" spans="1:7">
      <c r="A551" t="s">
        <v>202</v>
      </c>
      <c r="B551" t="s">
        <v>94</v>
      </c>
      <c r="C551" s="2">
        <v>253.76604</v>
      </c>
      <c r="D551" t="s">
        <v>4</v>
      </c>
      <c r="E551" t="str">
        <f>+INDEX(Check!$B$5:$B$33,MATCH(Compilado[[#This Row],[Items]],Check!$C$5:$C$33,0))</f>
        <v>FITOSANITARIOS</v>
      </c>
      <c r="F551" s="69">
        <f>+IFERROR(INDEX(Tabla2[TC],MATCH(Compilado[[#This Row],[Mes]],Tabla2[Mes],0))*Compilado[[#This Row],[USD]],0)</f>
        <v>303588.74115299329</v>
      </c>
      <c r="G551" s="150">
        <v>45962</v>
      </c>
    </row>
    <row r="552" spans="1:7">
      <c r="A552" t="s">
        <v>202</v>
      </c>
      <c r="B552" t="s">
        <v>95</v>
      </c>
      <c r="C552" s="2">
        <v>211.47170000000003</v>
      </c>
      <c r="D552" t="s">
        <v>4</v>
      </c>
      <c r="E552" t="str">
        <f>+INDEX(Check!$B$5:$B$33,MATCH(Compilado[[#This Row],[Items]],Check!$C$5:$C$33,0))</f>
        <v>FITOSANITARIOS</v>
      </c>
      <c r="F552" s="69">
        <f>+IFERROR(INDEX(Tabla2[TC],MATCH(Compilado[[#This Row],[Mes]],Tabla2[Mes],0))*Compilado[[#This Row],[USD]],0)</f>
        <v>255520.52380376938</v>
      </c>
      <c r="G552" s="150">
        <v>45992</v>
      </c>
    </row>
    <row r="553" spans="1:7">
      <c r="A553" t="s">
        <v>202</v>
      </c>
      <c r="B553" t="s">
        <v>97</v>
      </c>
      <c r="C553" s="2">
        <v>380.64906000000002</v>
      </c>
      <c r="D553" t="s">
        <v>4</v>
      </c>
      <c r="E553" t="str">
        <f>+INDEX(Check!$B$5:$B$33,MATCH(Compilado[[#This Row],[Items]],Check!$C$5:$C$33,0))</f>
        <v>FITOSANITARIOS</v>
      </c>
      <c r="F553" s="69">
        <f>+IFERROR(INDEX(Tabla2[TC],MATCH(Compilado[[#This Row],[Mes]],Tabla2[Mes],0))*Compilado[[#This Row],[USD]],0)</f>
        <v>469181.67539800517</v>
      </c>
      <c r="G553" s="150">
        <v>46054</v>
      </c>
    </row>
    <row r="554" spans="1:7">
      <c r="A554" t="s">
        <v>203</v>
      </c>
      <c r="B554" t="s">
        <v>93</v>
      </c>
      <c r="C554" s="2">
        <v>328.42991999999998</v>
      </c>
      <c r="D554" t="s">
        <v>4</v>
      </c>
      <c r="E554" t="str">
        <f>+INDEX(Check!$B$5:$B$33,MATCH(Compilado[[#This Row],[Items]],Check!$C$5:$C$33,0))</f>
        <v>FITOSANITARIOS</v>
      </c>
      <c r="F554" s="69">
        <f>+IFERROR(INDEX(Tabla2[TC],MATCH(Compilado[[#This Row],[Mes]],Tabla2[Mes],0))*Compilado[[#This Row],[USD]],0)</f>
        <v>389021.40630107844</v>
      </c>
      <c r="G554" s="150">
        <v>45931</v>
      </c>
    </row>
    <row r="555" spans="1:7">
      <c r="A555" t="s">
        <v>203</v>
      </c>
      <c r="B555" t="s">
        <v>94</v>
      </c>
      <c r="C555" s="2">
        <v>394.11590399999994</v>
      </c>
      <c r="D555" t="s">
        <v>4</v>
      </c>
      <c r="E555" t="str">
        <f>+INDEX(Check!$B$5:$B$33,MATCH(Compilado[[#This Row],[Items]],Check!$C$5:$C$33,0))</f>
        <v>FITOSANITARIOS</v>
      </c>
      <c r="F555" s="69">
        <f>+IFERROR(INDEX(Tabla2[TC],MATCH(Compilado[[#This Row],[Mes]],Tabla2[Mes],0))*Compilado[[#This Row],[USD]],0)</f>
        <v>471493.94443690707</v>
      </c>
      <c r="G555" s="150">
        <v>45962</v>
      </c>
    </row>
    <row r="556" spans="1:7">
      <c r="A556" t="s">
        <v>203</v>
      </c>
      <c r="B556" t="s">
        <v>95</v>
      </c>
      <c r="C556" s="2">
        <v>328.42991999999998</v>
      </c>
      <c r="D556" t="s">
        <v>4</v>
      </c>
      <c r="E556" t="str">
        <f>+INDEX(Check!$B$5:$B$33,MATCH(Compilado[[#This Row],[Items]],Check!$C$5:$C$33,0))</f>
        <v>FITOSANITARIOS</v>
      </c>
      <c r="F556" s="69">
        <f>+IFERROR(INDEX(Tabla2[TC],MATCH(Compilado[[#This Row],[Mes]],Tabla2[Mes],0))*Compilado[[#This Row],[USD]],0)</f>
        <v>396840.73656773014</v>
      </c>
      <c r="G556" s="150">
        <v>45992</v>
      </c>
    </row>
    <row r="557" spans="1:7">
      <c r="A557" t="s">
        <v>203</v>
      </c>
      <c r="B557" t="s">
        <v>97</v>
      </c>
      <c r="C557" s="2">
        <v>591.17385599999989</v>
      </c>
      <c r="D557" t="s">
        <v>4</v>
      </c>
      <c r="E557" t="str">
        <f>+INDEX(Check!$B$5:$B$33,MATCH(Compilado[[#This Row],[Items]],Check!$C$5:$C$33,0))</f>
        <v>FITOSANITARIOS</v>
      </c>
      <c r="F557" s="69">
        <f>+IFERROR(INDEX(Tabla2[TC],MATCH(Compilado[[#This Row],[Mes]],Tabla2[Mes],0))*Compilado[[#This Row],[USD]],0)</f>
        <v>728671.02367093461</v>
      </c>
      <c r="G557" s="150">
        <v>46054</v>
      </c>
    </row>
    <row r="558" spans="1:7">
      <c r="A558" t="s">
        <v>203</v>
      </c>
      <c r="B558" t="s">
        <v>93</v>
      </c>
      <c r="C558" s="2">
        <v>275.72688000000005</v>
      </c>
      <c r="D558" t="s">
        <v>4</v>
      </c>
      <c r="E558" t="str">
        <f>+INDEX(Check!$B$5:$B$33,MATCH(Compilado[[#This Row],[Items]],Check!$C$5:$C$33,0))</f>
        <v>FITOSANITARIOS</v>
      </c>
      <c r="F558" s="69">
        <f>+IFERROR(INDEX(Tabla2[TC],MATCH(Compilado[[#This Row],[Mes]],Tabla2[Mes],0))*Compilado[[#This Row],[USD]],0)</f>
        <v>326595.27065198182</v>
      </c>
      <c r="G558" s="150">
        <v>45931</v>
      </c>
    </row>
    <row r="559" spans="1:7">
      <c r="A559" t="s">
        <v>203</v>
      </c>
      <c r="B559" t="s">
        <v>94</v>
      </c>
      <c r="C559" s="2">
        <v>330.87225600000005</v>
      </c>
      <c r="D559" t="s">
        <v>4</v>
      </c>
      <c r="E559" t="str">
        <f>+INDEX(Check!$B$5:$B$33,MATCH(Compilado[[#This Row],[Items]],Check!$C$5:$C$33,0))</f>
        <v>FITOSANITARIOS</v>
      </c>
      <c r="F559" s="69">
        <f>+IFERROR(INDEX(Tabla2[TC],MATCH(Compilado[[#This Row],[Mes]],Tabla2[Mes],0))*Compilado[[#This Row],[USD]],0)</f>
        <v>395833.46803020191</v>
      </c>
      <c r="G559" s="150">
        <v>45962</v>
      </c>
    </row>
    <row r="560" spans="1:7">
      <c r="A560" t="s">
        <v>203</v>
      </c>
      <c r="B560" t="s">
        <v>95</v>
      </c>
      <c r="C560" s="2">
        <v>275.72688000000005</v>
      </c>
      <c r="D560" t="s">
        <v>4</v>
      </c>
      <c r="E560" t="str">
        <f>+INDEX(Check!$B$5:$B$33,MATCH(Compilado[[#This Row],[Items]],Check!$C$5:$C$33,0))</f>
        <v>FITOSANITARIOS</v>
      </c>
      <c r="F560" s="69">
        <f>+IFERROR(INDEX(Tabla2[TC],MATCH(Compilado[[#This Row],[Mes]],Tabla2[Mes],0))*Compilado[[#This Row],[USD]],0)</f>
        <v>333159.8355920866</v>
      </c>
      <c r="G560" s="150">
        <v>45992</v>
      </c>
    </row>
    <row r="561" spans="1:7">
      <c r="A561" t="s">
        <v>203</v>
      </c>
      <c r="B561" t="s">
        <v>97</v>
      </c>
      <c r="C561" s="2">
        <v>496.3083840000001</v>
      </c>
      <c r="D561" t="s">
        <v>4</v>
      </c>
      <c r="E561" t="str">
        <f>+INDEX(Check!$B$5:$B$33,MATCH(Compilado[[#This Row],[Items]],Check!$C$5:$C$33,0))</f>
        <v>FITOSANITARIOS</v>
      </c>
      <c r="F561" s="69">
        <f>+IFERROR(INDEX(Tabla2[TC],MATCH(Compilado[[#This Row],[Mes]],Tabla2[Mes],0))*Compilado[[#This Row],[USD]],0)</f>
        <v>611741.42691747763</v>
      </c>
      <c r="G561" s="150">
        <v>46054</v>
      </c>
    </row>
    <row r="562" spans="1:7">
      <c r="A562" t="s">
        <v>204</v>
      </c>
      <c r="B562" t="s">
        <v>93</v>
      </c>
      <c r="C562" s="2">
        <v>245.14804687500001</v>
      </c>
      <c r="D562" t="s">
        <v>4</v>
      </c>
      <c r="E562" t="str">
        <f>+INDEX(Check!$B$5:$B$33,MATCH(Compilado[[#This Row],[Items]],Check!$C$5:$C$33,0))</f>
        <v>FITOSANITARIOS</v>
      </c>
      <c r="F562" s="69">
        <f>+IFERROR(INDEX(Tabla2[TC],MATCH(Compilado[[#This Row],[Mes]],Tabla2[Mes],0))*Compilado[[#This Row],[USD]],0)</f>
        <v>290374.99977856834</v>
      </c>
      <c r="G562" s="150">
        <v>45931</v>
      </c>
    </row>
    <row r="563" spans="1:7">
      <c r="A563" t="s">
        <v>204</v>
      </c>
      <c r="B563" t="s">
        <v>94</v>
      </c>
      <c r="C563" s="2">
        <v>294.17765624999993</v>
      </c>
      <c r="D563" t="s">
        <v>4</v>
      </c>
      <c r="E563" t="str">
        <f>+INDEX(Check!$B$5:$B$33,MATCH(Compilado[[#This Row],[Items]],Check!$C$5:$C$33,0))</f>
        <v>FITOSANITARIOS</v>
      </c>
      <c r="F563" s="69">
        <f>+IFERROR(INDEX(Tabla2[TC],MATCH(Compilado[[#This Row],[Mes]],Tabla2[Mes],0))*Compilado[[#This Row],[USD]],0)</f>
        <v>351934.49973162473</v>
      </c>
      <c r="G563" s="150">
        <v>45962</v>
      </c>
    </row>
    <row r="564" spans="1:7">
      <c r="A564" t="s">
        <v>204</v>
      </c>
      <c r="B564" t="s">
        <v>95</v>
      </c>
      <c r="C564" s="2">
        <v>245.14804687500001</v>
      </c>
      <c r="D564" t="s">
        <v>4</v>
      </c>
      <c r="E564" t="str">
        <f>+INDEX(Check!$B$5:$B$33,MATCH(Compilado[[#This Row],[Items]],Check!$C$5:$C$33,0))</f>
        <v>FITOSANITARIOS</v>
      </c>
      <c r="F564" s="69">
        <f>+IFERROR(INDEX(Tabla2[TC],MATCH(Compilado[[#This Row],[Mes]],Tabla2[Mes],0))*Compilado[[#This Row],[USD]],0)</f>
        <v>296211.53727411752</v>
      </c>
      <c r="G564" s="150">
        <v>45992</v>
      </c>
    </row>
    <row r="565" spans="1:7">
      <c r="A565" t="s">
        <v>204</v>
      </c>
      <c r="B565" t="s">
        <v>97</v>
      </c>
      <c r="C565" s="2">
        <v>441.26648437499995</v>
      </c>
      <c r="D565" t="s">
        <v>4</v>
      </c>
      <c r="E565" t="str">
        <f>+INDEX(Check!$B$5:$B$33,MATCH(Compilado[[#This Row],[Items]],Check!$C$5:$C$33,0))</f>
        <v>FITOSANITARIOS</v>
      </c>
      <c r="F565" s="69">
        <f>+IFERROR(INDEX(Tabla2[TC],MATCH(Compilado[[#This Row],[Mes]],Tabla2[Mes],0))*Compilado[[#This Row],[USD]],0)</f>
        <v>543897.70051198907</v>
      </c>
      <c r="G565" s="150">
        <v>46054</v>
      </c>
    </row>
    <row r="566" spans="1:7">
      <c r="A566" t="s">
        <v>204</v>
      </c>
      <c r="B566" t="s">
        <v>93</v>
      </c>
      <c r="C566" s="2">
        <v>85.083078960740067</v>
      </c>
      <c r="D566" t="s">
        <v>4</v>
      </c>
      <c r="E566" t="str">
        <f>+INDEX(Check!$B$5:$B$33,MATCH(Compilado[[#This Row],[Items]],Check!$C$5:$C$33,0))</f>
        <v>FITOSANITARIOS</v>
      </c>
      <c r="F566" s="69">
        <f>+IFERROR(INDEX(Tabla2[TC],MATCH(Compilado[[#This Row],[Mes]],Tabla2[Mes],0))*Compilado[[#This Row],[USD]],0)</f>
        <v>100779.91380850077</v>
      </c>
      <c r="G566" s="150">
        <v>45931</v>
      </c>
    </row>
    <row r="567" spans="1:7">
      <c r="A567" t="s">
        <v>204</v>
      </c>
      <c r="B567" t="s">
        <v>94</v>
      </c>
      <c r="C567" s="2">
        <v>102.09969475288808</v>
      </c>
      <c r="D567" t="s">
        <v>4</v>
      </c>
      <c r="E567" t="str">
        <f>+INDEX(Check!$B$5:$B$33,MATCH(Compilado[[#This Row],[Items]],Check!$C$5:$C$33,0))</f>
        <v>FITOSANITARIOS</v>
      </c>
      <c r="F567" s="69">
        <f>+IFERROR(INDEX(Tabla2[TC],MATCH(Compilado[[#This Row],[Mes]],Tabla2[Mes],0))*Compilado[[#This Row],[USD]],0)</f>
        <v>122145.25553590294</v>
      </c>
      <c r="G567" s="150">
        <v>45962</v>
      </c>
    </row>
    <row r="568" spans="1:7">
      <c r="A568" t="s">
        <v>204</v>
      </c>
      <c r="B568" t="s">
        <v>95</v>
      </c>
      <c r="C568" s="2">
        <v>85.083078960740067</v>
      </c>
      <c r="D568" t="s">
        <v>4</v>
      </c>
      <c r="E568" t="str">
        <f>+INDEX(Check!$B$5:$B$33,MATCH(Compilado[[#This Row],[Items]],Check!$C$5:$C$33,0))</f>
        <v>FITOSANITARIOS</v>
      </c>
      <c r="F568" s="69">
        <f>+IFERROR(INDEX(Tabla2[TC],MATCH(Compilado[[#This Row],[Mes]],Tabla2[Mes],0))*Compilado[[#This Row],[USD]],0)</f>
        <v>102805.59007605164</v>
      </c>
      <c r="G568" s="150">
        <v>45992</v>
      </c>
    </row>
    <row r="569" spans="1:7">
      <c r="A569" t="s">
        <v>204</v>
      </c>
      <c r="B569" t="s">
        <v>97</v>
      </c>
      <c r="C569" s="2">
        <v>153.1495421293321</v>
      </c>
      <c r="D569" t="s">
        <v>4</v>
      </c>
      <c r="E569" t="str">
        <f>+INDEX(Check!$B$5:$B$33,MATCH(Compilado[[#This Row],[Items]],Check!$C$5:$C$33,0))</f>
        <v>FITOSANITARIOS</v>
      </c>
      <c r="F569" s="69">
        <f>+IFERROR(INDEX(Tabla2[TC],MATCH(Compilado[[#This Row],[Mes]],Tabla2[Mes],0))*Compilado[[#This Row],[USD]],0)</f>
        <v>188769.56838584447</v>
      </c>
      <c r="G569" s="150">
        <v>46054</v>
      </c>
    </row>
    <row r="570" spans="1:7">
      <c r="A570" t="s">
        <v>204</v>
      </c>
      <c r="B570" t="s">
        <v>93</v>
      </c>
      <c r="C570" s="2">
        <v>49.971093749999994</v>
      </c>
      <c r="D570" t="s">
        <v>4</v>
      </c>
      <c r="E570" t="str">
        <f>+INDEX(Check!$B$5:$B$33,MATCH(Compilado[[#This Row],[Items]],Check!$C$5:$C$33,0))</f>
        <v>FITOSANITARIOS</v>
      </c>
      <c r="F570" s="69">
        <f>+IFERROR(INDEX(Tabla2[TC],MATCH(Compilado[[#This Row],[Mes]],Tabla2[Mes],0))*Compilado[[#This Row],[USD]],0)</f>
        <v>59190.177207448185</v>
      </c>
      <c r="G570" s="150">
        <v>45931</v>
      </c>
    </row>
    <row r="571" spans="1:7">
      <c r="A571" t="s">
        <v>204</v>
      </c>
      <c r="B571" t="s">
        <v>94</v>
      </c>
      <c r="C571" s="2">
        <v>59.965312499999989</v>
      </c>
      <c r="D571" t="s">
        <v>4</v>
      </c>
      <c r="E571" t="str">
        <f>+INDEX(Check!$B$5:$B$33,MATCH(Compilado[[#This Row],[Items]],Check!$C$5:$C$33,0))</f>
        <v>FITOSANITARIOS</v>
      </c>
      <c r="F571" s="69">
        <f>+IFERROR(INDEX(Tabla2[TC],MATCH(Compilado[[#This Row],[Mes]],Tabla2[Mes],0))*Compilado[[#This Row],[USD]],0)</f>
        <v>71738.4947754272</v>
      </c>
      <c r="G571" s="150">
        <v>45962</v>
      </c>
    </row>
    <row r="572" spans="1:7">
      <c r="A572" t="s">
        <v>204</v>
      </c>
      <c r="B572" t="s">
        <v>95</v>
      </c>
      <c r="C572" s="2">
        <v>49.971093749999994</v>
      </c>
      <c r="D572" t="s">
        <v>4</v>
      </c>
      <c r="E572" t="str">
        <f>+INDEX(Check!$B$5:$B$33,MATCH(Compilado[[#This Row],[Items]],Check!$C$5:$C$33,0))</f>
        <v>FITOSANITARIOS</v>
      </c>
      <c r="F572" s="69">
        <f>+IFERROR(INDEX(Tabla2[TC],MATCH(Compilado[[#This Row],[Mes]],Tabla2[Mes],0))*Compilado[[#This Row],[USD]],0)</f>
        <v>60379.89976931789</v>
      </c>
      <c r="G572" s="150">
        <v>45992</v>
      </c>
    </row>
    <row r="573" spans="1:7">
      <c r="A573" t="s">
        <v>204</v>
      </c>
      <c r="B573" t="s">
        <v>97</v>
      </c>
      <c r="C573" s="2">
        <v>89.947968749999987</v>
      </c>
      <c r="D573" t="s">
        <v>4</v>
      </c>
      <c r="E573" t="str">
        <f>+INDEX(Check!$B$5:$B$33,MATCH(Compilado[[#This Row],[Items]],Check!$C$5:$C$33,0))</f>
        <v>FITOSANITARIOS</v>
      </c>
      <c r="F573" s="69">
        <f>+IFERROR(INDEX(Tabla2[TC],MATCH(Compilado[[#This Row],[Mes]],Tabla2[Mes],0))*Compilado[[#This Row],[USD]],0)</f>
        <v>110868.36435842612</v>
      </c>
      <c r="G573" s="150">
        <v>46054</v>
      </c>
    </row>
    <row r="574" spans="1:7">
      <c r="A574" t="s">
        <v>204</v>
      </c>
      <c r="B574" t="s">
        <v>93</v>
      </c>
      <c r="C574" s="2">
        <v>0</v>
      </c>
      <c r="D574" t="s">
        <v>4</v>
      </c>
      <c r="E574" t="str">
        <f>+INDEX(Check!$B$5:$B$33,MATCH(Compilado[[#This Row],[Items]],Check!$C$5:$C$33,0))</f>
        <v>FITOSANITARIOS</v>
      </c>
      <c r="F574" s="69">
        <f>+IFERROR(INDEX(Tabla2[TC],MATCH(Compilado[[#This Row],[Mes]],Tabla2[Mes],0))*Compilado[[#This Row],[USD]],0)</f>
        <v>0</v>
      </c>
      <c r="G574" s="150">
        <v>45931</v>
      </c>
    </row>
    <row r="575" spans="1:7">
      <c r="A575" t="s">
        <v>204</v>
      </c>
      <c r="B575" t="s">
        <v>94</v>
      </c>
      <c r="C575" s="2">
        <v>0</v>
      </c>
      <c r="D575" t="s">
        <v>4</v>
      </c>
      <c r="E575" t="str">
        <f>+INDEX(Check!$B$5:$B$33,MATCH(Compilado[[#This Row],[Items]],Check!$C$5:$C$33,0))</f>
        <v>FITOSANITARIOS</v>
      </c>
      <c r="F575" s="69">
        <f>+IFERROR(INDEX(Tabla2[TC],MATCH(Compilado[[#This Row],[Mes]],Tabla2[Mes],0))*Compilado[[#This Row],[USD]],0)</f>
        <v>0</v>
      </c>
      <c r="G575" s="150">
        <v>45962</v>
      </c>
    </row>
    <row r="576" spans="1:7">
      <c r="A576" t="s">
        <v>204</v>
      </c>
      <c r="B576" t="s">
        <v>95</v>
      </c>
      <c r="C576" s="2">
        <v>0</v>
      </c>
      <c r="D576" t="s">
        <v>4</v>
      </c>
      <c r="E576" t="str">
        <f>+INDEX(Check!$B$5:$B$33,MATCH(Compilado[[#This Row],[Items]],Check!$C$5:$C$33,0))</f>
        <v>FITOSANITARIOS</v>
      </c>
      <c r="F576" s="69">
        <f>+IFERROR(INDEX(Tabla2[TC],MATCH(Compilado[[#This Row],[Mes]],Tabla2[Mes],0))*Compilado[[#This Row],[USD]],0)</f>
        <v>0</v>
      </c>
      <c r="G576" s="150">
        <v>45992</v>
      </c>
    </row>
    <row r="577" spans="1:7">
      <c r="A577" t="s">
        <v>204</v>
      </c>
      <c r="B577" t="s">
        <v>97</v>
      </c>
      <c r="C577" s="2">
        <v>0</v>
      </c>
      <c r="D577" t="s">
        <v>4</v>
      </c>
      <c r="E577" t="str">
        <f>+INDEX(Check!$B$5:$B$33,MATCH(Compilado[[#This Row],[Items]],Check!$C$5:$C$33,0))</f>
        <v>FITOSANITARIOS</v>
      </c>
      <c r="F577" s="69">
        <f>+IFERROR(INDEX(Tabla2[TC],MATCH(Compilado[[#This Row],[Mes]],Tabla2[Mes],0))*Compilado[[#This Row],[USD]],0)</f>
        <v>0</v>
      </c>
      <c r="G577" s="150">
        <v>46054</v>
      </c>
    </row>
    <row r="578" spans="1:7">
      <c r="A578" t="s">
        <v>205</v>
      </c>
      <c r="B578" t="s">
        <v>93</v>
      </c>
      <c r="C578" s="2">
        <v>3.6160950400000007</v>
      </c>
      <c r="D578" t="s">
        <v>4</v>
      </c>
      <c r="E578" t="str">
        <f>+INDEX(Check!$B$5:$B$33,MATCH(Compilado[[#This Row],[Items]],Check!$C$5:$C$33,0))</f>
        <v>FITOSANITARIOS</v>
      </c>
      <c r="F578" s="69">
        <f>+IFERROR(INDEX(Tabla2[TC],MATCH(Compilado[[#This Row],[Mes]],Tabla2[Mes],0))*Compilado[[#This Row],[USD]],0)</f>
        <v>4283.2223622596712</v>
      </c>
      <c r="G578" s="150">
        <v>45931</v>
      </c>
    </row>
    <row r="579" spans="1:7">
      <c r="A579" t="s">
        <v>205</v>
      </c>
      <c r="B579" t="s">
        <v>94</v>
      </c>
      <c r="C579" s="2">
        <v>4.3393140480000003</v>
      </c>
      <c r="D579" t="s">
        <v>4</v>
      </c>
      <c r="E579" t="str">
        <f>+INDEX(Check!$B$5:$B$33,MATCH(Compilado[[#This Row],[Items]],Check!$C$5:$C$33,0))</f>
        <v>FITOSANITARIOS</v>
      </c>
      <c r="F579" s="69">
        <f>+IFERROR(INDEX(Tabla2[TC],MATCH(Compilado[[#This Row],[Mes]],Tabla2[Mes],0))*Compilado[[#This Row],[USD]],0)</f>
        <v>5191.2655030587212</v>
      </c>
      <c r="G579" s="150">
        <v>45962</v>
      </c>
    </row>
    <row r="580" spans="1:7">
      <c r="A580" t="s">
        <v>205</v>
      </c>
      <c r="B580" t="s">
        <v>95</v>
      </c>
      <c r="C580" s="2">
        <v>3.6160950400000007</v>
      </c>
      <c r="D580" t="s">
        <v>4</v>
      </c>
      <c r="E580" t="str">
        <f>+INDEX(Check!$B$5:$B$33,MATCH(Compilado[[#This Row],[Items]],Check!$C$5:$C$33,0))</f>
        <v>FITOSANITARIOS</v>
      </c>
      <c r="F580" s="69">
        <f>+IFERROR(INDEX(Tabla2[TC],MATCH(Compilado[[#This Row],[Mes]],Tabla2[Mes],0))*Compilado[[#This Row],[USD]],0)</f>
        <v>4369.3151317410911</v>
      </c>
      <c r="G580" s="150">
        <v>45992</v>
      </c>
    </row>
    <row r="581" spans="1:7">
      <c r="A581" t="s">
        <v>205</v>
      </c>
      <c r="B581" t="s">
        <v>97</v>
      </c>
      <c r="C581" s="2">
        <v>6.5089710720000005</v>
      </c>
      <c r="D581" t="s">
        <v>4</v>
      </c>
      <c r="E581" t="str">
        <f>+INDEX(Check!$B$5:$B$33,MATCH(Compilado[[#This Row],[Items]],Check!$C$5:$C$33,0))</f>
        <v>FITOSANITARIOS</v>
      </c>
      <c r="F581" s="69">
        <f>+IFERROR(INDEX(Tabla2[TC],MATCH(Compilado[[#This Row],[Mes]],Tabla2[Mes],0))*Compilado[[#This Row],[USD]],0)</f>
        <v>8022.8490586003545</v>
      </c>
      <c r="G581" s="150">
        <v>46054</v>
      </c>
    </row>
    <row r="582" spans="1:7">
      <c r="A582" t="s">
        <v>205</v>
      </c>
      <c r="B582" t="s">
        <v>93</v>
      </c>
      <c r="C582" s="2">
        <v>60.790399999999991</v>
      </c>
      <c r="D582" t="s">
        <v>4</v>
      </c>
      <c r="E582" t="str">
        <f>+INDEX(Check!$B$5:$B$33,MATCH(Compilado[[#This Row],[Items]],Check!$C$5:$C$33,0))</f>
        <v>FITOSANITARIOS</v>
      </c>
      <c r="F582" s="69">
        <f>+IFERROR(INDEX(Tabla2[TC],MATCH(Compilado[[#This Row],[Mes]],Tabla2[Mes],0))*Compilado[[#This Row],[USD]],0)</f>
        <v>72005.519160998112</v>
      </c>
      <c r="G582" s="150">
        <v>45931</v>
      </c>
    </row>
    <row r="583" spans="1:7">
      <c r="A583" t="s">
        <v>205</v>
      </c>
      <c r="B583" t="s">
        <v>94</v>
      </c>
      <c r="C583" s="2">
        <v>72.948479999999989</v>
      </c>
      <c r="D583" t="s">
        <v>4</v>
      </c>
      <c r="E583" t="str">
        <f>+INDEX(Check!$B$5:$B$33,MATCH(Compilado[[#This Row],[Items]],Check!$C$5:$C$33,0))</f>
        <v>FITOSANITARIOS</v>
      </c>
      <c r="F583" s="69">
        <f>+IFERROR(INDEX(Tabla2[TC],MATCH(Compilado[[#This Row],[Mes]],Tabla2[Mes],0))*Compilado[[#This Row],[USD]],0)</f>
        <v>87270.68922312971</v>
      </c>
      <c r="G583" s="150">
        <v>45962</v>
      </c>
    </row>
    <row r="584" spans="1:7">
      <c r="A584" t="s">
        <v>205</v>
      </c>
      <c r="B584" t="s">
        <v>95</v>
      </c>
      <c r="C584" s="2">
        <v>60.790399999999991</v>
      </c>
      <c r="D584" t="s">
        <v>4</v>
      </c>
      <c r="E584" t="str">
        <f>+INDEX(Check!$B$5:$B$33,MATCH(Compilado[[#This Row],[Items]],Check!$C$5:$C$33,0))</f>
        <v>FITOSANITARIOS</v>
      </c>
      <c r="F584" s="69">
        <f>+IFERROR(INDEX(Tabla2[TC],MATCH(Compilado[[#This Row],[Mes]],Tabla2[Mes],0))*Compilado[[#This Row],[USD]],0)</f>
        <v>73452.830096134174</v>
      </c>
      <c r="G584" s="150">
        <v>45992</v>
      </c>
    </row>
    <row r="585" spans="1:7">
      <c r="A585" t="s">
        <v>205</v>
      </c>
      <c r="B585" t="s">
        <v>97</v>
      </c>
      <c r="C585" s="2">
        <v>109.42271999999996</v>
      </c>
      <c r="D585" t="s">
        <v>4</v>
      </c>
      <c r="E585" t="str">
        <f>+INDEX(Check!$B$5:$B$33,MATCH(Compilado[[#This Row],[Items]],Check!$C$5:$C$33,0))</f>
        <v>FITOSANITARIOS</v>
      </c>
      <c r="F585" s="69">
        <f>+IFERROR(INDEX(Tabla2[TC],MATCH(Compilado[[#This Row],[Mes]],Tabla2[Mes],0))*Compilado[[#This Row],[USD]],0)</f>
        <v>134872.61756591962</v>
      </c>
      <c r="G585" s="150">
        <v>46054</v>
      </c>
    </row>
    <row r="586" spans="1:7">
      <c r="A586" t="s">
        <v>206</v>
      </c>
      <c r="B586" t="s">
        <v>93</v>
      </c>
      <c r="C586" s="2">
        <v>14.484375</v>
      </c>
      <c r="D586" t="s">
        <v>4</v>
      </c>
      <c r="E586" t="str">
        <f>+INDEX(Check!$B$5:$B$33,MATCH(Compilado[[#This Row],[Items]],Check!$C$5:$C$33,0))</f>
        <v>FITOSANITARIOS</v>
      </c>
      <c r="F586" s="69">
        <f>+IFERROR(INDEX(Tabla2[TC],MATCH(Compilado[[#This Row],[Mes]],Tabla2[Mes],0))*Compilado[[#This Row],[USD]],0)</f>
        <v>17156.573103608171</v>
      </c>
      <c r="G586" s="150">
        <v>45931</v>
      </c>
    </row>
    <row r="587" spans="1:7">
      <c r="A587" t="s">
        <v>206</v>
      </c>
      <c r="B587" t="s">
        <v>94</v>
      </c>
      <c r="C587" s="2">
        <v>17.381249999999998</v>
      </c>
      <c r="D587" t="s">
        <v>4</v>
      </c>
      <c r="E587" t="str">
        <f>+INDEX(Check!$B$5:$B$33,MATCH(Compilado[[#This Row],[Items]],Check!$C$5:$C$33,0))</f>
        <v>FITOSANITARIOS</v>
      </c>
      <c r="F587" s="69">
        <f>+IFERROR(INDEX(Tabla2[TC],MATCH(Compilado[[#This Row],[Mes]],Tabla2[Mes],0))*Compilado[[#This Row],[USD]],0)</f>
        <v>20793.766601573101</v>
      </c>
      <c r="G587" s="150">
        <v>45962</v>
      </c>
    </row>
    <row r="588" spans="1:7">
      <c r="A588" t="s">
        <v>206</v>
      </c>
      <c r="B588" t="s">
        <v>95</v>
      </c>
      <c r="C588" s="2">
        <v>14.484375</v>
      </c>
      <c r="D588" t="s">
        <v>4</v>
      </c>
      <c r="E588" t="str">
        <f>+INDEX(Check!$B$5:$B$33,MATCH(Compilado[[#This Row],[Items]],Check!$C$5:$C$33,0))</f>
        <v>FITOSANITARIOS</v>
      </c>
      <c r="F588" s="69">
        <f>+IFERROR(INDEX(Tabla2[TC],MATCH(Compilado[[#This Row],[Mes]],Tabla2[Mes],0))*Compilado[[#This Row],[USD]],0)</f>
        <v>17501.420222990695</v>
      </c>
      <c r="G588" s="150">
        <v>45992</v>
      </c>
    </row>
    <row r="589" spans="1:7">
      <c r="A589" t="s">
        <v>206</v>
      </c>
      <c r="B589" t="s">
        <v>97</v>
      </c>
      <c r="C589" s="2">
        <v>26.071874999999999</v>
      </c>
      <c r="D589" t="s">
        <v>4</v>
      </c>
      <c r="E589" t="str">
        <f>+INDEX(Check!$B$5:$B$33,MATCH(Compilado[[#This Row],[Items]],Check!$C$5:$C$33,0))</f>
        <v>FITOSANITARIOS</v>
      </c>
      <c r="F589" s="69">
        <f>+IFERROR(INDEX(Tabla2[TC],MATCH(Compilado[[#This Row],[Mes]],Tabla2[Mes],0))*Compilado[[#This Row],[USD]],0)</f>
        <v>32135.757785051053</v>
      </c>
      <c r="G589" s="150">
        <v>46054</v>
      </c>
    </row>
    <row r="590" spans="1:7">
      <c r="A590" t="s">
        <v>206</v>
      </c>
      <c r="B590" t="s">
        <v>93</v>
      </c>
      <c r="C590" s="2">
        <v>65.075400000000002</v>
      </c>
      <c r="D590" t="s">
        <v>4</v>
      </c>
      <c r="E590" t="str">
        <f>+INDEX(Check!$B$5:$B$33,MATCH(Compilado[[#This Row],[Items]],Check!$C$5:$C$33,0))</f>
        <v>FITOSANITARIOS</v>
      </c>
      <c r="F590" s="69">
        <f>+IFERROR(INDEX(Tabla2[TC],MATCH(Compilado[[#This Row],[Mes]],Tabla2[Mes],0))*Compilado[[#This Row],[USD]],0)</f>
        <v>77081.051639890793</v>
      </c>
      <c r="G590" s="150">
        <v>45931</v>
      </c>
    </row>
    <row r="591" spans="1:7">
      <c r="A591" t="s">
        <v>206</v>
      </c>
      <c r="B591" t="s">
        <v>94</v>
      </c>
      <c r="C591" s="2">
        <v>78.090479999999999</v>
      </c>
      <c r="D591" t="s">
        <v>4</v>
      </c>
      <c r="E591" t="str">
        <f>+INDEX(Check!$B$5:$B$33,MATCH(Compilado[[#This Row],[Items]],Check!$C$5:$C$33,0))</f>
        <v>FITOSANITARIOS</v>
      </c>
      <c r="F591" s="69">
        <f>+IFERROR(INDEX(Tabla2[TC],MATCH(Compilado[[#This Row],[Mes]],Tabla2[Mes],0))*Compilado[[#This Row],[USD]],0)</f>
        <v>93422.234587547646</v>
      </c>
      <c r="G591" s="150">
        <v>45962</v>
      </c>
    </row>
    <row r="592" spans="1:7">
      <c r="A592" t="s">
        <v>206</v>
      </c>
      <c r="B592" t="s">
        <v>95</v>
      </c>
      <c r="C592" s="2">
        <v>65.075400000000002</v>
      </c>
      <c r="D592" t="s">
        <v>4</v>
      </c>
      <c r="E592" t="str">
        <f>+INDEX(Check!$B$5:$B$33,MATCH(Compilado[[#This Row],[Items]],Check!$C$5:$C$33,0))</f>
        <v>FITOSANITARIOS</v>
      </c>
      <c r="F592" s="69">
        <f>+IFERROR(INDEX(Tabla2[TC],MATCH(Compilado[[#This Row],[Mes]],Tabla2[Mes],0))*Compilado[[#This Row],[USD]],0)</f>
        <v>78630.380777852595</v>
      </c>
      <c r="G592" s="150">
        <v>45992</v>
      </c>
    </row>
    <row r="593" spans="1:7">
      <c r="A593" t="s">
        <v>206</v>
      </c>
      <c r="B593" t="s">
        <v>97</v>
      </c>
      <c r="C593" s="2">
        <v>117.13572000000001</v>
      </c>
      <c r="D593" t="s">
        <v>4</v>
      </c>
      <c r="E593" t="str">
        <f>+INDEX(Check!$B$5:$B$33,MATCH(Compilado[[#This Row],[Items]],Check!$C$5:$C$33,0))</f>
        <v>FITOSANITARIOS</v>
      </c>
      <c r="F593" s="69">
        <f>+IFERROR(INDEX(Tabla2[TC],MATCH(Compilado[[#This Row],[Mes]],Tabla2[Mes],0))*Compilado[[#This Row],[USD]],0)</f>
        <v>144379.53257667739</v>
      </c>
      <c r="G593" s="150">
        <v>46054</v>
      </c>
    </row>
    <row r="594" spans="1:7">
      <c r="A594" t="s">
        <v>206</v>
      </c>
      <c r="B594" t="s">
        <v>93</v>
      </c>
      <c r="C594" s="2">
        <v>81.127332000000038</v>
      </c>
      <c r="D594" t="s">
        <v>4</v>
      </c>
      <c r="E594" t="str">
        <f>+INDEX(Check!$B$5:$B$33,MATCH(Compilado[[#This Row],[Items]],Check!$C$5:$C$33,0))</f>
        <v>FITOSANITARIOS</v>
      </c>
      <c r="F594" s="69">
        <f>+IFERROR(INDEX(Tabla2[TC],MATCH(Compilado[[#This Row],[Mes]],Tabla2[Mes],0))*Compilado[[#This Row],[USD]],0)</f>
        <v>96094.377711063906</v>
      </c>
      <c r="G594" s="150">
        <v>45931</v>
      </c>
    </row>
    <row r="595" spans="1:7">
      <c r="A595" t="s">
        <v>206</v>
      </c>
      <c r="B595" t="s">
        <v>94</v>
      </c>
      <c r="C595" s="2">
        <v>97.352798400000012</v>
      </c>
      <c r="D595" t="s">
        <v>4</v>
      </c>
      <c r="E595" t="str">
        <f>+INDEX(Check!$B$5:$B$33,MATCH(Compilado[[#This Row],[Items]],Check!$C$5:$C$33,0))</f>
        <v>FITOSANITARIOS</v>
      </c>
      <c r="F595" s="69">
        <f>+IFERROR(INDEX(Tabla2[TC],MATCH(Compilado[[#This Row],[Mes]],Tabla2[Mes],0))*Compilado[[#This Row],[USD]],0)</f>
        <v>116466.38578580941</v>
      </c>
      <c r="G595" s="150">
        <v>45962</v>
      </c>
    </row>
    <row r="596" spans="1:7">
      <c r="A596" t="s">
        <v>206</v>
      </c>
      <c r="B596" t="s">
        <v>95</v>
      </c>
      <c r="C596" s="2">
        <v>81.127332000000038</v>
      </c>
      <c r="D596" t="s">
        <v>4</v>
      </c>
      <c r="E596" t="str">
        <f>+INDEX(Check!$B$5:$B$33,MATCH(Compilado[[#This Row],[Items]],Check!$C$5:$C$33,0))</f>
        <v>FITOSANITARIOS</v>
      </c>
      <c r="F596" s="69">
        <f>+IFERROR(INDEX(Tabla2[TC],MATCH(Compilado[[#This Row],[Mes]],Tabla2[Mes],0))*Compilado[[#This Row],[USD]],0)</f>
        <v>98025.874703056281</v>
      </c>
      <c r="G596" s="150">
        <v>45992</v>
      </c>
    </row>
    <row r="597" spans="1:7">
      <c r="A597" t="s">
        <v>206</v>
      </c>
      <c r="B597" t="s">
        <v>97</v>
      </c>
      <c r="C597" s="2">
        <v>146.0291976</v>
      </c>
      <c r="D597" t="s">
        <v>4</v>
      </c>
      <c r="E597" t="str">
        <f>+INDEX(Check!$B$5:$B$33,MATCH(Compilado[[#This Row],[Items]],Check!$C$5:$C$33,0))</f>
        <v>FITOSANITARIOS</v>
      </c>
      <c r="F597" s="69">
        <f>+IFERROR(INDEX(Tabla2[TC],MATCH(Compilado[[#This Row],[Mes]],Tabla2[Mes],0))*Compilado[[#This Row],[USD]],0)</f>
        <v>179993.1506122578</v>
      </c>
      <c r="G597" s="150">
        <v>46054</v>
      </c>
    </row>
    <row r="598" spans="1:7">
      <c r="A598" t="s">
        <v>206</v>
      </c>
      <c r="B598" t="s">
        <v>93</v>
      </c>
      <c r="C598" s="2">
        <v>85.554601599999998</v>
      </c>
      <c r="D598" t="s">
        <v>4</v>
      </c>
      <c r="E598" t="str">
        <f>+INDEX(Check!$B$5:$B$33,MATCH(Compilado[[#This Row],[Items]],Check!$C$5:$C$33,0))</f>
        <v>FITOSANITARIOS</v>
      </c>
      <c r="F598" s="69">
        <f>+IFERROR(INDEX(Tabla2[TC],MATCH(Compilado[[#This Row],[Mes]],Tabla2[Mes],0))*Compilado[[#This Row],[USD]],0)</f>
        <v>101338.42687036704</v>
      </c>
      <c r="G598" s="150">
        <v>45931</v>
      </c>
    </row>
    <row r="599" spans="1:7">
      <c r="A599" t="s">
        <v>206</v>
      </c>
      <c r="B599" t="s">
        <v>94</v>
      </c>
      <c r="C599" s="2">
        <v>102.66552192</v>
      </c>
      <c r="D599" t="s">
        <v>4</v>
      </c>
      <c r="E599" t="str">
        <f>+INDEX(Check!$B$5:$B$33,MATCH(Compilado[[#This Row],[Items]],Check!$C$5:$C$33,0))</f>
        <v>FITOSANITARIOS</v>
      </c>
      <c r="F599" s="69">
        <f>+IFERROR(INDEX(Tabla2[TC],MATCH(Compilado[[#This Row],[Mes]],Tabla2[Mes],0))*Compilado[[#This Row],[USD]],0)</f>
        <v>122822.17336688486</v>
      </c>
      <c r="G599" s="150">
        <v>45962</v>
      </c>
    </row>
    <row r="600" spans="1:7">
      <c r="A600" t="s">
        <v>206</v>
      </c>
      <c r="B600" t="s">
        <v>95</v>
      </c>
      <c r="C600" s="2">
        <v>85.554601599999998</v>
      </c>
      <c r="D600" t="s">
        <v>4</v>
      </c>
      <c r="E600" t="str">
        <f>+INDEX(Check!$B$5:$B$33,MATCH(Compilado[[#This Row],[Items]],Check!$C$5:$C$33,0))</f>
        <v>FITOSANITARIOS</v>
      </c>
      <c r="F600" s="69">
        <f>+IFERROR(INDEX(Tabla2[TC],MATCH(Compilado[[#This Row],[Mes]],Tabla2[Mes],0))*Compilado[[#This Row],[USD]],0)</f>
        <v>103375.32925046142</v>
      </c>
      <c r="G600" s="150">
        <v>45992</v>
      </c>
    </row>
    <row r="601" spans="1:7">
      <c r="A601" t="s">
        <v>206</v>
      </c>
      <c r="B601" t="s">
        <v>97</v>
      </c>
      <c r="C601" s="2">
        <v>153.99828287999998</v>
      </c>
      <c r="D601" t="s">
        <v>4</v>
      </c>
      <c r="E601" t="str">
        <f>+INDEX(Check!$B$5:$B$33,MATCH(Compilado[[#This Row],[Items]],Check!$C$5:$C$33,0))</f>
        <v>FITOSANITARIOS</v>
      </c>
      <c r="F601" s="69">
        <f>+IFERROR(INDEX(Tabla2[TC],MATCH(Compilado[[#This Row],[Mes]],Tabla2[Mes],0))*Compilado[[#This Row],[USD]],0)</f>
        <v>189815.71206311221</v>
      </c>
      <c r="G601" s="150">
        <v>46054</v>
      </c>
    </row>
    <row r="602" spans="1:7">
      <c r="A602" t="s">
        <v>206</v>
      </c>
      <c r="B602" t="s">
        <v>93</v>
      </c>
      <c r="C602" s="2">
        <v>29.419406250000005</v>
      </c>
      <c r="D602" t="s">
        <v>4</v>
      </c>
      <c r="E602" t="str">
        <f>+INDEX(Check!$B$5:$B$33,MATCH(Compilado[[#This Row],[Items]],Check!$C$5:$C$33,0))</f>
        <v>FITOSANITARIOS</v>
      </c>
      <c r="F602" s="69">
        <f>+IFERROR(INDEX(Tabla2[TC],MATCH(Compilado[[#This Row],[Mes]],Tabla2[Mes],0))*Compilado[[#This Row],[USD]],0)</f>
        <v>34846.943274588804</v>
      </c>
      <c r="G602" s="150">
        <v>45931</v>
      </c>
    </row>
    <row r="603" spans="1:7">
      <c r="A603" t="s">
        <v>206</v>
      </c>
      <c r="B603" t="s">
        <v>94</v>
      </c>
      <c r="C603" s="2">
        <v>35.303287500000003</v>
      </c>
      <c r="D603" t="s">
        <v>4</v>
      </c>
      <c r="E603" t="str">
        <f>+INDEX(Check!$B$5:$B$33,MATCH(Compilado[[#This Row],[Items]],Check!$C$5:$C$33,0))</f>
        <v>FITOSANITARIOS</v>
      </c>
      <c r="F603" s="69">
        <f>+IFERROR(INDEX(Tabla2[TC],MATCH(Compilado[[#This Row],[Mes]],Tabla2[Mes],0))*Compilado[[#This Row],[USD]],0)</f>
        <v>42234.495248801628</v>
      </c>
      <c r="G603" s="150">
        <v>45962</v>
      </c>
    </row>
    <row r="604" spans="1:7">
      <c r="A604" t="s">
        <v>206</v>
      </c>
      <c r="B604" t="s">
        <v>95</v>
      </c>
      <c r="C604" s="2">
        <v>29.419406250000005</v>
      </c>
      <c r="D604" t="s">
        <v>4</v>
      </c>
      <c r="E604" t="str">
        <f>+INDEX(Check!$B$5:$B$33,MATCH(Compilado[[#This Row],[Items]],Check!$C$5:$C$33,0))</f>
        <v>FITOSANITARIOS</v>
      </c>
      <c r="F604" s="69">
        <f>+IFERROR(INDEX(Tabla2[TC],MATCH(Compilado[[#This Row],[Mes]],Tabla2[Mes],0))*Compilado[[#This Row],[USD]],0)</f>
        <v>35547.366834408043</v>
      </c>
      <c r="G604" s="150">
        <v>45992</v>
      </c>
    </row>
    <row r="605" spans="1:7">
      <c r="A605" t="s">
        <v>206</v>
      </c>
      <c r="B605" t="s">
        <v>97</v>
      </c>
      <c r="C605" s="2">
        <v>52.954931250000001</v>
      </c>
      <c r="D605" t="s">
        <v>4</v>
      </c>
      <c r="E605" t="str">
        <f>+INDEX(Check!$B$5:$B$33,MATCH(Compilado[[#This Row],[Items]],Check!$C$5:$C$33,0))</f>
        <v>FITOSANITARIOS</v>
      </c>
      <c r="F605" s="69">
        <f>+IFERROR(INDEX(Tabla2[TC],MATCH(Compilado[[#This Row],[Mes]],Tabla2[Mes],0))*Compilado[[#This Row],[USD]],0)</f>
        <v>65271.364034003345</v>
      </c>
      <c r="G605" s="150">
        <v>46054</v>
      </c>
    </row>
    <row r="606" spans="1:7">
      <c r="A606" t="s">
        <v>206</v>
      </c>
      <c r="B606" t="s">
        <v>93</v>
      </c>
      <c r="C606" s="2">
        <v>0</v>
      </c>
      <c r="D606" t="s">
        <v>4</v>
      </c>
      <c r="E606" t="str">
        <f>+INDEX(Check!$B$5:$B$33,MATCH(Compilado[[#This Row],[Items]],Check!$C$5:$C$33,0))</f>
        <v>FITOSANITARIOS</v>
      </c>
      <c r="F606" s="69">
        <f>+IFERROR(INDEX(Tabla2[TC],MATCH(Compilado[[#This Row],[Mes]],Tabla2[Mes],0))*Compilado[[#This Row],[USD]],0)</f>
        <v>0</v>
      </c>
      <c r="G606" s="150">
        <v>45931</v>
      </c>
    </row>
    <row r="607" spans="1:7">
      <c r="A607" t="s">
        <v>206</v>
      </c>
      <c r="B607" t="s">
        <v>94</v>
      </c>
      <c r="C607" s="2">
        <v>0</v>
      </c>
      <c r="D607" t="s">
        <v>4</v>
      </c>
      <c r="E607" t="str">
        <f>+INDEX(Check!$B$5:$B$33,MATCH(Compilado[[#This Row],[Items]],Check!$C$5:$C$33,0))</f>
        <v>FITOSANITARIOS</v>
      </c>
      <c r="F607" s="69">
        <f>+IFERROR(INDEX(Tabla2[TC],MATCH(Compilado[[#This Row],[Mes]],Tabla2[Mes],0))*Compilado[[#This Row],[USD]],0)</f>
        <v>0</v>
      </c>
      <c r="G607" s="150">
        <v>45962</v>
      </c>
    </row>
    <row r="608" spans="1:7">
      <c r="A608" t="s">
        <v>206</v>
      </c>
      <c r="B608" t="s">
        <v>95</v>
      </c>
      <c r="C608" s="2">
        <v>0</v>
      </c>
      <c r="D608" t="s">
        <v>4</v>
      </c>
      <c r="E608" t="str">
        <f>+INDEX(Check!$B$5:$B$33,MATCH(Compilado[[#This Row],[Items]],Check!$C$5:$C$33,0))</f>
        <v>FITOSANITARIOS</v>
      </c>
      <c r="F608" s="69">
        <f>+IFERROR(INDEX(Tabla2[TC],MATCH(Compilado[[#This Row],[Mes]],Tabla2[Mes],0))*Compilado[[#This Row],[USD]],0)</f>
        <v>0</v>
      </c>
      <c r="G608" s="150">
        <v>45992</v>
      </c>
    </row>
    <row r="609" spans="1:7">
      <c r="A609" t="s">
        <v>206</v>
      </c>
      <c r="B609" t="s">
        <v>97</v>
      </c>
      <c r="C609" s="2">
        <v>0</v>
      </c>
      <c r="D609" t="s">
        <v>4</v>
      </c>
      <c r="E609" t="str">
        <f>+INDEX(Check!$B$5:$B$33,MATCH(Compilado[[#This Row],[Items]],Check!$C$5:$C$33,0))</f>
        <v>FITOSANITARIOS</v>
      </c>
      <c r="F609" s="69">
        <f>+IFERROR(INDEX(Tabla2[TC],MATCH(Compilado[[#This Row],[Mes]],Tabla2[Mes],0))*Compilado[[#This Row],[USD]],0)</f>
        <v>0</v>
      </c>
      <c r="G609" s="150">
        <v>46054</v>
      </c>
    </row>
    <row r="610" spans="1:7">
      <c r="A610" t="s">
        <v>190</v>
      </c>
      <c r="B610" t="s">
        <v>93</v>
      </c>
      <c r="C610" s="2">
        <v>173.44121932199999</v>
      </c>
      <c r="D610" t="s">
        <v>373</v>
      </c>
      <c r="E610" t="str">
        <f>+INDEX(Check!$B$5:$B$33,MATCH(Compilado[[#This Row],[Items]],Check!$C$5:$C$33,0))</f>
        <v>FITOSANITARIOS</v>
      </c>
      <c r="F610" s="69">
        <f>+IFERROR(INDEX(Tabla2[TC],MATCH(Compilado[[#This Row],[Mes]],Tabla2[Mes],0))*Compilado[[#This Row],[USD]],0)</f>
        <v>205439.0996143659</v>
      </c>
      <c r="G610" s="150">
        <v>45931</v>
      </c>
    </row>
    <row r="611" spans="1:7">
      <c r="A611" t="s">
        <v>190</v>
      </c>
      <c r="B611" t="s">
        <v>94</v>
      </c>
      <c r="C611" s="2">
        <v>208.12946318639996</v>
      </c>
      <c r="D611" t="s">
        <v>373</v>
      </c>
      <c r="E611" t="str">
        <f>+INDEX(Check!$B$5:$B$33,MATCH(Compilado[[#This Row],[Items]],Check!$C$5:$C$33,0))</f>
        <v>FITOSANITARIOS</v>
      </c>
      <c r="F611" s="69">
        <f>+IFERROR(INDEX(Tabla2[TC],MATCH(Compilado[[#This Row],[Mes]],Tabla2[Mes],0))*Compilado[[#This Row],[USD]],0)</f>
        <v>248992.18873261142</v>
      </c>
      <c r="G611" s="150">
        <v>45962</v>
      </c>
    </row>
    <row r="612" spans="1:7">
      <c r="A612" t="s">
        <v>190</v>
      </c>
      <c r="B612" t="s">
        <v>95</v>
      </c>
      <c r="C612" s="2">
        <v>173.44121932199999</v>
      </c>
      <c r="D612" t="s">
        <v>373</v>
      </c>
      <c r="E612" t="str">
        <f>+INDEX(Check!$B$5:$B$33,MATCH(Compilado[[#This Row],[Items]],Check!$C$5:$C$33,0))</f>
        <v>FITOSANITARIOS</v>
      </c>
      <c r="F612" s="69">
        <f>+IFERROR(INDEX(Tabla2[TC],MATCH(Compilado[[#This Row],[Mes]],Tabla2[Mes],0))*Compilado[[#This Row],[USD]],0)</f>
        <v>209568.42551661466</v>
      </c>
      <c r="G612" s="150">
        <v>45992</v>
      </c>
    </row>
    <row r="613" spans="1:7">
      <c r="A613" t="s">
        <v>190</v>
      </c>
      <c r="B613" t="s">
        <v>97</v>
      </c>
      <c r="C613" s="2">
        <v>312.19419477959997</v>
      </c>
      <c r="D613" t="s">
        <v>373</v>
      </c>
      <c r="E613" t="str">
        <f>+INDEX(Check!$B$5:$B$33,MATCH(Compilado[[#This Row],[Items]],Check!$C$5:$C$33,0))</f>
        <v>FITOSANITARIOS</v>
      </c>
      <c r="F613" s="69">
        <f>+IFERROR(INDEX(Tabla2[TC],MATCH(Compilado[[#This Row],[Mes]],Tabla2[Mes],0))*Compilado[[#This Row],[USD]],0)</f>
        <v>384805.35156509746</v>
      </c>
      <c r="G613" s="150">
        <v>46054</v>
      </c>
    </row>
    <row r="614" spans="1:7">
      <c r="A614" t="s">
        <v>190</v>
      </c>
      <c r="B614" t="s">
        <v>93</v>
      </c>
      <c r="C614" s="2">
        <v>265.90291464000001</v>
      </c>
      <c r="D614" t="s">
        <v>373</v>
      </c>
      <c r="E614" t="str">
        <f>+INDEX(Check!$B$5:$B$33,MATCH(Compilado[[#This Row],[Items]],Check!$C$5:$C$33,0))</f>
        <v>FITOSANITARIOS</v>
      </c>
      <c r="F614" s="69">
        <f>+IFERROR(INDEX(Tabla2[TC],MATCH(Compilado[[#This Row],[Mes]],Tabla2[Mes],0))*Compilado[[#This Row],[USD]],0)</f>
        <v>314958.89836348779</v>
      </c>
      <c r="G614" s="150">
        <v>45931</v>
      </c>
    </row>
    <row r="615" spans="1:7">
      <c r="A615" t="s">
        <v>190</v>
      </c>
      <c r="B615" t="s">
        <v>94</v>
      </c>
      <c r="C615" s="2">
        <v>319.08349756799998</v>
      </c>
      <c r="D615" t="s">
        <v>373</v>
      </c>
      <c r="E615" t="str">
        <f>+INDEX(Check!$B$5:$B$33,MATCH(Compilado[[#This Row],[Items]],Check!$C$5:$C$33,0))</f>
        <v>FITOSANITARIOS</v>
      </c>
      <c r="F615" s="69">
        <f>+IFERROR(INDEX(Tabla2[TC],MATCH(Compilado[[#This Row],[Mes]],Tabla2[Mes],0))*Compilado[[#This Row],[USD]],0)</f>
        <v>381730.1848165472</v>
      </c>
      <c r="G615" s="150">
        <v>45962</v>
      </c>
    </row>
    <row r="616" spans="1:7">
      <c r="A616" t="s">
        <v>190</v>
      </c>
      <c r="B616" t="s">
        <v>95</v>
      </c>
      <c r="C616" s="2">
        <v>265.90291464000001</v>
      </c>
      <c r="D616" t="s">
        <v>373</v>
      </c>
      <c r="E616" t="str">
        <f>+INDEX(Check!$B$5:$B$33,MATCH(Compilado[[#This Row],[Items]],Check!$C$5:$C$33,0))</f>
        <v>FITOSANITARIOS</v>
      </c>
      <c r="F616" s="69">
        <f>+IFERROR(INDEX(Tabla2[TC],MATCH(Compilado[[#This Row],[Mes]],Tabla2[Mes],0))*Compilado[[#This Row],[USD]],0)</f>
        <v>321289.57222059392</v>
      </c>
      <c r="G616" s="150">
        <v>45992</v>
      </c>
    </row>
    <row r="617" spans="1:7">
      <c r="A617" t="s">
        <v>190</v>
      </c>
      <c r="B617" t="s">
        <v>97</v>
      </c>
      <c r="C617" s="2">
        <v>478.62524635199998</v>
      </c>
      <c r="D617" t="s">
        <v>373</v>
      </c>
      <c r="E617" t="str">
        <f>+INDEX(Check!$B$5:$B$33,MATCH(Compilado[[#This Row],[Items]],Check!$C$5:$C$33,0))</f>
        <v>FITOSANITARIOS</v>
      </c>
      <c r="F617" s="69">
        <f>+IFERROR(INDEX(Tabla2[TC],MATCH(Compilado[[#This Row],[Mes]],Tabla2[Mes],0))*Compilado[[#This Row],[USD]],0)</f>
        <v>589945.48672001006</v>
      </c>
      <c r="G617" s="150">
        <v>46054</v>
      </c>
    </row>
    <row r="618" spans="1:7">
      <c r="A618" t="s">
        <v>202</v>
      </c>
      <c r="B618" t="s">
        <v>93</v>
      </c>
      <c r="C618" s="2">
        <v>51.4814368125</v>
      </c>
      <c r="D618" t="s">
        <v>373</v>
      </c>
      <c r="E618" t="str">
        <f>+INDEX(Check!$B$5:$B$33,MATCH(Compilado[[#This Row],[Items]],Check!$C$5:$C$33,0))</f>
        <v>FITOSANITARIOS</v>
      </c>
      <c r="F618" s="69">
        <f>+IFERROR(INDEX(Tabla2[TC],MATCH(Compilado[[#This Row],[Mes]],Tabla2[Mes],0))*Compilado[[#This Row],[USD]],0)</f>
        <v>60979.160933933366</v>
      </c>
      <c r="G618" s="150">
        <v>45931</v>
      </c>
    </row>
    <row r="619" spans="1:7">
      <c r="A619" t="s">
        <v>202</v>
      </c>
      <c r="B619" t="s">
        <v>94</v>
      </c>
      <c r="C619" s="2">
        <v>61.777724175000003</v>
      </c>
      <c r="D619" t="s">
        <v>373</v>
      </c>
      <c r="E619" t="str">
        <f>+INDEX(Check!$B$5:$B$33,MATCH(Compilado[[#This Row],[Items]],Check!$C$5:$C$33,0))</f>
        <v>FITOSANITARIOS</v>
      </c>
      <c r="F619" s="69">
        <f>+IFERROR(INDEX(Tabla2[TC],MATCH(Compilado[[#This Row],[Mes]],Tabla2[Mes],0))*Compilado[[#This Row],[USD]],0)</f>
        <v>73906.743051927246</v>
      </c>
      <c r="G619" s="150">
        <v>45962</v>
      </c>
    </row>
    <row r="620" spans="1:7">
      <c r="A620" t="s">
        <v>202</v>
      </c>
      <c r="B620" t="s">
        <v>95</v>
      </c>
      <c r="C620" s="2">
        <v>51.4814368125</v>
      </c>
      <c r="D620" t="s">
        <v>373</v>
      </c>
      <c r="E620" t="str">
        <f>+INDEX(Check!$B$5:$B$33,MATCH(Compilado[[#This Row],[Items]],Check!$C$5:$C$33,0))</f>
        <v>FITOSANITARIOS</v>
      </c>
      <c r="F620" s="69">
        <f>+IFERROR(INDEX(Tabla2[TC],MATCH(Compilado[[#This Row],[Mes]],Tabla2[Mes],0))*Compilado[[#This Row],[USD]],0)</f>
        <v>62204.842068705424</v>
      </c>
      <c r="G620" s="150">
        <v>45992</v>
      </c>
    </row>
    <row r="621" spans="1:7">
      <c r="A621" t="s">
        <v>202</v>
      </c>
      <c r="B621" t="s">
        <v>97</v>
      </c>
      <c r="C621" s="2">
        <v>92.666586262500005</v>
      </c>
      <c r="D621" t="s">
        <v>373</v>
      </c>
      <c r="E621" t="str">
        <f>+INDEX(Check!$B$5:$B$33,MATCH(Compilado[[#This Row],[Items]],Check!$C$5:$C$33,0))</f>
        <v>FITOSANITARIOS</v>
      </c>
      <c r="F621" s="69">
        <f>+IFERROR(INDEX(Tabla2[TC],MATCH(Compilado[[#This Row],[Mes]],Tabla2[Mes],0))*Compilado[[#This Row],[USD]],0)</f>
        <v>114219.28690971553</v>
      </c>
      <c r="G621" s="150">
        <v>46054</v>
      </c>
    </row>
    <row r="622" spans="1:7">
      <c r="A622" t="s">
        <v>202</v>
      </c>
      <c r="B622" t="s">
        <v>93</v>
      </c>
      <c r="C622" s="2">
        <v>546.37585200000012</v>
      </c>
      <c r="D622" t="s">
        <v>373</v>
      </c>
      <c r="E622" t="str">
        <f>+INDEX(Check!$B$5:$B$33,MATCH(Compilado[[#This Row],[Items]],Check!$C$5:$C$33,0))</f>
        <v>FITOSANITARIOS</v>
      </c>
      <c r="F622" s="69">
        <f>+IFERROR(INDEX(Tabla2[TC],MATCH(Compilado[[#This Row],[Mes]],Tabla2[Mes],0))*Compilado[[#This Row],[USD]],0)</f>
        <v>647175.81855511211</v>
      </c>
      <c r="G622" s="150">
        <v>45931</v>
      </c>
    </row>
    <row r="623" spans="1:7">
      <c r="A623" t="s">
        <v>202</v>
      </c>
      <c r="B623" t="s">
        <v>94</v>
      </c>
      <c r="C623" s="2">
        <v>655.6510224000001</v>
      </c>
      <c r="D623" t="s">
        <v>373</v>
      </c>
      <c r="E623" t="str">
        <f>+INDEX(Check!$B$5:$B$33,MATCH(Compilado[[#This Row],[Items]],Check!$C$5:$C$33,0))</f>
        <v>FITOSANITARIOS</v>
      </c>
      <c r="F623" s="69">
        <f>+IFERROR(INDEX(Tabla2[TC],MATCH(Compilado[[#This Row],[Mes]],Tabla2[Mes],0))*Compilado[[#This Row],[USD]],0)</f>
        <v>784377.09208879573</v>
      </c>
      <c r="G623" s="150">
        <v>45962</v>
      </c>
    </row>
    <row r="624" spans="1:7">
      <c r="A624" t="s">
        <v>202</v>
      </c>
      <c r="B624" t="s">
        <v>95</v>
      </c>
      <c r="C624" s="2">
        <v>546.37585200000012</v>
      </c>
      <c r="D624" t="s">
        <v>373</v>
      </c>
      <c r="E624" t="str">
        <f>+INDEX(Check!$B$5:$B$33,MATCH(Compilado[[#This Row],[Items]],Check!$C$5:$C$33,0))</f>
        <v>FITOSANITARIOS</v>
      </c>
      <c r="F624" s="69">
        <f>+IFERROR(INDEX(Tabla2[TC],MATCH(Compilado[[#This Row],[Mes]],Tabla2[Mes],0))*Compilado[[#This Row],[USD]],0)</f>
        <v>660184.05250806978</v>
      </c>
      <c r="G624" s="150">
        <v>45992</v>
      </c>
    </row>
    <row r="625" spans="1:7">
      <c r="A625" t="s">
        <v>202</v>
      </c>
      <c r="B625" t="s">
        <v>97</v>
      </c>
      <c r="C625" s="2">
        <v>983.47653360000015</v>
      </c>
      <c r="D625" t="s">
        <v>373</v>
      </c>
      <c r="E625" t="str">
        <f>+INDEX(Check!$B$5:$B$33,MATCH(Compilado[[#This Row],[Items]],Check!$C$5:$C$33,0))</f>
        <v>FITOSANITARIOS</v>
      </c>
      <c r="F625" s="69">
        <f>+IFERROR(INDEX(Tabla2[TC],MATCH(Compilado[[#This Row],[Mes]],Tabla2[Mes],0))*Compilado[[#This Row],[USD]],0)</f>
        <v>1212216.7535342674</v>
      </c>
      <c r="G625" s="150">
        <v>46054</v>
      </c>
    </row>
    <row r="626" spans="1:7">
      <c r="A626" t="s">
        <v>202</v>
      </c>
      <c r="B626" t="s">
        <v>93</v>
      </c>
      <c r="C626" s="2">
        <v>327.25636968749996</v>
      </c>
      <c r="D626" t="s">
        <v>373</v>
      </c>
      <c r="E626" t="str">
        <f>+INDEX(Check!$B$5:$B$33,MATCH(Compilado[[#This Row],[Items]],Check!$C$5:$C$33,0))</f>
        <v>FITOSANITARIOS</v>
      </c>
      <c r="F626" s="69">
        <f>+IFERROR(INDEX(Tabla2[TC],MATCH(Compilado[[#This Row],[Mes]],Tabla2[Mes],0))*Compilado[[#This Row],[USD]],0)</f>
        <v>387631.3496554055</v>
      </c>
      <c r="G626" s="150">
        <v>45931</v>
      </c>
    </row>
    <row r="627" spans="1:7">
      <c r="A627" t="s">
        <v>202</v>
      </c>
      <c r="B627" t="s">
        <v>94</v>
      </c>
      <c r="C627" s="2">
        <v>392.70764362499995</v>
      </c>
      <c r="D627" t="s">
        <v>373</v>
      </c>
      <c r="E627" t="str">
        <f>+INDEX(Check!$B$5:$B$33,MATCH(Compilado[[#This Row],[Items]],Check!$C$5:$C$33,0))</f>
        <v>FITOSANITARIOS</v>
      </c>
      <c r="F627" s="69">
        <f>+IFERROR(INDEX(Tabla2[TC],MATCH(Compilado[[#This Row],[Mes]],Tabla2[Mes],0))*Compilado[[#This Row],[USD]],0)</f>
        <v>469809.19578235148</v>
      </c>
      <c r="G627" s="150">
        <v>45962</v>
      </c>
    </row>
    <row r="628" spans="1:7">
      <c r="A628" t="s">
        <v>202</v>
      </c>
      <c r="B628" t="s">
        <v>95</v>
      </c>
      <c r="C628" s="2">
        <v>327.25636968749996</v>
      </c>
      <c r="D628" t="s">
        <v>373</v>
      </c>
      <c r="E628" t="str">
        <f>+INDEX(Check!$B$5:$B$33,MATCH(Compilado[[#This Row],[Items]],Check!$C$5:$C$33,0))</f>
        <v>FITOSANITARIOS</v>
      </c>
      <c r="F628" s="69">
        <f>+IFERROR(INDEX(Tabla2[TC],MATCH(Compilado[[#This Row],[Mes]],Tabla2[Mes],0))*Compilado[[#This Row],[USD]],0)</f>
        <v>395422.73978347919</v>
      </c>
      <c r="G628" s="150">
        <v>45992</v>
      </c>
    </row>
    <row r="629" spans="1:7">
      <c r="A629" t="s">
        <v>202</v>
      </c>
      <c r="B629" t="s">
        <v>97</v>
      </c>
      <c r="C629" s="2">
        <v>589.06146543749992</v>
      </c>
      <c r="D629" t="s">
        <v>373</v>
      </c>
      <c r="E629" t="str">
        <f>+INDEX(Check!$B$5:$B$33,MATCH(Compilado[[#This Row],[Items]],Check!$C$5:$C$33,0))</f>
        <v>FITOSANITARIOS</v>
      </c>
      <c r="F629" s="69">
        <f>+IFERROR(INDEX(Tabla2[TC],MATCH(Compilado[[#This Row],[Mes]],Tabla2[Mes],0))*Compilado[[#This Row],[USD]],0)</f>
        <v>726067.32633562875</v>
      </c>
      <c r="G629" s="150">
        <v>46054</v>
      </c>
    </row>
    <row r="630" spans="1:7">
      <c r="A630" t="s">
        <v>202</v>
      </c>
      <c r="B630" t="s">
        <v>93</v>
      </c>
      <c r="C630" s="2">
        <v>193.54950636000004</v>
      </c>
      <c r="D630" t="s">
        <v>373</v>
      </c>
      <c r="E630" t="str">
        <f>+INDEX(Check!$B$5:$B$33,MATCH(Compilado[[#This Row],[Items]],Check!$C$5:$C$33,0))</f>
        <v>FITOSANITARIOS</v>
      </c>
      <c r="F630" s="69">
        <f>+IFERROR(INDEX(Tabla2[TC],MATCH(Compilado[[#This Row],[Mes]],Tabla2[Mes],0))*Compilado[[#This Row],[USD]],0)</f>
        <v>229257.13087603817</v>
      </c>
      <c r="G630" s="150">
        <v>45931</v>
      </c>
    </row>
    <row r="631" spans="1:7">
      <c r="A631" t="s">
        <v>202</v>
      </c>
      <c r="B631" t="s">
        <v>94</v>
      </c>
      <c r="C631" s="2">
        <v>232.25940763200003</v>
      </c>
      <c r="D631" t="s">
        <v>373</v>
      </c>
      <c r="E631" t="str">
        <f>+INDEX(Check!$B$5:$B$33,MATCH(Compilado[[#This Row],[Items]],Check!$C$5:$C$33,0))</f>
        <v>FITOSANITARIOS</v>
      </c>
      <c r="F631" s="69">
        <f>+IFERROR(INDEX(Tabla2[TC],MATCH(Compilado[[#This Row],[Mes]],Tabla2[Mes],0))*Compilado[[#This Row],[USD]],0)</f>
        <v>277859.64262175828</v>
      </c>
      <c r="G631" s="150">
        <v>45962</v>
      </c>
    </row>
    <row r="632" spans="1:7">
      <c r="A632" t="s">
        <v>202</v>
      </c>
      <c r="B632" t="s">
        <v>95</v>
      </c>
      <c r="C632" s="2">
        <v>193.54950636000004</v>
      </c>
      <c r="D632" t="s">
        <v>373</v>
      </c>
      <c r="E632" t="str">
        <f>+INDEX(Check!$B$5:$B$33,MATCH(Compilado[[#This Row],[Items]],Check!$C$5:$C$33,0))</f>
        <v>FITOSANITARIOS</v>
      </c>
      <c r="F632" s="69">
        <f>+IFERROR(INDEX(Tabla2[TC],MATCH(Compilado[[#This Row],[Mes]],Tabla2[Mes],0))*Compilado[[#This Row],[USD]],0)</f>
        <v>233865.19920664653</v>
      </c>
      <c r="G632" s="150">
        <v>45992</v>
      </c>
    </row>
    <row r="633" spans="1:7">
      <c r="A633" t="s">
        <v>202</v>
      </c>
      <c r="B633" t="s">
        <v>97</v>
      </c>
      <c r="C633" s="2">
        <v>348.38911144800005</v>
      </c>
      <c r="D633" t="s">
        <v>373</v>
      </c>
      <c r="E633" t="str">
        <f>+INDEX(Check!$B$5:$B$33,MATCH(Compilado[[#This Row],[Items]],Check!$C$5:$C$33,0))</f>
        <v>FITOSANITARIOS</v>
      </c>
      <c r="F633" s="69">
        <f>+IFERROR(INDEX(Tabla2[TC],MATCH(Compilado[[#This Row],[Mes]],Tabla2[Mes],0))*Compilado[[#This Row],[USD]],0)</f>
        <v>429418.60147926019</v>
      </c>
      <c r="G633" s="150">
        <v>46054</v>
      </c>
    </row>
    <row r="634" spans="1:7">
      <c r="A634" t="s">
        <v>202</v>
      </c>
      <c r="B634" t="s">
        <v>93</v>
      </c>
      <c r="C634" s="2">
        <v>302.679804375</v>
      </c>
      <c r="D634" t="s">
        <v>373</v>
      </c>
      <c r="E634" t="str">
        <f>+INDEX(Check!$B$5:$B$33,MATCH(Compilado[[#This Row],[Items]],Check!$C$5:$C$33,0))</f>
        <v>FITOSANITARIOS</v>
      </c>
      <c r="F634" s="69">
        <f>+IFERROR(INDEX(Tabla2[TC],MATCH(Compilado[[#This Row],[Mes]],Tabla2[Mes],0))*Compilado[[#This Row],[USD]],0)</f>
        <v>358520.69493820122</v>
      </c>
      <c r="G634" s="150">
        <v>45931</v>
      </c>
    </row>
    <row r="635" spans="1:7">
      <c r="A635" t="s">
        <v>202</v>
      </c>
      <c r="B635" t="s">
        <v>94</v>
      </c>
      <c r="C635" s="2">
        <v>363.21576525</v>
      </c>
      <c r="D635" t="s">
        <v>373</v>
      </c>
      <c r="E635" t="str">
        <f>+INDEX(Check!$B$5:$B$33,MATCH(Compilado[[#This Row],[Items]],Check!$C$5:$C$33,0))</f>
        <v>FITOSANITARIOS</v>
      </c>
      <c r="F635" s="69">
        <f>+IFERROR(INDEX(Tabla2[TC],MATCH(Compilado[[#This Row],[Mes]],Tabla2[Mes],0))*Compilado[[#This Row],[USD]],0)</f>
        <v>434527.08226509986</v>
      </c>
      <c r="G635" s="150">
        <v>45962</v>
      </c>
    </row>
    <row r="636" spans="1:7">
      <c r="A636" t="s">
        <v>202</v>
      </c>
      <c r="B636" t="s">
        <v>95</v>
      </c>
      <c r="C636" s="2">
        <v>302.679804375</v>
      </c>
      <c r="D636" t="s">
        <v>373</v>
      </c>
      <c r="E636" t="str">
        <f>+INDEX(Check!$B$5:$B$33,MATCH(Compilado[[#This Row],[Items]],Check!$C$5:$C$33,0))</f>
        <v>FITOSANITARIOS</v>
      </c>
      <c r="F636" s="69">
        <f>+IFERROR(INDEX(Tabla2[TC],MATCH(Compilado[[#This Row],[Mes]],Tabla2[Mes],0))*Compilado[[#This Row],[USD]],0)</f>
        <v>365726.96090645902</v>
      </c>
      <c r="G636" s="150">
        <v>45992</v>
      </c>
    </row>
    <row r="637" spans="1:7">
      <c r="A637" t="s">
        <v>202</v>
      </c>
      <c r="B637" t="s">
        <v>97</v>
      </c>
      <c r="C637" s="2">
        <v>544.82364787500001</v>
      </c>
      <c r="D637" t="s">
        <v>373</v>
      </c>
      <c r="E637" t="str">
        <f>+INDEX(Check!$B$5:$B$33,MATCH(Compilado[[#This Row],[Items]],Check!$C$5:$C$33,0))</f>
        <v>FITOSANITARIOS</v>
      </c>
      <c r="F637" s="69">
        <f>+IFERROR(INDEX(Tabla2[TC],MATCH(Compilado[[#This Row],[Mes]],Tabla2[Mes],0))*Compilado[[#This Row],[USD]],0)</f>
        <v>671540.53107722197</v>
      </c>
      <c r="G637" s="150">
        <v>46054</v>
      </c>
    </row>
    <row r="638" spans="1:7">
      <c r="A638" t="s">
        <v>202</v>
      </c>
      <c r="B638" t="s">
        <v>93</v>
      </c>
      <c r="C638" s="2">
        <v>1136.6955379999995</v>
      </c>
      <c r="D638" t="s">
        <v>373</v>
      </c>
      <c r="E638" t="str">
        <f>+INDEX(Check!$B$5:$B$33,MATCH(Compilado[[#This Row],[Items]],Check!$C$5:$C$33,0))</f>
        <v>FITOSANITARIOS</v>
      </c>
      <c r="F638" s="69">
        <f>+IFERROR(INDEX(Tabla2[TC],MATCH(Compilado[[#This Row],[Mes]],Tabla2[Mes],0))*Compilado[[#This Row],[USD]],0)</f>
        <v>1346402.595503238</v>
      </c>
      <c r="G638" s="150">
        <v>45931</v>
      </c>
    </row>
    <row r="639" spans="1:7">
      <c r="A639" t="s">
        <v>202</v>
      </c>
      <c r="B639" t="s">
        <v>94</v>
      </c>
      <c r="C639" s="2">
        <v>1364.0346455999995</v>
      </c>
      <c r="D639" t="s">
        <v>373</v>
      </c>
      <c r="E639" t="str">
        <f>+INDEX(Check!$B$5:$B$33,MATCH(Compilado[[#This Row],[Items]],Check!$C$5:$C$33,0))</f>
        <v>FITOSANITARIOS</v>
      </c>
      <c r="F639" s="69">
        <f>+IFERROR(INDEX(Tabla2[TC],MATCH(Compilado[[#This Row],[Mes]],Tabla2[Mes],0))*Compilado[[#This Row],[USD]],0)</f>
        <v>1631839.9457499245</v>
      </c>
      <c r="G639" s="150">
        <v>45962</v>
      </c>
    </row>
    <row r="640" spans="1:7">
      <c r="A640" t="s">
        <v>202</v>
      </c>
      <c r="B640" t="s">
        <v>95</v>
      </c>
      <c r="C640" s="2">
        <v>1136.6955379999995</v>
      </c>
      <c r="D640" t="s">
        <v>373</v>
      </c>
      <c r="E640" t="str">
        <f>+INDEX(Check!$B$5:$B$33,MATCH(Compilado[[#This Row],[Items]],Check!$C$5:$C$33,0))</f>
        <v>FITOSANITARIOS</v>
      </c>
      <c r="F640" s="69">
        <f>+IFERROR(INDEX(Tabla2[TC],MATCH(Compilado[[#This Row],[Mes]],Tabla2[Mes],0))*Compilado[[#This Row],[USD]],0)</f>
        <v>1373465.2876728531</v>
      </c>
      <c r="G640" s="150">
        <v>45992</v>
      </c>
    </row>
    <row r="641" spans="1:7">
      <c r="A641" t="s">
        <v>202</v>
      </c>
      <c r="B641" t="s">
        <v>97</v>
      </c>
      <c r="C641" s="2">
        <v>2046.0519683999992</v>
      </c>
      <c r="D641" t="s">
        <v>373</v>
      </c>
      <c r="E641" t="str">
        <f>+INDEX(Check!$B$5:$B$33,MATCH(Compilado[[#This Row],[Items]],Check!$C$5:$C$33,0))</f>
        <v>FITOSANITARIOS</v>
      </c>
      <c r="F641" s="69">
        <f>+IFERROR(INDEX(Tabla2[TC],MATCH(Compilado[[#This Row],[Mes]],Tabla2[Mes],0))*Compilado[[#This Row],[USD]],0)</f>
        <v>2521929.4919191389</v>
      </c>
      <c r="G641" s="150">
        <v>46054</v>
      </c>
    </row>
    <row r="642" spans="1:7">
      <c r="A642" t="s">
        <v>203</v>
      </c>
      <c r="B642" t="s">
        <v>93</v>
      </c>
      <c r="C642" s="2">
        <v>2115.1368210000001</v>
      </c>
      <c r="D642" t="s">
        <v>373</v>
      </c>
      <c r="E642" t="str">
        <f>+INDEX(Check!$B$5:$B$33,MATCH(Compilado[[#This Row],[Items]],Check!$C$5:$C$33,0))</f>
        <v>FITOSANITARIOS</v>
      </c>
      <c r="F642" s="69">
        <f>+IFERROR(INDEX(Tabla2[TC],MATCH(Compilado[[#This Row],[Mes]],Tabla2[Mes],0))*Compilado[[#This Row],[USD]],0)</f>
        <v>2505354.8733459259</v>
      </c>
      <c r="G642" s="150">
        <v>45931</v>
      </c>
    </row>
    <row r="643" spans="1:7">
      <c r="A643" t="s">
        <v>203</v>
      </c>
      <c r="B643" t="s">
        <v>94</v>
      </c>
      <c r="C643" s="2">
        <v>2538.1641851999998</v>
      </c>
      <c r="D643" t="s">
        <v>373</v>
      </c>
      <c r="E643" t="str">
        <f>+INDEX(Check!$B$5:$B$33,MATCH(Compilado[[#This Row],[Items]],Check!$C$5:$C$33,0))</f>
        <v>FITOSANITARIOS</v>
      </c>
      <c r="F643" s="69">
        <f>+IFERROR(INDEX(Tabla2[TC],MATCH(Compilado[[#This Row],[Mes]],Tabla2[Mes],0))*Compilado[[#This Row],[USD]],0)</f>
        <v>3036490.1064952617</v>
      </c>
      <c r="G643" s="150">
        <v>45962</v>
      </c>
    </row>
    <row r="644" spans="1:7">
      <c r="A644" t="s">
        <v>203</v>
      </c>
      <c r="B644" t="s">
        <v>95</v>
      </c>
      <c r="C644" s="2">
        <v>2115.1368210000001</v>
      </c>
      <c r="D644" t="s">
        <v>373</v>
      </c>
      <c r="E644" t="str">
        <f>+INDEX(Check!$B$5:$B$33,MATCH(Compilado[[#This Row],[Items]],Check!$C$5:$C$33,0))</f>
        <v>FITOSANITARIOS</v>
      </c>
      <c r="F644" s="69">
        <f>+IFERROR(INDEX(Tabla2[TC],MATCH(Compilado[[#This Row],[Mes]],Tabla2[Mes],0))*Compilado[[#This Row],[USD]],0)</f>
        <v>2555712.5063001788</v>
      </c>
      <c r="G644" s="150">
        <v>45992</v>
      </c>
    </row>
    <row r="645" spans="1:7">
      <c r="A645" t="s">
        <v>203</v>
      </c>
      <c r="B645" t="s">
        <v>97</v>
      </c>
      <c r="C645" s="2">
        <v>3807.2462777999999</v>
      </c>
      <c r="D645" t="s">
        <v>373</v>
      </c>
      <c r="E645" t="str">
        <f>+INDEX(Check!$B$5:$B$33,MATCH(Compilado[[#This Row],[Items]],Check!$C$5:$C$33,0))</f>
        <v>FITOSANITARIOS</v>
      </c>
      <c r="F645" s="69">
        <f>+IFERROR(INDEX(Tabla2[TC],MATCH(Compilado[[#This Row],[Mes]],Tabla2[Mes],0))*Compilado[[#This Row],[USD]],0)</f>
        <v>4692748.1898182621</v>
      </c>
      <c r="G645" s="150">
        <v>46054</v>
      </c>
    </row>
    <row r="646" spans="1:7">
      <c r="A646" t="s">
        <v>203</v>
      </c>
      <c r="B646" t="s">
        <v>93</v>
      </c>
      <c r="C646" s="2">
        <v>1775.7215189999999</v>
      </c>
      <c r="D646" t="s">
        <v>373</v>
      </c>
      <c r="E646" t="str">
        <f>+INDEX(Check!$B$5:$B$33,MATCH(Compilado[[#This Row],[Items]],Check!$C$5:$C$33,0))</f>
        <v>FITOSANITARIOS</v>
      </c>
      <c r="F646" s="69">
        <f>+IFERROR(INDEX(Tabla2[TC],MATCH(Compilado[[#This Row],[Mes]],Tabla2[Mes],0))*Compilado[[#This Row],[USD]],0)</f>
        <v>2103321.4103041138</v>
      </c>
      <c r="G646" s="150">
        <v>45931</v>
      </c>
    </row>
    <row r="647" spans="1:7">
      <c r="A647" t="s">
        <v>203</v>
      </c>
      <c r="B647" t="s">
        <v>94</v>
      </c>
      <c r="C647" s="2">
        <v>2130.8658227999999</v>
      </c>
      <c r="D647" t="s">
        <v>373</v>
      </c>
      <c r="E647" t="str">
        <f>+INDEX(Check!$B$5:$B$33,MATCH(Compilado[[#This Row],[Items]],Check!$C$5:$C$33,0))</f>
        <v>FITOSANITARIOS</v>
      </c>
      <c r="F647" s="69">
        <f>+IFERROR(INDEX(Tabla2[TC],MATCH(Compilado[[#This Row],[Mes]],Tabla2[Mes],0))*Compilado[[#This Row],[USD]],0)</f>
        <v>2549225.5492885858</v>
      </c>
      <c r="G647" s="150">
        <v>45962</v>
      </c>
    </row>
    <row r="648" spans="1:7">
      <c r="A648" t="s">
        <v>203</v>
      </c>
      <c r="B648" t="s">
        <v>95</v>
      </c>
      <c r="C648" s="2">
        <v>1775.7215189999999</v>
      </c>
      <c r="D648" t="s">
        <v>373</v>
      </c>
      <c r="E648" t="str">
        <f>+INDEX(Check!$B$5:$B$33,MATCH(Compilado[[#This Row],[Items]],Check!$C$5:$C$33,0))</f>
        <v>FITOSANITARIOS</v>
      </c>
      <c r="F648" s="69">
        <f>+IFERROR(INDEX(Tabla2[TC],MATCH(Compilado[[#This Row],[Mes]],Tabla2[Mes],0))*Compilado[[#This Row],[USD]],0)</f>
        <v>2145598.1706512263</v>
      </c>
      <c r="G648" s="150">
        <v>45992</v>
      </c>
    </row>
    <row r="649" spans="1:7">
      <c r="A649" t="s">
        <v>203</v>
      </c>
      <c r="B649" t="s">
        <v>97</v>
      </c>
      <c r="C649" s="2">
        <v>3196.2987341999997</v>
      </c>
      <c r="D649" t="s">
        <v>373</v>
      </c>
      <c r="E649" t="str">
        <f>+INDEX(Check!$B$5:$B$33,MATCH(Compilado[[#This Row],[Items]],Check!$C$5:$C$33,0))</f>
        <v>FITOSANITARIOS</v>
      </c>
      <c r="F649" s="69">
        <f>+IFERROR(INDEX(Tabla2[TC],MATCH(Compilado[[#This Row],[Mes]],Tabla2[Mes],0))*Compilado[[#This Row],[USD]],0)</f>
        <v>3939704.4489863683</v>
      </c>
      <c r="G649" s="150">
        <v>46054</v>
      </c>
    </row>
    <row r="650" spans="1:7">
      <c r="A650" t="s">
        <v>204</v>
      </c>
      <c r="B650" t="s">
        <v>93</v>
      </c>
      <c r="C650" s="2">
        <v>187.56665642570283</v>
      </c>
      <c r="D650" t="s">
        <v>373</v>
      </c>
      <c r="E650" t="str">
        <f>+INDEX(Check!$B$5:$B$33,MATCH(Compilado[[#This Row],[Items]],Check!$C$5:$C$33,0))</f>
        <v>FITOSANITARIOS</v>
      </c>
      <c r="F650" s="69">
        <f>+IFERROR(INDEX(Tabla2[TC],MATCH(Compilado[[#This Row],[Mes]],Tabla2[Mes],0))*Compilado[[#This Row],[USD]],0)</f>
        <v>222170.514969885</v>
      </c>
      <c r="G650" s="150">
        <v>45931</v>
      </c>
    </row>
    <row r="651" spans="1:7">
      <c r="A651" t="s">
        <v>204</v>
      </c>
      <c r="B651" t="s">
        <v>94</v>
      </c>
      <c r="C651" s="2">
        <v>225.07998771084337</v>
      </c>
      <c r="D651" t="s">
        <v>373</v>
      </c>
      <c r="E651" t="str">
        <f>+INDEX(Check!$B$5:$B$33,MATCH(Compilado[[#This Row],[Items]],Check!$C$5:$C$33,0))</f>
        <v>FITOSANITARIOS</v>
      </c>
      <c r="F651" s="69">
        <f>+IFERROR(INDEX(Tabla2[TC],MATCH(Compilado[[#This Row],[Mes]],Tabla2[Mes],0))*Compilado[[#This Row],[USD]],0)</f>
        <v>269270.66414350062</v>
      </c>
      <c r="G651" s="150">
        <v>45962</v>
      </c>
    </row>
    <row r="652" spans="1:7">
      <c r="A652" t="s">
        <v>204</v>
      </c>
      <c r="B652" t="s">
        <v>95</v>
      </c>
      <c r="C652" s="2">
        <v>187.56665642570283</v>
      </c>
      <c r="D652" t="s">
        <v>373</v>
      </c>
      <c r="E652" t="str">
        <f>+INDEX(Check!$B$5:$B$33,MATCH(Compilado[[#This Row],[Items]],Check!$C$5:$C$33,0))</f>
        <v>FITOSANITARIOS</v>
      </c>
      <c r="F652" s="69">
        <f>+IFERROR(INDEX(Tabla2[TC],MATCH(Compilado[[#This Row],[Mes]],Tabla2[Mes],0))*Compilado[[#This Row],[USD]],0)</f>
        <v>226636.14232077968</v>
      </c>
      <c r="G652" s="150">
        <v>45992</v>
      </c>
    </row>
    <row r="653" spans="1:7">
      <c r="A653" t="s">
        <v>204</v>
      </c>
      <c r="B653" t="s">
        <v>97</v>
      </c>
      <c r="C653" s="2">
        <v>337.61998156626504</v>
      </c>
      <c r="D653" t="s">
        <v>373</v>
      </c>
      <c r="E653" t="str">
        <f>+INDEX(Check!$B$5:$B$33,MATCH(Compilado[[#This Row],[Items]],Check!$C$5:$C$33,0))</f>
        <v>FITOSANITARIOS</v>
      </c>
      <c r="F653" s="69">
        <f>+IFERROR(INDEX(Tabla2[TC],MATCH(Compilado[[#This Row],[Mes]],Tabla2[Mes],0))*Compilado[[#This Row],[USD]],0)</f>
        <v>416144.75180656917</v>
      </c>
      <c r="G653" s="150">
        <v>46054</v>
      </c>
    </row>
    <row r="654" spans="1:7">
      <c r="A654" t="s">
        <v>204</v>
      </c>
      <c r="B654" t="s">
        <v>93</v>
      </c>
      <c r="C654" s="2">
        <v>0</v>
      </c>
      <c r="D654" t="s">
        <v>373</v>
      </c>
      <c r="E654" t="str">
        <f>+INDEX(Check!$B$5:$B$33,MATCH(Compilado[[#This Row],[Items]],Check!$C$5:$C$33,0))</f>
        <v>FITOSANITARIOS</v>
      </c>
      <c r="F654" s="69">
        <f>+IFERROR(INDEX(Tabla2[TC],MATCH(Compilado[[#This Row],[Mes]],Tabla2[Mes],0))*Compilado[[#This Row],[USD]],0)</f>
        <v>0</v>
      </c>
      <c r="G654" s="150">
        <v>45931</v>
      </c>
    </row>
    <row r="655" spans="1:7">
      <c r="A655" t="s">
        <v>204</v>
      </c>
      <c r="B655" t="s">
        <v>94</v>
      </c>
      <c r="C655" s="2">
        <v>0</v>
      </c>
      <c r="D655" t="s">
        <v>373</v>
      </c>
      <c r="E655" t="str">
        <f>+INDEX(Check!$B$5:$B$33,MATCH(Compilado[[#This Row],[Items]],Check!$C$5:$C$33,0))</f>
        <v>FITOSANITARIOS</v>
      </c>
      <c r="F655" s="69">
        <f>+IFERROR(INDEX(Tabla2[TC],MATCH(Compilado[[#This Row],[Mes]],Tabla2[Mes],0))*Compilado[[#This Row],[USD]],0)</f>
        <v>0</v>
      </c>
      <c r="G655" s="150">
        <v>45962</v>
      </c>
    </row>
    <row r="656" spans="1:7">
      <c r="A656" t="s">
        <v>204</v>
      </c>
      <c r="B656" t="s">
        <v>95</v>
      </c>
      <c r="C656" s="2">
        <v>0</v>
      </c>
      <c r="D656" t="s">
        <v>373</v>
      </c>
      <c r="E656" t="str">
        <f>+INDEX(Check!$B$5:$B$33,MATCH(Compilado[[#This Row],[Items]],Check!$C$5:$C$33,0))</f>
        <v>FITOSANITARIOS</v>
      </c>
      <c r="F656" s="69">
        <f>+IFERROR(INDEX(Tabla2[TC],MATCH(Compilado[[#This Row],[Mes]],Tabla2[Mes],0))*Compilado[[#This Row],[USD]],0)</f>
        <v>0</v>
      </c>
      <c r="G656" s="150">
        <v>45992</v>
      </c>
    </row>
    <row r="657" spans="1:7">
      <c r="A657" t="s">
        <v>204</v>
      </c>
      <c r="B657" t="s">
        <v>97</v>
      </c>
      <c r="C657" s="2">
        <v>0</v>
      </c>
      <c r="D657" t="s">
        <v>373</v>
      </c>
      <c r="E657" t="str">
        <f>+INDEX(Check!$B$5:$B$33,MATCH(Compilado[[#This Row],[Items]],Check!$C$5:$C$33,0))</f>
        <v>FITOSANITARIOS</v>
      </c>
      <c r="F657" s="69">
        <f>+IFERROR(INDEX(Tabla2[TC],MATCH(Compilado[[#This Row],[Mes]],Tabla2[Mes],0))*Compilado[[#This Row],[USD]],0)</f>
        <v>0</v>
      </c>
      <c r="G657" s="150">
        <v>46054</v>
      </c>
    </row>
    <row r="658" spans="1:7">
      <c r="A658" t="s">
        <v>204</v>
      </c>
      <c r="B658" t="s">
        <v>93</v>
      </c>
      <c r="C658" s="2">
        <v>0</v>
      </c>
      <c r="D658" t="s">
        <v>373</v>
      </c>
      <c r="E658" t="str">
        <f>+INDEX(Check!$B$5:$B$33,MATCH(Compilado[[#This Row],[Items]],Check!$C$5:$C$33,0))</f>
        <v>FITOSANITARIOS</v>
      </c>
      <c r="F658" s="69">
        <f>+IFERROR(INDEX(Tabla2[TC],MATCH(Compilado[[#This Row],[Mes]],Tabla2[Mes],0))*Compilado[[#This Row],[USD]],0)</f>
        <v>0</v>
      </c>
      <c r="G658" s="150">
        <v>45931</v>
      </c>
    </row>
    <row r="659" spans="1:7">
      <c r="A659" t="s">
        <v>204</v>
      </c>
      <c r="B659" t="s">
        <v>94</v>
      </c>
      <c r="C659" s="2">
        <v>0</v>
      </c>
      <c r="D659" t="s">
        <v>373</v>
      </c>
      <c r="E659" t="str">
        <f>+INDEX(Check!$B$5:$B$33,MATCH(Compilado[[#This Row],[Items]],Check!$C$5:$C$33,0))</f>
        <v>FITOSANITARIOS</v>
      </c>
      <c r="F659" s="69">
        <f>+IFERROR(INDEX(Tabla2[TC],MATCH(Compilado[[#This Row],[Mes]],Tabla2[Mes],0))*Compilado[[#This Row],[USD]],0)</f>
        <v>0</v>
      </c>
      <c r="G659" s="150">
        <v>45962</v>
      </c>
    </row>
    <row r="660" spans="1:7">
      <c r="A660" t="s">
        <v>204</v>
      </c>
      <c r="B660" t="s">
        <v>95</v>
      </c>
      <c r="C660" s="2">
        <v>0</v>
      </c>
      <c r="D660" t="s">
        <v>373</v>
      </c>
      <c r="E660" t="str">
        <f>+INDEX(Check!$B$5:$B$33,MATCH(Compilado[[#This Row],[Items]],Check!$C$5:$C$33,0))</f>
        <v>FITOSANITARIOS</v>
      </c>
      <c r="F660" s="69">
        <f>+IFERROR(INDEX(Tabla2[TC],MATCH(Compilado[[#This Row],[Mes]],Tabla2[Mes],0))*Compilado[[#This Row],[USD]],0)</f>
        <v>0</v>
      </c>
      <c r="G660" s="150">
        <v>45992</v>
      </c>
    </row>
    <row r="661" spans="1:7">
      <c r="A661" t="s">
        <v>204</v>
      </c>
      <c r="B661" t="s">
        <v>97</v>
      </c>
      <c r="C661" s="2">
        <v>0</v>
      </c>
      <c r="D661" t="s">
        <v>373</v>
      </c>
      <c r="E661" t="str">
        <f>+INDEX(Check!$B$5:$B$33,MATCH(Compilado[[#This Row],[Items]],Check!$C$5:$C$33,0))</f>
        <v>FITOSANITARIOS</v>
      </c>
      <c r="F661" s="69">
        <f>+IFERROR(INDEX(Tabla2[TC],MATCH(Compilado[[#This Row],[Mes]],Tabla2[Mes],0))*Compilado[[#This Row],[USD]],0)</f>
        <v>0</v>
      </c>
      <c r="G661" s="150">
        <v>46054</v>
      </c>
    </row>
    <row r="662" spans="1:7">
      <c r="A662" t="s">
        <v>204</v>
      </c>
      <c r="B662" t="s">
        <v>93</v>
      </c>
      <c r="C662" s="2">
        <v>1291.3293719315559</v>
      </c>
      <c r="D662" t="s">
        <v>373</v>
      </c>
      <c r="E662" t="str">
        <f>+INDEX(Check!$B$5:$B$33,MATCH(Compilado[[#This Row],[Items]],Check!$C$5:$C$33,0))</f>
        <v>FITOSANITARIOS</v>
      </c>
      <c r="F662" s="69">
        <f>+IFERROR(INDEX(Tabla2[TC],MATCH(Compilado[[#This Row],[Mes]],Tabla2[Mes],0))*Compilado[[#This Row],[USD]],0)</f>
        <v>1529564.5666713382</v>
      </c>
      <c r="G662" s="150">
        <v>45931</v>
      </c>
    </row>
    <row r="663" spans="1:7">
      <c r="A663" t="s">
        <v>204</v>
      </c>
      <c r="B663" t="s">
        <v>94</v>
      </c>
      <c r="C663" s="2">
        <v>1549.5952463178671</v>
      </c>
      <c r="D663" t="s">
        <v>373</v>
      </c>
      <c r="E663" t="str">
        <f>+INDEX(Check!$B$5:$B$33,MATCH(Compilado[[#This Row],[Items]],Check!$C$5:$C$33,0))</f>
        <v>FITOSANITARIOS</v>
      </c>
      <c r="F663" s="69">
        <f>+IFERROR(INDEX(Tabla2[TC],MATCH(Compilado[[#This Row],[Mes]],Tabla2[Mes],0))*Compilado[[#This Row],[USD]],0)</f>
        <v>1853832.254805662</v>
      </c>
      <c r="G663" s="150">
        <v>45962</v>
      </c>
    </row>
    <row r="664" spans="1:7">
      <c r="A664" t="s">
        <v>204</v>
      </c>
      <c r="B664" t="s">
        <v>95</v>
      </c>
      <c r="C664" s="2">
        <v>1291.3293719315559</v>
      </c>
      <c r="D664" t="s">
        <v>373</v>
      </c>
      <c r="E664" t="str">
        <f>+INDEX(Check!$B$5:$B$33,MATCH(Compilado[[#This Row],[Items]],Check!$C$5:$C$33,0))</f>
        <v>FITOSANITARIOS</v>
      </c>
      <c r="F664" s="69">
        <f>+IFERROR(INDEX(Tabla2[TC],MATCH(Compilado[[#This Row],[Mes]],Tabla2[Mes],0))*Compilado[[#This Row],[USD]],0)</f>
        <v>1560308.8144614322</v>
      </c>
      <c r="G664" s="150">
        <v>45992</v>
      </c>
    </row>
    <row r="665" spans="1:7">
      <c r="A665" t="s">
        <v>204</v>
      </c>
      <c r="B665" t="s">
        <v>97</v>
      </c>
      <c r="C665" s="2">
        <v>2324.392869476801</v>
      </c>
      <c r="D665" t="s">
        <v>373</v>
      </c>
      <c r="E665" t="str">
        <f>+INDEX(Check!$B$5:$B$33,MATCH(Compilado[[#This Row],[Items]],Check!$C$5:$C$33,0))</f>
        <v>FITOSANITARIOS</v>
      </c>
      <c r="F665" s="69">
        <f>+IFERROR(INDEX(Tabla2[TC],MATCH(Compilado[[#This Row],[Mes]],Tabla2[Mes],0))*Compilado[[#This Row],[USD]],0)</f>
        <v>2865007.8389377929</v>
      </c>
      <c r="G665" s="150">
        <v>46054</v>
      </c>
    </row>
    <row r="666" spans="1:7">
      <c r="A666" t="s">
        <v>205</v>
      </c>
      <c r="B666" t="s">
        <v>93</v>
      </c>
      <c r="C666" s="2">
        <v>18.627569688000005</v>
      </c>
      <c r="D666" t="s">
        <v>373</v>
      </c>
      <c r="E666" t="str">
        <f>+INDEX(Check!$B$5:$B$33,MATCH(Compilado[[#This Row],[Items]],Check!$C$5:$C$33,0))</f>
        <v>FITOSANITARIOS</v>
      </c>
      <c r="F666" s="69">
        <f>+IFERROR(INDEX(Tabla2[TC],MATCH(Compilado[[#This Row],[Mes]],Tabla2[Mes],0))*Compilado[[#This Row],[USD]],0)</f>
        <v>22064.138845806447</v>
      </c>
      <c r="G666" s="150">
        <v>45931</v>
      </c>
    </row>
    <row r="667" spans="1:7">
      <c r="A667" t="s">
        <v>205</v>
      </c>
      <c r="B667" t="s">
        <v>94</v>
      </c>
      <c r="C667" s="2">
        <v>22.353083625600004</v>
      </c>
      <c r="D667" t="s">
        <v>373</v>
      </c>
      <c r="E667" t="str">
        <f>+INDEX(Check!$B$5:$B$33,MATCH(Compilado[[#This Row],[Items]],Check!$C$5:$C$33,0))</f>
        <v>FITOSANITARIOS</v>
      </c>
      <c r="F667" s="69">
        <f>+IFERROR(INDEX(Tabla2[TC],MATCH(Compilado[[#This Row],[Mes]],Tabla2[Mes],0))*Compilado[[#This Row],[USD]],0)</f>
        <v>26741.73628111741</v>
      </c>
      <c r="G667" s="150">
        <v>45962</v>
      </c>
    </row>
    <row r="668" spans="1:7">
      <c r="A668" t="s">
        <v>205</v>
      </c>
      <c r="B668" t="s">
        <v>95</v>
      </c>
      <c r="C668" s="2">
        <v>18.627569688000005</v>
      </c>
      <c r="D668" t="s">
        <v>373</v>
      </c>
      <c r="E668" t="str">
        <f>+INDEX(Check!$B$5:$B$33,MATCH(Compilado[[#This Row],[Items]],Check!$C$5:$C$33,0))</f>
        <v>FITOSANITARIOS</v>
      </c>
      <c r="F668" s="69">
        <f>+IFERROR(INDEX(Tabla2[TC],MATCH(Compilado[[#This Row],[Mes]],Tabla2[Mes],0))*Compilado[[#This Row],[USD]],0)</f>
        <v>22507.628036607155</v>
      </c>
      <c r="G668" s="150">
        <v>45992</v>
      </c>
    </row>
    <row r="669" spans="1:7">
      <c r="A669" t="s">
        <v>205</v>
      </c>
      <c r="B669" t="s">
        <v>97</v>
      </c>
      <c r="C669" s="2">
        <v>33.529625438400004</v>
      </c>
      <c r="D669" t="s">
        <v>373</v>
      </c>
      <c r="E669" t="str">
        <f>+INDEX(Check!$B$5:$B$33,MATCH(Compilado[[#This Row],[Items]],Check!$C$5:$C$33,0))</f>
        <v>FITOSANITARIOS</v>
      </c>
      <c r="F669" s="69">
        <f>+IFERROR(INDEX(Tabla2[TC],MATCH(Compilado[[#This Row],[Mes]],Tabla2[Mes],0))*Compilado[[#This Row],[USD]],0)</f>
        <v>41328.056448257317</v>
      </c>
      <c r="G669" s="150">
        <v>46054</v>
      </c>
    </row>
    <row r="670" spans="1:7">
      <c r="A670" t="s">
        <v>205</v>
      </c>
      <c r="B670" t="s">
        <v>93</v>
      </c>
      <c r="C670" s="2">
        <v>937.47049000000015</v>
      </c>
      <c r="D670" t="s">
        <v>373</v>
      </c>
      <c r="E670" t="str">
        <f>+INDEX(Check!$B$5:$B$33,MATCH(Compilado[[#This Row],[Items]],Check!$C$5:$C$33,0))</f>
        <v>FITOSANITARIOS</v>
      </c>
      <c r="F670" s="69">
        <f>+IFERROR(INDEX(Tabla2[TC],MATCH(Compilado[[#This Row],[Mes]],Tabla2[Mes],0))*Compilado[[#This Row],[USD]],0)</f>
        <v>1110422.8518082676</v>
      </c>
      <c r="G670" s="150">
        <v>45931</v>
      </c>
    </row>
    <row r="671" spans="1:7">
      <c r="A671" t="s">
        <v>205</v>
      </c>
      <c r="B671" t="s">
        <v>94</v>
      </c>
      <c r="C671" s="2">
        <v>1124.964588</v>
      </c>
      <c r="D671" t="s">
        <v>373</v>
      </c>
      <c r="E671" t="str">
        <f>+INDEX(Check!$B$5:$B$33,MATCH(Compilado[[#This Row],[Items]],Check!$C$5:$C$33,0))</f>
        <v>FITOSANITARIOS</v>
      </c>
      <c r="F671" s="69">
        <f>+IFERROR(INDEX(Tabla2[TC],MATCH(Compilado[[#This Row],[Mes]],Tabla2[Mes],0))*Compilado[[#This Row],[USD]],0)</f>
        <v>1345832.4963916203</v>
      </c>
      <c r="G671" s="150">
        <v>45962</v>
      </c>
    </row>
    <row r="672" spans="1:7">
      <c r="A672" t="s">
        <v>205</v>
      </c>
      <c r="B672" t="s">
        <v>95</v>
      </c>
      <c r="C672" s="2">
        <v>937.47049000000015</v>
      </c>
      <c r="D672" t="s">
        <v>373</v>
      </c>
      <c r="E672" t="str">
        <f>+INDEX(Check!$B$5:$B$33,MATCH(Compilado[[#This Row],[Items]],Check!$C$5:$C$33,0))</f>
        <v>FITOSANITARIOS</v>
      </c>
      <c r="F672" s="69">
        <f>+IFERROR(INDEX(Tabla2[TC],MATCH(Compilado[[#This Row],[Mes]],Tabla2[Mes],0))*Compilado[[#This Row],[USD]],0)</f>
        <v>1132742.3511296138</v>
      </c>
      <c r="G672" s="150">
        <v>45992</v>
      </c>
    </row>
    <row r="673" spans="1:7">
      <c r="A673" t="s">
        <v>205</v>
      </c>
      <c r="B673" t="s">
        <v>97</v>
      </c>
      <c r="C673" s="2">
        <v>1687.446882</v>
      </c>
      <c r="D673" t="s">
        <v>373</v>
      </c>
      <c r="E673" t="str">
        <f>+INDEX(Check!$B$5:$B$33,MATCH(Compilado[[#This Row],[Items]],Check!$C$5:$C$33,0))</f>
        <v>FITOSANITARIOS</v>
      </c>
      <c r="F673" s="69">
        <f>+IFERROR(INDEX(Tabla2[TC],MATCH(Compilado[[#This Row],[Mes]],Tabla2[Mes],0))*Compilado[[#This Row],[USD]],0)</f>
        <v>2079918.8502971737</v>
      </c>
      <c r="G673" s="150">
        <v>46054</v>
      </c>
    </row>
    <row r="674" spans="1:7">
      <c r="A674" t="s">
        <v>206</v>
      </c>
      <c r="B674" t="s">
        <v>93</v>
      </c>
      <c r="C674" s="2">
        <v>0</v>
      </c>
      <c r="D674" t="s">
        <v>373</v>
      </c>
      <c r="E674" t="str">
        <f>+INDEX(Check!$B$5:$B$33,MATCH(Compilado[[#This Row],[Items]],Check!$C$5:$C$33,0))</f>
        <v>FITOSANITARIOS</v>
      </c>
      <c r="F674" s="69">
        <f>+IFERROR(INDEX(Tabla2[TC],MATCH(Compilado[[#This Row],[Mes]],Tabla2[Mes],0))*Compilado[[#This Row],[USD]],0)</f>
        <v>0</v>
      </c>
      <c r="G674" s="150">
        <v>45931</v>
      </c>
    </row>
    <row r="675" spans="1:7">
      <c r="A675" t="s">
        <v>206</v>
      </c>
      <c r="B675" t="s">
        <v>94</v>
      </c>
      <c r="C675" s="2">
        <v>0</v>
      </c>
      <c r="D675" t="s">
        <v>373</v>
      </c>
      <c r="E675" t="str">
        <f>+INDEX(Check!$B$5:$B$33,MATCH(Compilado[[#This Row],[Items]],Check!$C$5:$C$33,0))</f>
        <v>FITOSANITARIOS</v>
      </c>
      <c r="F675" s="69">
        <f>+IFERROR(INDEX(Tabla2[TC],MATCH(Compilado[[#This Row],[Mes]],Tabla2[Mes],0))*Compilado[[#This Row],[USD]],0)</f>
        <v>0</v>
      </c>
      <c r="G675" s="150">
        <v>45962</v>
      </c>
    </row>
    <row r="676" spans="1:7">
      <c r="A676" t="s">
        <v>206</v>
      </c>
      <c r="B676" t="s">
        <v>95</v>
      </c>
      <c r="C676" s="2">
        <v>0</v>
      </c>
      <c r="D676" t="s">
        <v>373</v>
      </c>
      <c r="E676" t="str">
        <f>+INDEX(Check!$B$5:$B$33,MATCH(Compilado[[#This Row],[Items]],Check!$C$5:$C$33,0))</f>
        <v>FITOSANITARIOS</v>
      </c>
      <c r="F676" s="69">
        <f>+IFERROR(INDEX(Tabla2[TC],MATCH(Compilado[[#This Row],[Mes]],Tabla2[Mes],0))*Compilado[[#This Row],[USD]],0)</f>
        <v>0</v>
      </c>
      <c r="G676" s="150">
        <v>45992</v>
      </c>
    </row>
    <row r="677" spans="1:7">
      <c r="A677" t="s">
        <v>206</v>
      </c>
      <c r="B677" t="s">
        <v>97</v>
      </c>
      <c r="C677" s="2">
        <v>0</v>
      </c>
      <c r="D677" t="s">
        <v>373</v>
      </c>
      <c r="E677" t="str">
        <f>+INDEX(Check!$B$5:$B$33,MATCH(Compilado[[#This Row],[Items]],Check!$C$5:$C$33,0))</f>
        <v>FITOSANITARIOS</v>
      </c>
      <c r="F677" s="69">
        <f>+IFERROR(INDEX(Tabla2[TC],MATCH(Compilado[[#This Row],[Mes]],Tabla2[Mes],0))*Compilado[[#This Row],[USD]],0)</f>
        <v>0</v>
      </c>
      <c r="G677" s="150">
        <v>46054</v>
      </c>
    </row>
    <row r="678" spans="1:7">
      <c r="A678" t="s">
        <v>206</v>
      </c>
      <c r="B678" t="s">
        <v>93</v>
      </c>
      <c r="C678" s="2">
        <v>419.09511375000005</v>
      </c>
      <c r="D678" t="s">
        <v>373</v>
      </c>
      <c r="E678" t="str">
        <f>+INDEX(Check!$B$5:$B$33,MATCH(Compilado[[#This Row],[Items]],Check!$C$5:$C$33,0))</f>
        <v>FITOSANITARIOS</v>
      </c>
      <c r="F678" s="69">
        <f>+IFERROR(INDEX(Tabla2[TC],MATCH(Compilado[[#This Row],[Mes]],Tabla2[Mes],0))*Compilado[[#This Row],[USD]],0)</f>
        <v>496413.26991443249</v>
      </c>
      <c r="G678" s="150">
        <v>45931</v>
      </c>
    </row>
    <row r="679" spans="1:7">
      <c r="A679" t="s">
        <v>206</v>
      </c>
      <c r="B679" t="s">
        <v>94</v>
      </c>
      <c r="C679" s="2">
        <v>502.91413649999998</v>
      </c>
      <c r="D679" t="s">
        <v>373</v>
      </c>
      <c r="E679" t="str">
        <f>+INDEX(Check!$B$5:$B$33,MATCH(Compilado[[#This Row],[Items]],Check!$C$5:$C$33,0))</f>
        <v>FITOSANITARIOS</v>
      </c>
      <c r="F679" s="69">
        <f>+IFERROR(INDEX(Tabla2[TC],MATCH(Compilado[[#This Row],[Mes]],Tabla2[Mes],0))*Compilado[[#This Row],[USD]],0)</f>
        <v>601652.8831362921</v>
      </c>
      <c r="G679" s="150">
        <v>45962</v>
      </c>
    </row>
    <row r="680" spans="1:7">
      <c r="A680" t="s">
        <v>206</v>
      </c>
      <c r="B680" t="s">
        <v>95</v>
      </c>
      <c r="C680" s="2">
        <v>419.09511375000005</v>
      </c>
      <c r="D680" t="s">
        <v>373</v>
      </c>
      <c r="E680" t="str">
        <f>+INDEX(Check!$B$5:$B$33,MATCH(Compilado[[#This Row],[Items]],Check!$C$5:$C$33,0))</f>
        <v>FITOSANITARIOS</v>
      </c>
      <c r="F680" s="69">
        <f>+IFERROR(INDEX(Tabla2[TC],MATCH(Compilado[[#This Row],[Mes]],Tabla2[Mes],0))*Compilado[[#This Row],[USD]],0)</f>
        <v>506391.17663971259</v>
      </c>
      <c r="G680" s="150">
        <v>45992</v>
      </c>
    </row>
    <row r="681" spans="1:7">
      <c r="A681" t="s">
        <v>206</v>
      </c>
      <c r="B681" t="s">
        <v>97</v>
      </c>
      <c r="C681" s="2">
        <v>754.37120474999995</v>
      </c>
      <c r="D681" t="s">
        <v>373</v>
      </c>
      <c r="E681" t="str">
        <f>+INDEX(Check!$B$5:$B$33,MATCH(Compilado[[#This Row],[Items]],Check!$C$5:$C$33,0))</f>
        <v>FITOSANITARIOS</v>
      </c>
      <c r="F681" s="69">
        <f>+IFERROR(INDEX(Tabla2[TC],MATCH(Compilado[[#This Row],[Mes]],Tabla2[Mes],0))*Compilado[[#This Row],[USD]],0)</f>
        <v>929825.35072230722</v>
      </c>
      <c r="G681" s="150">
        <v>46054</v>
      </c>
    </row>
    <row r="682" spans="1:7">
      <c r="A682" t="s">
        <v>206</v>
      </c>
      <c r="B682" t="s">
        <v>93</v>
      </c>
      <c r="C682" s="2">
        <v>522.47190847500008</v>
      </c>
      <c r="D682" t="s">
        <v>373</v>
      </c>
      <c r="E682" t="str">
        <f>+INDEX(Check!$B$5:$B$33,MATCH(Compilado[[#This Row],[Items]],Check!$C$5:$C$33,0))</f>
        <v>FITOSANITARIOS</v>
      </c>
      <c r="F682" s="69">
        <f>+IFERROR(INDEX(Tabla2[TC],MATCH(Compilado[[#This Row],[Mes]],Tabla2[Mes],0))*Compilado[[#This Row],[USD]],0)</f>
        <v>618861.87649332592</v>
      </c>
      <c r="G682" s="150">
        <v>45931</v>
      </c>
    </row>
    <row r="683" spans="1:7">
      <c r="A683" t="s">
        <v>206</v>
      </c>
      <c r="B683" t="s">
        <v>94</v>
      </c>
      <c r="C683" s="2">
        <v>626.96629017000009</v>
      </c>
      <c r="D683" t="s">
        <v>373</v>
      </c>
      <c r="E683" t="str">
        <f>+INDEX(Check!$B$5:$B$33,MATCH(Compilado[[#This Row],[Items]],Check!$C$5:$C$33,0))</f>
        <v>FITOSANITARIOS</v>
      </c>
      <c r="F683" s="69">
        <f>+IFERROR(INDEX(Tabla2[TC],MATCH(Compilado[[#This Row],[Mes]],Tabla2[Mes],0))*Compilado[[#This Row],[USD]],0)</f>
        <v>750060.59430991102</v>
      </c>
      <c r="G683" s="150">
        <v>45962</v>
      </c>
    </row>
    <row r="684" spans="1:7">
      <c r="A684" t="s">
        <v>206</v>
      </c>
      <c r="B684" t="s">
        <v>95</v>
      </c>
      <c r="C684" s="2">
        <v>522.47190847500008</v>
      </c>
      <c r="D684" t="s">
        <v>373</v>
      </c>
      <c r="E684" t="str">
        <f>+INDEX(Check!$B$5:$B$33,MATCH(Compilado[[#This Row],[Items]],Check!$C$5:$C$33,0))</f>
        <v>FITOSANITARIOS</v>
      </c>
      <c r="F684" s="69">
        <f>+IFERROR(INDEX(Tabla2[TC],MATCH(Compilado[[#This Row],[Mes]],Tabla2[Mes],0))*Compilado[[#This Row],[USD]],0)</f>
        <v>631301.00021084165</v>
      </c>
      <c r="G684" s="150">
        <v>45992</v>
      </c>
    </row>
    <row r="685" spans="1:7">
      <c r="A685" t="s">
        <v>206</v>
      </c>
      <c r="B685" t="s">
        <v>97</v>
      </c>
      <c r="C685" s="2">
        <v>940.44943525500003</v>
      </c>
      <c r="D685" t="s">
        <v>373</v>
      </c>
      <c r="E685" t="str">
        <f>+INDEX(Check!$B$5:$B$33,MATCH(Compilado[[#This Row],[Items]],Check!$C$5:$C$33,0))</f>
        <v>FITOSANITARIOS</v>
      </c>
      <c r="F685" s="69">
        <f>+IFERROR(INDEX(Tabla2[TC],MATCH(Compilado[[#This Row],[Mes]],Tabla2[Mes],0))*Compilado[[#This Row],[USD]],0)</f>
        <v>1159182.2705671431</v>
      </c>
      <c r="G685" s="150">
        <v>46054</v>
      </c>
    </row>
    <row r="686" spans="1:7">
      <c r="A686" t="s">
        <v>206</v>
      </c>
      <c r="B686" t="s">
        <v>93</v>
      </c>
      <c r="C686" s="2">
        <v>550.98417357999995</v>
      </c>
      <c r="D686" t="s">
        <v>373</v>
      </c>
      <c r="E686" t="str">
        <f>+INDEX(Check!$B$5:$B$33,MATCH(Compilado[[#This Row],[Items]],Check!$C$5:$C$33,0))</f>
        <v>FITOSANITARIOS</v>
      </c>
      <c r="F686" s="69">
        <f>+IFERROR(INDEX(Tabla2[TC],MATCH(Compilado[[#This Row],[Mes]],Tabla2[Mes],0))*Compilado[[#This Row],[USD]],0)</f>
        <v>652634.32167120802</v>
      </c>
      <c r="G686" s="150">
        <v>45931</v>
      </c>
    </row>
    <row r="687" spans="1:7">
      <c r="A687" t="s">
        <v>206</v>
      </c>
      <c r="B687" t="s">
        <v>94</v>
      </c>
      <c r="C687" s="2">
        <v>661.18100829599996</v>
      </c>
      <c r="D687" t="s">
        <v>373</v>
      </c>
      <c r="E687" t="str">
        <f>+INDEX(Check!$B$5:$B$33,MATCH(Compilado[[#This Row],[Items]],Check!$C$5:$C$33,0))</f>
        <v>FITOSANITARIOS</v>
      </c>
      <c r="F687" s="69">
        <f>+IFERROR(INDEX(Tabla2[TC],MATCH(Compilado[[#This Row],[Mes]],Tabla2[Mes],0))*Compilado[[#This Row],[USD]],0)</f>
        <v>790992.79786550417</v>
      </c>
      <c r="G687" s="150">
        <v>45962</v>
      </c>
    </row>
    <row r="688" spans="1:7">
      <c r="A688" t="s">
        <v>206</v>
      </c>
      <c r="B688" t="s">
        <v>95</v>
      </c>
      <c r="C688" s="2">
        <v>550.98417357999995</v>
      </c>
      <c r="D688" t="s">
        <v>373</v>
      </c>
      <c r="E688" t="str">
        <f>+INDEX(Check!$B$5:$B$33,MATCH(Compilado[[#This Row],[Items]],Check!$C$5:$C$33,0))</f>
        <v>FITOSANITARIOS</v>
      </c>
      <c r="F688" s="69">
        <f>+IFERROR(INDEX(Tabla2[TC],MATCH(Compilado[[#This Row],[Mes]],Tabla2[Mes],0))*Compilado[[#This Row],[USD]],0)</f>
        <v>665752.27153679926</v>
      </c>
      <c r="G688" s="150">
        <v>45992</v>
      </c>
    </row>
    <row r="689" spans="1:7">
      <c r="A689" t="s">
        <v>206</v>
      </c>
      <c r="B689" t="s">
        <v>97</v>
      </c>
      <c r="C689" s="2">
        <v>991.77151244399988</v>
      </c>
      <c r="D689" t="s">
        <v>373</v>
      </c>
      <c r="E689" t="str">
        <f>+INDEX(Check!$B$5:$B$33,MATCH(Compilado[[#This Row],[Items]],Check!$C$5:$C$33,0))</f>
        <v>FITOSANITARIOS</v>
      </c>
      <c r="F689" s="69">
        <f>+IFERROR(INDEX(Tabla2[TC],MATCH(Compilado[[#This Row],[Mes]],Tabla2[Mes],0))*Compilado[[#This Row],[USD]],0)</f>
        <v>1222441.00595044</v>
      </c>
      <c r="G689" s="150">
        <v>46054</v>
      </c>
    </row>
    <row r="690" spans="1:7">
      <c r="A690" t="s">
        <v>206</v>
      </c>
      <c r="B690" t="s">
        <v>93</v>
      </c>
      <c r="C690" s="2">
        <v>195.89517871485947</v>
      </c>
      <c r="D690" t="s">
        <v>373</v>
      </c>
      <c r="E690" t="str">
        <f>+INDEX(Check!$B$5:$B$33,MATCH(Compilado[[#This Row],[Items]],Check!$C$5:$C$33,0))</f>
        <v>FITOSANITARIOS</v>
      </c>
      <c r="F690" s="69">
        <f>+IFERROR(INDEX(Tabla2[TC],MATCH(Compilado[[#This Row],[Mes]],Tabla2[Mes],0))*Compilado[[#This Row],[USD]],0)</f>
        <v>232035.55239807544</v>
      </c>
      <c r="G690" s="150">
        <v>45931</v>
      </c>
    </row>
    <row r="691" spans="1:7">
      <c r="A691" t="s">
        <v>206</v>
      </c>
      <c r="B691" t="s">
        <v>94</v>
      </c>
      <c r="C691" s="2">
        <v>235.07421445783137</v>
      </c>
      <c r="D691" t="s">
        <v>373</v>
      </c>
      <c r="E691" t="str">
        <f>+INDEX(Check!$B$5:$B$33,MATCH(Compilado[[#This Row],[Items]],Check!$C$5:$C$33,0))</f>
        <v>FITOSANITARIOS</v>
      </c>
      <c r="F691" s="69">
        <f>+IFERROR(INDEX(Tabla2[TC],MATCH(Compilado[[#This Row],[Mes]],Tabla2[Mes],0))*Compilado[[#This Row],[USD]],0)</f>
        <v>281227.08950646746</v>
      </c>
      <c r="G691" s="150">
        <v>45962</v>
      </c>
    </row>
    <row r="692" spans="1:7">
      <c r="A692" t="s">
        <v>206</v>
      </c>
      <c r="B692" t="s">
        <v>95</v>
      </c>
      <c r="C692" s="2">
        <v>195.89517871485947</v>
      </c>
      <c r="D692" t="s">
        <v>373</v>
      </c>
      <c r="E692" t="str">
        <f>+INDEX(Check!$B$5:$B$33,MATCH(Compilado[[#This Row],[Items]],Check!$C$5:$C$33,0))</f>
        <v>FITOSANITARIOS</v>
      </c>
      <c r="F692" s="69">
        <f>+IFERROR(INDEX(Tabla2[TC],MATCH(Compilado[[#This Row],[Mes]],Tabla2[Mes],0))*Compilado[[#This Row],[USD]],0)</f>
        <v>236699.46700127676</v>
      </c>
      <c r="G692" s="150">
        <v>45992</v>
      </c>
    </row>
    <row r="693" spans="1:7">
      <c r="A693" t="s">
        <v>206</v>
      </c>
      <c r="B693" t="s">
        <v>97</v>
      </c>
      <c r="C693" s="2">
        <v>352.61132168674703</v>
      </c>
      <c r="D693" t="s">
        <v>373</v>
      </c>
      <c r="E693" t="str">
        <f>+INDEX(Check!$B$5:$B$33,MATCH(Compilado[[#This Row],[Items]],Check!$C$5:$C$33,0))</f>
        <v>FITOSANITARIOS</v>
      </c>
      <c r="F693" s="69">
        <f>+IFERROR(INDEX(Tabla2[TC],MATCH(Compilado[[#This Row],[Mes]],Tabla2[Mes],0))*Compilado[[#This Row],[USD]],0)</f>
        <v>434622.82731840434</v>
      </c>
      <c r="G693" s="150">
        <v>46054</v>
      </c>
    </row>
    <row r="694" spans="1:7">
      <c r="A694" t="s">
        <v>206</v>
      </c>
      <c r="B694" t="s">
        <v>93</v>
      </c>
      <c r="C694" s="2">
        <v>0</v>
      </c>
      <c r="D694" t="s">
        <v>373</v>
      </c>
      <c r="E694" t="str">
        <f>+INDEX(Check!$B$5:$B$33,MATCH(Compilado[[#This Row],[Items]],Check!$C$5:$C$33,0))</f>
        <v>FITOSANITARIOS</v>
      </c>
      <c r="F694" s="69">
        <f>+IFERROR(INDEX(Tabla2[TC],MATCH(Compilado[[#This Row],[Mes]],Tabla2[Mes],0))*Compilado[[#This Row],[USD]],0)</f>
        <v>0</v>
      </c>
      <c r="G694" s="150">
        <v>45931</v>
      </c>
    </row>
    <row r="695" spans="1:7">
      <c r="A695" t="s">
        <v>206</v>
      </c>
      <c r="B695" t="s">
        <v>94</v>
      </c>
      <c r="C695" s="2">
        <v>0</v>
      </c>
      <c r="D695" t="s">
        <v>373</v>
      </c>
      <c r="E695" t="str">
        <f>+INDEX(Check!$B$5:$B$33,MATCH(Compilado[[#This Row],[Items]],Check!$C$5:$C$33,0))</f>
        <v>FITOSANITARIOS</v>
      </c>
      <c r="F695" s="69">
        <f>+IFERROR(INDEX(Tabla2[TC],MATCH(Compilado[[#This Row],[Mes]],Tabla2[Mes],0))*Compilado[[#This Row],[USD]],0)</f>
        <v>0</v>
      </c>
      <c r="G695" s="150">
        <v>45962</v>
      </c>
    </row>
    <row r="696" spans="1:7">
      <c r="A696" t="s">
        <v>206</v>
      </c>
      <c r="B696" t="s">
        <v>95</v>
      </c>
      <c r="C696" s="2">
        <v>0</v>
      </c>
      <c r="D696" t="s">
        <v>373</v>
      </c>
      <c r="E696" t="str">
        <f>+INDEX(Check!$B$5:$B$33,MATCH(Compilado[[#This Row],[Items]],Check!$C$5:$C$33,0))</f>
        <v>FITOSANITARIOS</v>
      </c>
      <c r="F696" s="69">
        <f>+IFERROR(INDEX(Tabla2[TC],MATCH(Compilado[[#This Row],[Mes]],Tabla2[Mes],0))*Compilado[[#This Row],[USD]],0)</f>
        <v>0</v>
      </c>
      <c r="G696" s="150">
        <v>45992</v>
      </c>
    </row>
    <row r="697" spans="1:7">
      <c r="A697" t="s">
        <v>206</v>
      </c>
      <c r="B697" t="s">
        <v>97</v>
      </c>
      <c r="C697" s="2">
        <v>0</v>
      </c>
      <c r="D697" t="s">
        <v>373</v>
      </c>
      <c r="E697" t="str">
        <f>+INDEX(Check!$B$5:$B$33,MATCH(Compilado[[#This Row],[Items]],Check!$C$5:$C$33,0))</f>
        <v>FITOSANITARIOS</v>
      </c>
      <c r="F697" s="69">
        <f>+IFERROR(INDEX(Tabla2[TC],MATCH(Compilado[[#This Row],[Mes]],Tabla2[Mes],0))*Compilado[[#This Row],[USD]],0)</f>
        <v>0</v>
      </c>
      <c r="G697" s="150">
        <v>46054</v>
      </c>
    </row>
    <row r="698" spans="1:7">
      <c r="A698" t="s">
        <v>190</v>
      </c>
      <c r="B698" t="s">
        <v>93</v>
      </c>
      <c r="C698" s="2">
        <v>72.83278928352</v>
      </c>
      <c r="D698" t="s">
        <v>15</v>
      </c>
      <c r="E698" t="str">
        <f>+INDEX(Check!$B$5:$B$33,MATCH(Compilado[[#This Row],[Items]],Check!$C$5:$C$33,0))</f>
        <v>FITOSANITARIOS</v>
      </c>
      <c r="F698" s="69">
        <f>+IFERROR(INDEX(Tabla2[TC],MATCH(Compilado[[#This Row],[Mes]],Tabla2[Mes],0))*Compilado[[#This Row],[USD]],0)</f>
        <v>86269.58869004708</v>
      </c>
      <c r="G698" s="150">
        <v>45931</v>
      </c>
    </row>
    <row r="699" spans="1:7">
      <c r="A699" t="s">
        <v>190</v>
      </c>
      <c r="B699" t="s">
        <v>94</v>
      </c>
      <c r="C699" s="2">
        <v>87.399347140223981</v>
      </c>
      <c r="D699" t="s">
        <v>15</v>
      </c>
      <c r="E699" t="str">
        <f>+INDEX(Check!$B$5:$B$33,MATCH(Compilado[[#This Row],[Items]],Check!$C$5:$C$33,0))</f>
        <v>FITOSANITARIOS</v>
      </c>
      <c r="F699" s="69">
        <f>+IFERROR(INDEX(Tabla2[TC],MATCH(Compilado[[#This Row],[Mes]],Tabla2[Mes],0))*Compilado[[#This Row],[USD]],0)</f>
        <v>104558.74149233704</v>
      </c>
      <c r="G699" s="150">
        <v>45962</v>
      </c>
    </row>
    <row r="700" spans="1:7">
      <c r="A700" t="s">
        <v>190</v>
      </c>
      <c r="B700" t="s">
        <v>95</v>
      </c>
      <c r="C700" s="2">
        <v>72.83278928352</v>
      </c>
      <c r="D700" t="s">
        <v>15</v>
      </c>
      <c r="E700" t="str">
        <f>+INDEX(Check!$B$5:$B$33,MATCH(Compilado[[#This Row],[Items]],Check!$C$5:$C$33,0))</f>
        <v>FITOSANITARIOS</v>
      </c>
      <c r="F700" s="69">
        <f>+IFERROR(INDEX(Tabla2[TC],MATCH(Compilado[[#This Row],[Mes]],Tabla2[Mes],0))*Compilado[[#This Row],[USD]],0)</f>
        <v>88003.607422717032</v>
      </c>
      <c r="G700" s="150">
        <v>45992</v>
      </c>
    </row>
    <row r="701" spans="1:7">
      <c r="A701" t="s">
        <v>190</v>
      </c>
      <c r="B701" t="s">
        <v>97</v>
      </c>
      <c r="C701" s="2">
        <v>131.09902071033599</v>
      </c>
      <c r="D701" t="s">
        <v>15</v>
      </c>
      <c r="E701" t="str">
        <f>+INDEX(Check!$B$5:$B$33,MATCH(Compilado[[#This Row],[Items]],Check!$C$5:$C$33,0))</f>
        <v>FITOSANITARIOS</v>
      </c>
      <c r="F701" s="69">
        <f>+IFERROR(INDEX(Tabla2[TC],MATCH(Compilado[[#This Row],[Mes]],Tabla2[Mes],0))*Compilado[[#This Row],[USD]],0)</f>
        <v>161590.46387744453</v>
      </c>
      <c r="G701" s="150">
        <v>46054</v>
      </c>
    </row>
    <row r="702" spans="1:7">
      <c r="A702" t="s">
        <v>190</v>
      </c>
      <c r="B702" t="s">
        <v>93</v>
      </c>
      <c r="C702" s="2">
        <v>111.66002538239999</v>
      </c>
      <c r="D702" t="s">
        <v>15</v>
      </c>
      <c r="E702" t="str">
        <f>+INDEX(Check!$B$5:$B$33,MATCH(Compilado[[#This Row],[Items]],Check!$C$5:$C$33,0))</f>
        <v>FITOSANITARIOS</v>
      </c>
      <c r="F702" s="69">
        <f>+IFERROR(INDEX(Tabla2[TC],MATCH(Compilado[[#This Row],[Mes]],Tabla2[Mes],0))*Compilado[[#This Row],[USD]],0)</f>
        <v>132259.99659798158</v>
      </c>
      <c r="G702" s="150">
        <v>45931</v>
      </c>
    </row>
    <row r="703" spans="1:7">
      <c r="A703" t="s">
        <v>190</v>
      </c>
      <c r="B703" t="s">
        <v>94</v>
      </c>
      <c r="C703" s="2">
        <v>133.99203045887998</v>
      </c>
      <c r="D703" t="s">
        <v>15</v>
      </c>
      <c r="E703" t="str">
        <f>+INDEX(Check!$B$5:$B$33,MATCH(Compilado[[#This Row],[Items]],Check!$C$5:$C$33,0))</f>
        <v>FITOSANITARIOS</v>
      </c>
      <c r="F703" s="69">
        <f>+IFERROR(INDEX(Tabla2[TC],MATCH(Compilado[[#This Row],[Mes]],Tabla2[Mes],0))*Compilado[[#This Row],[USD]],0)</f>
        <v>160299.11587675367</v>
      </c>
      <c r="G703" s="150">
        <v>45962</v>
      </c>
    </row>
    <row r="704" spans="1:7">
      <c r="A704" t="s">
        <v>190</v>
      </c>
      <c r="B704" t="s">
        <v>95</v>
      </c>
      <c r="C704" s="2">
        <v>111.66002538239999</v>
      </c>
      <c r="D704" t="s">
        <v>15</v>
      </c>
      <c r="E704" t="str">
        <f>+INDEX(Check!$B$5:$B$33,MATCH(Compilado[[#This Row],[Items]],Check!$C$5:$C$33,0))</f>
        <v>FITOSANITARIOS</v>
      </c>
      <c r="F704" s="69">
        <f>+IFERROR(INDEX(Tabla2[TC],MATCH(Compilado[[#This Row],[Mes]],Tabla2[Mes],0))*Compilado[[#This Row],[USD]],0)</f>
        <v>134918.422529601</v>
      </c>
      <c r="G704" s="150">
        <v>45992</v>
      </c>
    </row>
    <row r="705" spans="1:7">
      <c r="A705" t="s">
        <v>190</v>
      </c>
      <c r="B705" t="s">
        <v>97</v>
      </c>
      <c r="C705" s="2">
        <v>200.98804568832</v>
      </c>
      <c r="D705" t="s">
        <v>15</v>
      </c>
      <c r="E705" t="str">
        <f>+INDEX(Check!$B$5:$B$33,MATCH(Compilado[[#This Row],[Items]],Check!$C$5:$C$33,0))</f>
        <v>FITOSANITARIOS</v>
      </c>
      <c r="F705" s="69">
        <f>+IFERROR(INDEX(Tabla2[TC],MATCH(Compilado[[#This Row],[Mes]],Tabla2[Mes],0))*Compilado[[#This Row],[USD]],0)</f>
        <v>247734.50908040279</v>
      </c>
      <c r="G705" s="150">
        <v>46054</v>
      </c>
    </row>
    <row r="706" spans="1:7">
      <c r="A706" t="s">
        <v>202</v>
      </c>
      <c r="B706" t="s">
        <v>93</v>
      </c>
      <c r="C706" s="2">
        <v>21.618486390000001</v>
      </c>
      <c r="D706" t="s">
        <v>15</v>
      </c>
      <c r="E706" t="str">
        <f>+INDEX(Check!$B$5:$B$33,MATCH(Compilado[[#This Row],[Items]],Check!$C$5:$C$33,0))</f>
        <v>FITOSANITARIOS</v>
      </c>
      <c r="F706" s="69">
        <f>+IFERROR(INDEX(Tabla2[TC],MATCH(Compilado[[#This Row],[Mes]],Tabla2[Mes],0))*Compilado[[#This Row],[USD]],0)</f>
        <v>25606.844764747759</v>
      </c>
      <c r="G706" s="150">
        <v>45931</v>
      </c>
    </row>
    <row r="707" spans="1:7">
      <c r="A707" t="s">
        <v>202</v>
      </c>
      <c r="B707" t="s">
        <v>94</v>
      </c>
      <c r="C707" s="2">
        <v>25.942183667999998</v>
      </c>
      <c r="D707" t="s">
        <v>15</v>
      </c>
      <c r="E707" t="str">
        <f>+INDEX(Check!$B$5:$B$33,MATCH(Compilado[[#This Row],[Items]],Check!$C$5:$C$33,0))</f>
        <v>FITOSANITARIOS</v>
      </c>
      <c r="F707" s="69">
        <f>+IFERROR(INDEX(Tabla2[TC],MATCH(Compilado[[#This Row],[Mes]],Tabla2[Mes],0))*Compilado[[#This Row],[USD]],0)</f>
        <v>31035.495854874283</v>
      </c>
      <c r="G707" s="150">
        <v>45962</v>
      </c>
    </row>
    <row r="708" spans="1:7">
      <c r="A708" t="s">
        <v>202</v>
      </c>
      <c r="B708" t="s">
        <v>95</v>
      </c>
      <c r="C708" s="2">
        <v>21.618486390000001</v>
      </c>
      <c r="D708" t="s">
        <v>15</v>
      </c>
      <c r="E708" t="str">
        <f>+INDEX(Check!$B$5:$B$33,MATCH(Compilado[[#This Row],[Items]],Check!$C$5:$C$33,0))</f>
        <v>FITOSANITARIOS</v>
      </c>
      <c r="F708" s="69">
        <f>+IFERROR(INDEX(Tabla2[TC],MATCH(Compilado[[#This Row],[Mes]],Tabla2[Mes],0))*Compilado[[#This Row],[USD]],0)</f>
        <v>26121.542344519188</v>
      </c>
      <c r="G708" s="150">
        <v>45992</v>
      </c>
    </row>
    <row r="709" spans="1:7">
      <c r="A709" t="s">
        <v>202</v>
      </c>
      <c r="B709" t="s">
        <v>97</v>
      </c>
      <c r="C709" s="2">
        <v>38.913275501999998</v>
      </c>
      <c r="D709" t="s">
        <v>15</v>
      </c>
      <c r="E709" t="str">
        <f>+INDEX(Check!$B$5:$B$33,MATCH(Compilado[[#This Row],[Items]],Check!$C$5:$C$33,0))</f>
        <v>FITOSANITARIOS</v>
      </c>
      <c r="F709" s="69">
        <f>+IFERROR(INDEX(Tabla2[TC],MATCH(Compilado[[#This Row],[Mes]],Tabla2[Mes],0))*Compilado[[#This Row],[USD]],0)</f>
        <v>47963.853622159237</v>
      </c>
      <c r="G709" s="150">
        <v>46054</v>
      </c>
    </row>
    <row r="710" spans="1:7">
      <c r="A710" t="s">
        <v>202</v>
      </c>
      <c r="B710" t="s">
        <v>93</v>
      </c>
      <c r="C710" s="2">
        <v>229.43840832000009</v>
      </c>
      <c r="D710" t="s">
        <v>15</v>
      </c>
      <c r="E710" t="str">
        <f>+INDEX(Check!$B$5:$B$33,MATCH(Compilado[[#This Row],[Items]],Check!$C$5:$C$33,0))</f>
        <v>FITOSANITARIOS</v>
      </c>
      <c r="F710" s="69">
        <f>+IFERROR(INDEX(Tabla2[TC],MATCH(Compilado[[#This Row],[Mes]],Tabla2[Mes],0))*Compilado[[#This Row],[USD]],0)</f>
        <v>271767.11629722256</v>
      </c>
      <c r="G710" s="150">
        <v>45931</v>
      </c>
    </row>
    <row r="711" spans="1:7">
      <c r="A711" t="s">
        <v>202</v>
      </c>
      <c r="B711" t="s">
        <v>94</v>
      </c>
      <c r="C711" s="2">
        <v>275.32608998400008</v>
      </c>
      <c r="D711" t="s">
        <v>15</v>
      </c>
      <c r="E711" t="str">
        <f>+INDEX(Check!$B$5:$B$33,MATCH(Compilado[[#This Row],[Items]],Check!$C$5:$C$33,0))</f>
        <v>FITOSANITARIOS</v>
      </c>
      <c r="F711" s="69">
        <f>+IFERROR(INDEX(Tabla2[TC],MATCH(Compilado[[#This Row],[Mes]],Tabla2[Mes],0))*Compilado[[#This Row],[USD]],0)</f>
        <v>329381.74495223368</v>
      </c>
      <c r="G711" s="150">
        <v>45962</v>
      </c>
    </row>
    <row r="712" spans="1:7">
      <c r="A712" t="s">
        <v>202</v>
      </c>
      <c r="B712" t="s">
        <v>95</v>
      </c>
      <c r="C712" s="2">
        <v>229.43840832000009</v>
      </c>
      <c r="D712" t="s">
        <v>15</v>
      </c>
      <c r="E712" t="str">
        <f>+INDEX(Check!$B$5:$B$33,MATCH(Compilado[[#This Row],[Items]],Check!$C$5:$C$33,0))</f>
        <v>FITOSANITARIOS</v>
      </c>
      <c r="F712" s="69">
        <f>+IFERROR(INDEX(Tabla2[TC],MATCH(Compilado[[#This Row],[Mes]],Tabla2[Mes],0))*Compilado[[#This Row],[USD]],0)</f>
        <v>277229.63533479674</v>
      </c>
      <c r="G712" s="150">
        <v>45992</v>
      </c>
    </row>
    <row r="713" spans="1:7">
      <c r="A713" t="s">
        <v>202</v>
      </c>
      <c r="B713" t="s">
        <v>97</v>
      </c>
      <c r="C713" s="2">
        <v>412.98913497600006</v>
      </c>
      <c r="D713" t="s">
        <v>15</v>
      </c>
      <c r="E713" t="str">
        <f>+INDEX(Check!$B$5:$B$33,MATCH(Compilado[[#This Row],[Items]],Check!$C$5:$C$33,0))</f>
        <v>FITOSANITARIOS</v>
      </c>
      <c r="F713" s="69">
        <f>+IFERROR(INDEX(Tabla2[TC],MATCH(Compilado[[#This Row],[Mes]],Tabla2[Mes],0))*Compilado[[#This Row],[USD]],0)</f>
        <v>509043.5118090469</v>
      </c>
      <c r="G713" s="150">
        <v>46054</v>
      </c>
    </row>
    <row r="714" spans="1:7">
      <c r="A714" t="s">
        <v>202</v>
      </c>
      <c r="B714" t="s">
        <v>93</v>
      </c>
      <c r="C714" s="2">
        <v>137.42404664999998</v>
      </c>
      <c r="D714" t="s">
        <v>15</v>
      </c>
      <c r="E714" t="str">
        <f>+INDEX(Check!$B$5:$B$33,MATCH(Compilado[[#This Row],[Items]],Check!$C$5:$C$33,0))</f>
        <v>FITOSANITARIOS</v>
      </c>
      <c r="F714" s="69">
        <f>+IFERROR(INDEX(Tabla2[TC],MATCH(Compilado[[#This Row],[Mes]],Tabla2[Mes],0))*Compilado[[#This Row],[USD]],0)</f>
        <v>162777.1790321905</v>
      </c>
      <c r="G714" s="150">
        <v>45931</v>
      </c>
    </row>
    <row r="715" spans="1:7">
      <c r="A715" t="s">
        <v>202</v>
      </c>
      <c r="B715" t="s">
        <v>94</v>
      </c>
      <c r="C715" s="2">
        <v>164.90885597999997</v>
      </c>
      <c r="D715" t="s">
        <v>15</v>
      </c>
      <c r="E715" t="str">
        <f>+INDEX(Check!$B$5:$B$33,MATCH(Compilado[[#This Row],[Items]],Check!$C$5:$C$33,0))</f>
        <v>FITOSANITARIOS</v>
      </c>
      <c r="F715" s="69">
        <f>+IFERROR(INDEX(Tabla2[TC],MATCH(Compilado[[#This Row],[Mes]],Tabla2[Mes],0))*Compilado[[#This Row],[USD]],0)</f>
        <v>197285.94098701488</v>
      </c>
      <c r="G715" s="150">
        <v>45962</v>
      </c>
    </row>
    <row r="716" spans="1:7">
      <c r="A716" t="s">
        <v>202</v>
      </c>
      <c r="B716" t="s">
        <v>95</v>
      </c>
      <c r="C716" s="2">
        <v>137.42404664999998</v>
      </c>
      <c r="D716" t="s">
        <v>15</v>
      </c>
      <c r="E716" t="str">
        <f>+INDEX(Check!$B$5:$B$33,MATCH(Compilado[[#This Row],[Items]],Check!$C$5:$C$33,0))</f>
        <v>FITOSANITARIOS</v>
      </c>
      <c r="F716" s="69">
        <f>+IFERROR(INDEX(Tabla2[TC],MATCH(Compilado[[#This Row],[Mes]],Tabla2[Mes],0))*Compilado[[#This Row],[USD]],0)</f>
        <v>166049.00033073753</v>
      </c>
      <c r="G716" s="150">
        <v>45992</v>
      </c>
    </row>
    <row r="717" spans="1:7">
      <c r="A717" t="s">
        <v>202</v>
      </c>
      <c r="B717" t="s">
        <v>97</v>
      </c>
      <c r="C717" s="2">
        <v>247.36328396999991</v>
      </c>
      <c r="D717" t="s">
        <v>15</v>
      </c>
      <c r="E717" t="str">
        <f>+INDEX(Check!$B$5:$B$33,MATCH(Compilado[[#This Row],[Items]],Check!$C$5:$C$33,0))</f>
        <v>FITOSANITARIOS</v>
      </c>
      <c r="F717" s="69">
        <f>+IFERROR(INDEX(Tabla2[TC],MATCH(Compilado[[#This Row],[Mes]],Tabla2[Mes],0))*Compilado[[#This Row],[USD]],0)</f>
        <v>304895.85342729354</v>
      </c>
      <c r="G717" s="150">
        <v>46054</v>
      </c>
    </row>
    <row r="718" spans="1:7">
      <c r="A718" t="s">
        <v>202</v>
      </c>
      <c r="B718" t="s">
        <v>93</v>
      </c>
      <c r="C718" s="2">
        <v>81.276817977600018</v>
      </c>
      <c r="D718" t="s">
        <v>15</v>
      </c>
      <c r="E718" t="str">
        <f>+INDEX(Check!$B$5:$B$33,MATCH(Compilado[[#This Row],[Items]],Check!$C$5:$C$33,0))</f>
        <v>FITOSANITARIOS</v>
      </c>
      <c r="F718" s="69">
        <f>+IFERROR(INDEX(Tabla2[TC],MATCH(Compilado[[#This Row],[Mes]],Tabla2[Mes],0))*Compilado[[#This Row],[USD]],0)</f>
        <v>96271.442106500937</v>
      </c>
      <c r="G718" s="150">
        <v>45931</v>
      </c>
    </row>
    <row r="719" spans="1:7">
      <c r="A719" t="s">
        <v>202</v>
      </c>
      <c r="B719" t="s">
        <v>94</v>
      </c>
      <c r="C719" s="2">
        <v>97.532181573120013</v>
      </c>
      <c r="D719" t="s">
        <v>15</v>
      </c>
      <c r="E719" t="str">
        <f>+INDEX(Check!$B$5:$B$33,MATCH(Compilado[[#This Row],[Items]],Check!$C$5:$C$33,0))</f>
        <v>FITOSANITARIOS</v>
      </c>
      <c r="F719" s="69">
        <f>+IFERROR(INDEX(Tabla2[TC],MATCH(Compilado[[#This Row],[Mes]],Tabla2[Mes],0))*Compilado[[#This Row],[USD]],0)</f>
        <v>116680.98783307914</v>
      </c>
      <c r="G719" s="150">
        <v>45962</v>
      </c>
    </row>
    <row r="720" spans="1:7">
      <c r="A720" t="s">
        <v>202</v>
      </c>
      <c r="B720" t="s">
        <v>95</v>
      </c>
      <c r="C720" s="2">
        <v>81.276817977600018</v>
      </c>
      <c r="D720" t="s">
        <v>15</v>
      </c>
      <c r="E720" t="str">
        <f>+INDEX(Check!$B$5:$B$33,MATCH(Compilado[[#This Row],[Items]],Check!$C$5:$C$33,0))</f>
        <v>FITOSANITARIOS</v>
      </c>
      <c r="F720" s="69">
        <f>+IFERROR(INDEX(Tabla2[TC],MATCH(Compilado[[#This Row],[Mes]],Tabla2[Mes],0))*Compilado[[#This Row],[USD]],0)</f>
        <v>98206.498092841604</v>
      </c>
      <c r="G720" s="150">
        <v>45992</v>
      </c>
    </row>
    <row r="721" spans="1:7">
      <c r="A721" t="s">
        <v>202</v>
      </c>
      <c r="B721" t="s">
        <v>97</v>
      </c>
      <c r="C721" s="2">
        <v>146.29827235968003</v>
      </c>
      <c r="D721" t="s">
        <v>15</v>
      </c>
      <c r="E721" t="str">
        <f>+INDEX(Check!$B$5:$B$33,MATCH(Compilado[[#This Row],[Items]],Check!$C$5:$C$33,0))</f>
        <v>FITOSANITARIOS</v>
      </c>
      <c r="F721" s="69">
        <f>+IFERROR(INDEX(Tabla2[TC],MATCH(Compilado[[#This Row],[Mes]],Tabla2[Mes],0))*Compilado[[#This Row],[USD]],0)</f>
        <v>180324.80766811388</v>
      </c>
      <c r="G721" s="150">
        <v>46054</v>
      </c>
    </row>
    <row r="722" spans="1:7">
      <c r="A722" t="s">
        <v>202</v>
      </c>
      <c r="B722" t="s">
        <v>93</v>
      </c>
      <c r="C722" s="2">
        <v>127.10366370000004</v>
      </c>
      <c r="D722" t="s">
        <v>15</v>
      </c>
      <c r="E722" t="str">
        <f>+INDEX(Check!$B$5:$B$33,MATCH(Compilado[[#This Row],[Items]],Check!$C$5:$C$33,0))</f>
        <v>FITOSANITARIOS</v>
      </c>
      <c r="F722" s="69">
        <f>+IFERROR(INDEX(Tabla2[TC],MATCH(Compilado[[#This Row],[Mes]],Tabla2[Mes],0))*Compilado[[#This Row],[USD]],0)</f>
        <v>150552.80590329089</v>
      </c>
      <c r="G722" s="150">
        <v>45931</v>
      </c>
    </row>
    <row r="723" spans="1:7">
      <c r="A723" t="s">
        <v>202</v>
      </c>
      <c r="B723" t="s">
        <v>94</v>
      </c>
      <c r="C723" s="2">
        <v>152.52439644</v>
      </c>
      <c r="D723" t="s">
        <v>15</v>
      </c>
      <c r="E723" t="str">
        <f>+INDEX(Check!$B$5:$B$33,MATCH(Compilado[[#This Row],[Items]],Check!$C$5:$C$33,0))</f>
        <v>FITOSANITARIOS</v>
      </c>
      <c r="F723" s="69">
        <f>+IFERROR(INDEX(Tabla2[TC],MATCH(Compilado[[#This Row],[Mes]],Tabla2[Mes],0))*Compilado[[#This Row],[USD]],0)</f>
        <v>182470.00075478852</v>
      </c>
      <c r="G723" s="150">
        <v>45962</v>
      </c>
    </row>
    <row r="724" spans="1:7">
      <c r="A724" t="s">
        <v>202</v>
      </c>
      <c r="B724" t="s">
        <v>95</v>
      </c>
      <c r="C724" s="2">
        <v>127.10366370000004</v>
      </c>
      <c r="D724" t="s">
        <v>15</v>
      </c>
      <c r="E724" t="str">
        <f>+INDEX(Check!$B$5:$B$33,MATCH(Compilado[[#This Row],[Items]],Check!$C$5:$C$33,0))</f>
        <v>FITOSANITARIOS</v>
      </c>
      <c r="F724" s="69">
        <f>+IFERROR(INDEX(Tabla2[TC],MATCH(Compilado[[#This Row],[Mes]],Tabla2[Mes],0))*Compilado[[#This Row],[USD]],0)</f>
        <v>153578.91730194705</v>
      </c>
      <c r="G724" s="150">
        <v>45992</v>
      </c>
    </row>
    <row r="725" spans="1:7">
      <c r="A725" t="s">
        <v>202</v>
      </c>
      <c r="B725" t="s">
        <v>97</v>
      </c>
      <c r="C725" s="2">
        <v>228.78659465999999</v>
      </c>
      <c r="D725" t="s">
        <v>15</v>
      </c>
      <c r="E725" t="str">
        <f>+INDEX(Check!$B$5:$B$33,MATCH(Compilado[[#This Row],[Items]],Check!$C$5:$C$33,0))</f>
        <v>FITOSANITARIOS</v>
      </c>
      <c r="F725" s="69">
        <f>+IFERROR(INDEX(Tabla2[TC],MATCH(Compilado[[#This Row],[Mes]],Tabla2[Mes],0))*Compilado[[#This Row],[USD]],0)</f>
        <v>281998.536371489</v>
      </c>
      <c r="G725" s="150">
        <v>46054</v>
      </c>
    </row>
    <row r="726" spans="1:7">
      <c r="A726" t="s">
        <v>202</v>
      </c>
      <c r="B726" t="s">
        <v>93</v>
      </c>
      <c r="C726" s="2">
        <v>477.33005407999991</v>
      </c>
      <c r="D726" t="s">
        <v>15</v>
      </c>
      <c r="E726" t="str">
        <f>+INDEX(Check!$B$5:$B$33,MATCH(Compilado[[#This Row],[Items]],Check!$C$5:$C$33,0))</f>
        <v>FITOSANITARIOS</v>
      </c>
      <c r="F726" s="69">
        <f>+IFERROR(INDEX(Tabla2[TC],MATCH(Compilado[[#This Row],[Mes]],Tabla2[Mes],0))*Compilado[[#This Row],[USD]],0)</f>
        <v>565391.87692756928</v>
      </c>
      <c r="G726" s="150">
        <v>45931</v>
      </c>
    </row>
    <row r="727" spans="1:7">
      <c r="A727" t="s">
        <v>202</v>
      </c>
      <c r="B727" t="s">
        <v>94</v>
      </c>
      <c r="C727" s="2">
        <v>572.79606489599985</v>
      </c>
      <c r="D727" t="s">
        <v>15</v>
      </c>
      <c r="E727" t="str">
        <f>+INDEX(Check!$B$5:$B$33,MATCH(Compilado[[#This Row],[Items]],Check!$C$5:$C$33,0))</f>
        <v>FITOSANITARIOS</v>
      </c>
      <c r="F727" s="69">
        <f>+IFERROR(INDEX(Tabla2[TC],MATCH(Compilado[[#This Row],[Mes]],Tabla2[Mes],0))*Compilado[[#This Row],[USD]],0)</f>
        <v>685254.95483621384</v>
      </c>
      <c r="G727" s="150">
        <v>45962</v>
      </c>
    </row>
    <row r="728" spans="1:7">
      <c r="A728" t="s">
        <v>202</v>
      </c>
      <c r="B728" t="s">
        <v>95</v>
      </c>
      <c r="C728" s="2">
        <v>477.33005407999991</v>
      </c>
      <c r="D728" t="s">
        <v>15</v>
      </c>
      <c r="E728" t="str">
        <f>+INDEX(Check!$B$5:$B$33,MATCH(Compilado[[#This Row],[Items]],Check!$C$5:$C$33,0))</f>
        <v>FITOSANITARIOS</v>
      </c>
      <c r="F728" s="69">
        <f>+IFERROR(INDEX(Tabla2[TC],MATCH(Compilado[[#This Row],[Mes]],Tabla2[Mes],0))*Compilado[[#This Row],[USD]],0)</f>
        <v>576756.25365381339</v>
      </c>
      <c r="G728" s="150">
        <v>45992</v>
      </c>
    </row>
    <row r="729" spans="1:7">
      <c r="A729" t="s">
        <v>202</v>
      </c>
      <c r="B729" t="s">
        <v>97</v>
      </c>
      <c r="C729" s="2">
        <v>859.19409734399983</v>
      </c>
      <c r="D729" t="s">
        <v>15</v>
      </c>
      <c r="E729" t="str">
        <f>+INDEX(Check!$B$5:$B$33,MATCH(Compilado[[#This Row],[Items]],Check!$C$5:$C$33,0))</f>
        <v>FITOSANITARIOS</v>
      </c>
      <c r="F729" s="69">
        <f>+IFERROR(INDEX(Tabla2[TC],MATCH(Compilado[[#This Row],[Mes]],Tabla2[Mes],0))*Compilado[[#This Row],[USD]],0)</f>
        <v>1059028.297834059</v>
      </c>
      <c r="G729" s="150">
        <v>46054</v>
      </c>
    </row>
    <row r="730" spans="1:7">
      <c r="A730" t="s">
        <v>203</v>
      </c>
      <c r="B730" t="s">
        <v>93</v>
      </c>
      <c r="C730" s="2">
        <v>888.20474736000017</v>
      </c>
      <c r="D730" t="s">
        <v>15</v>
      </c>
      <c r="E730" t="str">
        <f>+INDEX(Check!$B$5:$B$33,MATCH(Compilado[[#This Row],[Items]],Check!$C$5:$C$33,0))</f>
        <v>FITOSANITARIOS</v>
      </c>
      <c r="F730" s="69">
        <f>+IFERROR(INDEX(Tabla2[TC],MATCH(Compilado[[#This Row],[Mes]],Tabla2[Mes],0))*Compilado[[#This Row],[USD]],0)</f>
        <v>1052068.154756672</v>
      </c>
      <c r="G730" s="150">
        <v>45931</v>
      </c>
    </row>
    <row r="731" spans="1:7">
      <c r="A731" t="s">
        <v>203</v>
      </c>
      <c r="B731" t="s">
        <v>94</v>
      </c>
      <c r="C731" s="2">
        <v>1065.8456968320002</v>
      </c>
      <c r="D731" t="s">
        <v>15</v>
      </c>
      <c r="E731" t="str">
        <f>+INDEX(Check!$B$5:$B$33,MATCH(Compilado[[#This Row],[Items]],Check!$C$5:$C$33,0))</f>
        <v>FITOSANITARIOS</v>
      </c>
      <c r="F731" s="69">
        <f>+IFERROR(INDEX(Tabla2[TC],MATCH(Compilado[[#This Row],[Mes]],Tabla2[Mes],0))*Compilado[[#This Row],[USD]],0)</f>
        <v>1275106.6035650864</v>
      </c>
      <c r="G731" s="150">
        <v>45962</v>
      </c>
    </row>
    <row r="732" spans="1:7">
      <c r="A732" t="s">
        <v>203</v>
      </c>
      <c r="B732" t="s">
        <v>95</v>
      </c>
      <c r="C732" s="2">
        <v>888.20474736000017</v>
      </c>
      <c r="D732" t="s">
        <v>15</v>
      </c>
      <c r="E732" t="str">
        <f>+INDEX(Check!$B$5:$B$33,MATCH(Compilado[[#This Row],[Items]],Check!$C$5:$C$33,0))</f>
        <v>FITOSANITARIOS</v>
      </c>
      <c r="F732" s="69">
        <f>+IFERROR(INDEX(Tabla2[TC],MATCH(Compilado[[#This Row],[Mes]],Tabla2[Mes],0))*Compilado[[#This Row],[USD]],0)</f>
        <v>1073214.7246672811</v>
      </c>
      <c r="G732" s="150">
        <v>45992</v>
      </c>
    </row>
    <row r="733" spans="1:7">
      <c r="A733" t="s">
        <v>203</v>
      </c>
      <c r="B733" t="s">
        <v>97</v>
      </c>
      <c r="C733" s="2">
        <v>1598.7685452480002</v>
      </c>
      <c r="D733" t="s">
        <v>15</v>
      </c>
      <c r="E733" t="str">
        <f>+INDEX(Check!$B$5:$B$33,MATCH(Compilado[[#This Row],[Items]],Check!$C$5:$C$33,0))</f>
        <v>FITOSANITARIOS</v>
      </c>
      <c r="F733" s="69">
        <f>+IFERROR(INDEX(Tabla2[TC],MATCH(Compilado[[#This Row],[Mes]],Tabla2[Mes],0))*Compilado[[#This Row],[USD]],0)</f>
        <v>1970615.4131395679</v>
      </c>
      <c r="G733" s="150">
        <v>46054</v>
      </c>
    </row>
    <row r="734" spans="1:7">
      <c r="A734" t="s">
        <v>203</v>
      </c>
      <c r="B734" t="s">
        <v>93</v>
      </c>
      <c r="C734" s="2">
        <v>745.67482703999997</v>
      </c>
      <c r="D734" t="s">
        <v>15</v>
      </c>
      <c r="E734" t="str">
        <f>+INDEX(Check!$B$5:$B$33,MATCH(Compilado[[#This Row],[Items]],Check!$C$5:$C$33,0))</f>
        <v>FITOSANITARIOS</v>
      </c>
      <c r="F734" s="69">
        <f>+IFERROR(INDEX(Tabla2[TC],MATCH(Compilado[[#This Row],[Mes]],Tabla2[Mes],0))*Compilado[[#This Row],[USD]],0)</f>
        <v>883243.12796597288</v>
      </c>
      <c r="G734" s="150">
        <v>45931</v>
      </c>
    </row>
    <row r="735" spans="1:7">
      <c r="A735" t="s">
        <v>203</v>
      </c>
      <c r="B735" t="s">
        <v>94</v>
      </c>
      <c r="C735" s="2">
        <v>894.80979244800005</v>
      </c>
      <c r="D735" t="s">
        <v>15</v>
      </c>
      <c r="E735" t="str">
        <f>+INDEX(Check!$B$5:$B$33,MATCH(Compilado[[#This Row],[Items]],Check!$C$5:$C$33,0))</f>
        <v>FITOSANITARIOS</v>
      </c>
      <c r="F735" s="69">
        <f>+IFERROR(INDEX(Tabla2[TC],MATCH(Compilado[[#This Row],[Mes]],Tabla2[Mes],0))*Compilado[[#This Row],[USD]],0)</f>
        <v>1070490.6710947594</v>
      </c>
      <c r="G735" s="150">
        <v>45962</v>
      </c>
    </row>
    <row r="736" spans="1:7">
      <c r="A736" t="s">
        <v>203</v>
      </c>
      <c r="B736" t="s">
        <v>95</v>
      </c>
      <c r="C736" s="2">
        <v>745.67482703999997</v>
      </c>
      <c r="D736" t="s">
        <v>15</v>
      </c>
      <c r="E736" t="str">
        <f>+INDEX(Check!$B$5:$B$33,MATCH(Compilado[[#This Row],[Items]],Check!$C$5:$C$33,0))</f>
        <v>FITOSANITARIOS</v>
      </c>
      <c r="F736" s="69">
        <f>+IFERROR(INDEX(Tabla2[TC],MATCH(Compilado[[#This Row],[Mes]],Tabla2[Mes],0))*Compilado[[#This Row],[USD]],0)</f>
        <v>900996.31483808893</v>
      </c>
      <c r="G736" s="150">
        <v>45992</v>
      </c>
    </row>
    <row r="737" spans="1:7">
      <c r="A737" t="s">
        <v>203</v>
      </c>
      <c r="B737" t="s">
        <v>97</v>
      </c>
      <c r="C737" s="2">
        <v>1342.214688672</v>
      </c>
      <c r="D737" t="s">
        <v>15</v>
      </c>
      <c r="E737" t="str">
        <f>+INDEX(Check!$B$5:$B$33,MATCH(Compilado[[#This Row],[Items]],Check!$C$5:$C$33,0))</f>
        <v>FITOSANITARIOS</v>
      </c>
      <c r="F737" s="69">
        <f>+IFERROR(INDEX(Tabla2[TC],MATCH(Compilado[[#This Row],[Mes]],Tabla2[Mes],0))*Compilado[[#This Row],[USD]],0)</f>
        <v>1654391.4133794021</v>
      </c>
      <c r="G737" s="150">
        <v>46054</v>
      </c>
    </row>
    <row r="738" spans="1:7">
      <c r="A738" t="s">
        <v>204</v>
      </c>
      <c r="B738" t="s">
        <v>93</v>
      </c>
      <c r="C738" s="2">
        <v>78.764452979919682</v>
      </c>
      <c r="D738" t="s">
        <v>15</v>
      </c>
      <c r="E738" t="str">
        <f>+INDEX(Check!$B$5:$B$33,MATCH(Compilado[[#This Row],[Items]],Check!$C$5:$C$33,0))</f>
        <v>FITOSANITARIOS</v>
      </c>
      <c r="F738" s="69">
        <f>+IFERROR(INDEX(Tabla2[TC],MATCH(Compilado[[#This Row],[Mes]],Tabla2[Mes],0))*Compilado[[#This Row],[USD]],0)</f>
        <v>93295.575094935091</v>
      </c>
      <c r="G738" s="150">
        <v>45931</v>
      </c>
    </row>
    <row r="739" spans="1:7">
      <c r="A739" t="s">
        <v>204</v>
      </c>
      <c r="B739" t="s">
        <v>94</v>
      </c>
      <c r="C739" s="2">
        <v>94.517343575903595</v>
      </c>
      <c r="D739" t="s">
        <v>15</v>
      </c>
      <c r="E739" t="str">
        <f>+INDEX(Check!$B$5:$B$33,MATCH(Compilado[[#This Row],[Items]],Check!$C$5:$C$33,0))</f>
        <v>FITOSANITARIOS</v>
      </c>
      <c r="F739" s="69">
        <f>+IFERROR(INDEX(Tabla2[TC],MATCH(Compilado[[#This Row],[Mes]],Tabla2[Mes],0))*Compilado[[#This Row],[USD]],0)</f>
        <v>113074.23701506131</v>
      </c>
      <c r="G739" s="150">
        <v>45962</v>
      </c>
    </row>
    <row r="740" spans="1:7">
      <c r="A740" t="s">
        <v>204</v>
      </c>
      <c r="B740" t="s">
        <v>95</v>
      </c>
      <c r="C740" s="2">
        <v>78.764452979919682</v>
      </c>
      <c r="D740" t="s">
        <v>15</v>
      </c>
      <c r="E740" t="str">
        <f>+INDEX(Check!$B$5:$B$33,MATCH(Compilado[[#This Row],[Items]],Check!$C$5:$C$33,0))</f>
        <v>FITOSANITARIOS</v>
      </c>
      <c r="F740" s="69">
        <f>+IFERROR(INDEX(Tabla2[TC],MATCH(Compilado[[#This Row],[Mes]],Tabla2[Mes],0))*Compilado[[#This Row],[USD]],0)</f>
        <v>95170.816154343294</v>
      </c>
      <c r="G740" s="150">
        <v>45992</v>
      </c>
    </row>
    <row r="741" spans="1:7">
      <c r="A741" t="s">
        <v>204</v>
      </c>
      <c r="B741" t="s">
        <v>97</v>
      </c>
      <c r="C741" s="2">
        <v>141.77601536385541</v>
      </c>
      <c r="D741" t="s">
        <v>15</v>
      </c>
      <c r="E741" t="str">
        <f>+INDEX(Check!$B$5:$B$33,MATCH(Compilado[[#This Row],[Items]],Check!$C$5:$C$33,0))</f>
        <v>FITOSANITARIOS</v>
      </c>
      <c r="F741" s="69">
        <f>+IFERROR(INDEX(Tabla2[TC],MATCH(Compilado[[#This Row],[Mes]],Tabla2[Mes],0))*Compilado[[#This Row],[USD]],0)</f>
        <v>174750.74920628202</v>
      </c>
      <c r="G741" s="150">
        <v>46054</v>
      </c>
    </row>
    <row r="742" spans="1:7">
      <c r="A742" t="s">
        <v>204</v>
      </c>
      <c r="B742" t="s">
        <v>93</v>
      </c>
      <c r="C742" s="2">
        <v>0</v>
      </c>
      <c r="D742" t="s">
        <v>15</v>
      </c>
      <c r="E742" t="str">
        <f>+INDEX(Check!$B$5:$B$33,MATCH(Compilado[[#This Row],[Items]],Check!$C$5:$C$33,0))</f>
        <v>FITOSANITARIOS</v>
      </c>
      <c r="F742" s="69">
        <f>+IFERROR(INDEX(Tabla2[TC],MATCH(Compilado[[#This Row],[Mes]],Tabla2[Mes],0))*Compilado[[#This Row],[USD]],0)</f>
        <v>0</v>
      </c>
      <c r="G742" s="150">
        <v>45931</v>
      </c>
    </row>
    <row r="743" spans="1:7">
      <c r="A743" t="s">
        <v>204</v>
      </c>
      <c r="B743" t="s">
        <v>94</v>
      </c>
      <c r="C743" s="2">
        <v>0</v>
      </c>
      <c r="D743" t="s">
        <v>15</v>
      </c>
      <c r="E743" t="str">
        <f>+INDEX(Check!$B$5:$B$33,MATCH(Compilado[[#This Row],[Items]],Check!$C$5:$C$33,0))</f>
        <v>FITOSANITARIOS</v>
      </c>
      <c r="F743" s="69">
        <f>+IFERROR(INDEX(Tabla2[TC],MATCH(Compilado[[#This Row],[Mes]],Tabla2[Mes],0))*Compilado[[#This Row],[USD]],0)</f>
        <v>0</v>
      </c>
      <c r="G743" s="150">
        <v>45962</v>
      </c>
    </row>
    <row r="744" spans="1:7">
      <c r="A744" t="s">
        <v>204</v>
      </c>
      <c r="B744" t="s">
        <v>95</v>
      </c>
      <c r="C744" s="2">
        <v>0</v>
      </c>
      <c r="D744" t="s">
        <v>15</v>
      </c>
      <c r="E744" t="str">
        <f>+INDEX(Check!$B$5:$B$33,MATCH(Compilado[[#This Row],[Items]],Check!$C$5:$C$33,0))</f>
        <v>FITOSANITARIOS</v>
      </c>
      <c r="F744" s="69">
        <f>+IFERROR(INDEX(Tabla2[TC],MATCH(Compilado[[#This Row],[Mes]],Tabla2[Mes],0))*Compilado[[#This Row],[USD]],0)</f>
        <v>0</v>
      </c>
      <c r="G744" s="150">
        <v>45992</v>
      </c>
    </row>
    <row r="745" spans="1:7">
      <c r="A745" t="s">
        <v>204</v>
      </c>
      <c r="B745" t="s">
        <v>97</v>
      </c>
      <c r="C745" s="2">
        <v>0</v>
      </c>
      <c r="D745" t="s">
        <v>15</v>
      </c>
      <c r="E745" t="str">
        <f>+INDEX(Check!$B$5:$B$33,MATCH(Compilado[[#This Row],[Items]],Check!$C$5:$C$33,0))</f>
        <v>FITOSANITARIOS</v>
      </c>
      <c r="F745" s="69">
        <f>+IFERROR(INDEX(Tabla2[TC],MATCH(Compilado[[#This Row],[Mes]],Tabla2[Mes],0))*Compilado[[#This Row],[USD]],0)</f>
        <v>0</v>
      </c>
      <c r="G745" s="150">
        <v>46054</v>
      </c>
    </row>
    <row r="746" spans="1:7">
      <c r="A746" t="s">
        <v>204</v>
      </c>
      <c r="B746" t="s">
        <v>93</v>
      </c>
      <c r="C746" s="2">
        <v>0</v>
      </c>
      <c r="D746" t="s">
        <v>15</v>
      </c>
      <c r="E746" t="str">
        <f>+INDEX(Check!$B$5:$B$33,MATCH(Compilado[[#This Row],[Items]],Check!$C$5:$C$33,0))</f>
        <v>FITOSANITARIOS</v>
      </c>
      <c r="F746" s="69">
        <f>+IFERROR(INDEX(Tabla2[TC],MATCH(Compilado[[#This Row],[Mes]],Tabla2[Mes],0))*Compilado[[#This Row],[USD]],0)</f>
        <v>0</v>
      </c>
      <c r="G746" s="150">
        <v>45931</v>
      </c>
    </row>
    <row r="747" spans="1:7">
      <c r="A747" t="s">
        <v>204</v>
      </c>
      <c r="B747" t="s">
        <v>94</v>
      </c>
      <c r="C747" s="2">
        <v>0</v>
      </c>
      <c r="D747" t="s">
        <v>15</v>
      </c>
      <c r="E747" t="str">
        <f>+INDEX(Check!$B$5:$B$33,MATCH(Compilado[[#This Row],[Items]],Check!$C$5:$C$33,0))</f>
        <v>FITOSANITARIOS</v>
      </c>
      <c r="F747" s="69">
        <f>+IFERROR(INDEX(Tabla2[TC],MATCH(Compilado[[#This Row],[Mes]],Tabla2[Mes],0))*Compilado[[#This Row],[USD]],0)</f>
        <v>0</v>
      </c>
      <c r="G747" s="150">
        <v>45962</v>
      </c>
    </row>
    <row r="748" spans="1:7">
      <c r="A748" t="s">
        <v>204</v>
      </c>
      <c r="B748" t="s">
        <v>95</v>
      </c>
      <c r="C748" s="2">
        <v>0</v>
      </c>
      <c r="D748" t="s">
        <v>15</v>
      </c>
      <c r="E748" t="str">
        <f>+INDEX(Check!$B$5:$B$33,MATCH(Compilado[[#This Row],[Items]],Check!$C$5:$C$33,0))</f>
        <v>FITOSANITARIOS</v>
      </c>
      <c r="F748" s="69">
        <f>+IFERROR(INDEX(Tabla2[TC],MATCH(Compilado[[#This Row],[Mes]],Tabla2[Mes],0))*Compilado[[#This Row],[USD]],0)</f>
        <v>0</v>
      </c>
      <c r="G748" s="150">
        <v>45992</v>
      </c>
    </row>
    <row r="749" spans="1:7">
      <c r="A749" t="s">
        <v>204</v>
      </c>
      <c r="B749" t="s">
        <v>97</v>
      </c>
      <c r="C749" s="2">
        <v>0</v>
      </c>
      <c r="D749" t="s">
        <v>15</v>
      </c>
      <c r="E749" t="str">
        <f>+INDEX(Check!$B$5:$B$33,MATCH(Compilado[[#This Row],[Items]],Check!$C$5:$C$33,0))</f>
        <v>FITOSANITARIOS</v>
      </c>
      <c r="F749" s="69">
        <f>+IFERROR(INDEX(Tabla2[TC],MATCH(Compilado[[#This Row],[Mes]],Tabla2[Mes],0))*Compilado[[#This Row],[USD]],0)</f>
        <v>0</v>
      </c>
      <c r="G749" s="150">
        <v>46054</v>
      </c>
    </row>
    <row r="750" spans="1:7">
      <c r="A750" t="s">
        <v>204</v>
      </c>
      <c r="B750" t="s">
        <v>93</v>
      </c>
      <c r="C750" s="2">
        <v>542.26509943349674</v>
      </c>
      <c r="D750" t="s">
        <v>15</v>
      </c>
      <c r="E750" t="str">
        <f>+INDEX(Check!$B$5:$B$33,MATCH(Compilado[[#This Row],[Items]],Check!$C$5:$C$33,0))</f>
        <v>FITOSANITARIOS</v>
      </c>
      <c r="F750" s="69">
        <f>+IFERROR(INDEX(Tabla2[TC],MATCH(Compilado[[#This Row],[Mes]],Tabla2[Mes],0))*Compilado[[#This Row],[USD]],0)</f>
        <v>642306.68012711219</v>
      </c>
      <c r="G750" s="150">
        <v>45931</v>
      </c>
    </row>
    <row r="751" spans="1:7">
      <c r="A751" t="s">
        <v>204</v>
      </c>
      <c r="B751" t="s">
        <v>94</v>
      </c>
      <c r="C751" s="2">
        <v>650.71811932019602</v>
      </c>
      <c r="D751" t="s">
        <v>15</v>
      </c>
      <c r="E751" t="str">
        <f>+INDEX(Check!$B$5:$B$33,MATCH(Compilado[[#This Row],[Items]],Check!$C$5:$C$33,0))</f>
        <v>FITOSANITARIOS</v>
      </c>
      <c r="F751" s="69">
        <f>+IFERROR(INDEX(Tabla2[TC],MATCH(Compilado[[#This Row],[Mes]],Tabla2[Mes],0))*Compilado[[#This Row],[USD]],0)</f>
        <v>778475.6963140599</v>
      </c>
      <c r="G751" s="150">
        <v>45962</v>
      </c>
    </row>
    <row r="752" spans="1:7">
      <c r="A752" t="s">
        <v>204</v>
      </c>
      <c r="B752" t="s">
        <v>95</v>
      </c>
      <c r="C752" s="2">
        <v>542.26509943349674</v>
      </c>
      <c r="D752" t="s">
        <v>15</v>
      </c>
      <c r="E752" t="str">
        <f>+INDEX(Check!$B$5:$B$33,MATCH(Compilado[[#This Row],[Items]],Check!$C$5:$C$33,0))</f>
        <v>FITOSANITARIOS</v>
      </c>
      <c r="F752" s="69">
        <f>+IFERROR(INDEX(Tabla2[TC],MATCH(Compilado[[#This Row],[Mes]],Tabla2[Mes],0))*Compilado[[#This Row],[USD]],0)</f>
        <v>655217.04439766717</v>
      </c>
      <c r="G752" s="150">
        <v>45992</v>
      </c>
    </row>
    <row r="753" spans="1:7">
      <c r="A753" t="s">
        <v>204</v>
      </c>
      <c r="B753" t="s">
        <v>97</v>
      </c>
      <c r="C753" s="2">
        <v>976.07717898029409</v>
      </c>
      <c r="D753" t="s">
        <v>15</v>
      </c>
      <c r="E753" t="str">
        <f>+INDEX(Check!$B$5:$B$33,MATCH(Compilado[[#This Row],[Items]],Check!$C$5:$C$33,0))</f>
        <v>FITOSANITARIOS</v>
      </c>
      <c r="F753" s="69">
        <f>+IFERROR(INDEX(Tabla2[TC],MATCH(Compilado[[#This Row],[Mes]],Tabla2[Mes],0))*Compilado[[#This Row],[USD]],0)</f>
        <v>1203096.4325821083</v>
      </c>
      <c r="G753" s="150">
        <v>46054</v>
      </c>
    </row>
    <row r="754" spans="1:7">
      <c r="A754" t="s">
        <v>205</v>
      </c>
      <c r="B754" t="s">
        <v>93</v>
      </c>
      <c r="C754" s="2">
        <v>7.8222343180800014</v>
      </c>
      <c r="D754" t="s">
        <v>15</v>
      </c>
      <c r="E754" t="str">
        <f>+INDEX(Check!$B$5:$B$33,MATCH(Compilado[[#This Row],[Items]],Check!$C$5:$C$33,0))</f>
        <v>FITOSANITARIOS</v>
      </c>
      <c r="F754" s="69">
        <f>+IFERROR(INDEX(Tabla2[TC],MATCH(Compilado[[#This Row],[Mes]],Tabla2[Mes],0))*Compilado[[#This Row],[USD]],0)</f>
        <v>9265.3452366216807</v>
      </c>
      <c r="G754" s="150">
        <v>45931</v>
      </c>
    </row>
    <row r="755" spans="1:7">
      <c r="A755" t="s">
        <v>205</v>
      </c>
      <c r="B755" t="s">
        <v>94</v>
      </c>
      <c r="C755" s="2">
        <v>9.3866811816960016</v>
      </c>
      <c r="D755" t="s">
        <v>15</v>
      </c>
      <c r="E755" t="str">
        <f>+INDEX(Check!$B$5:$B$33,MATCH(Compilado[[#This Row],[Items]],Check!$C$5:$C$33,0))</f>
        <v>FITOSANITARIOS</v>
      </c>
      <c r="F755" s="69">
        <f>+IFERROR(INDEX(Tabla2[TC],MATCH(Compilado[[#This Row],[Mes]],Tabla2[Mes],0))*Compilado[[#This Row],[USD]],0)</f>
        <v>11229.598426785478</v>
      </c>
      <c r="G755" s="150">
        <v>45962</v>
      </c>
    </row>
    <row r="756" spans="1:7">
      <c r="A756" t="s">
        <v>205</v>
      </c>
      <c r="B756" t="s">
        <v>95</v>
      </c>
      <c r="C756" s="2">
        <v>7.8222343180800014</v>
      </c>
      <c r="D756" t="s">
        <v>15</v>
      </c>
      <c r="E756" t="str">
        <f>+INDEX(Check!$B$5:$B$33,MATCH(Compilado[[#This Row],[Items]],Check!$C$5:$C$33,0))</f>
        <v>FITOSANITARIOS</v>
      </c>
      <c r="F756" s="69">
        <f>+IFERROR(INDEX(Tabla2[TC],MATCH(Compilado[[#This Row],[Mes]],Tabla2[Mes],0))*Compilado[[#This Row],[USD]],0)</f>
        <v>9451.5786758777758</v>
      </c>
      <c r="G756" s="150">
        <v>45992</v>
      </c>
    </row>
    <row r="757" spans="1:7">
      <c r="A757" t="s">
        <v>205</v>
      </c>
      <c r="B757" t="s">
        <v>97</v>
      </c>
      <c r="C757" s="2">
        <v>14.080021772544001</v>
      </c>
      <c r="D757" t="s">
        <v>15</v>
      </c>
      <c r="E757" t="str">
        <f>+INDEX(Check!$B$5:$B$33,MATCH(Compilado[[#This Row],[Items]],Check!$C$5:$C$33,0))</f>
        <v>FITOSANITARIOS</v>
      </c>
      <c r="F757" s="69">
        <f>+IFERROR(INDEX(Tabla2[TC],MATCH(Compilado[[#This Row],[Mes]],Tabla2[Mes],0))*Compilado[[#This Row],[USD]],0)</f>
        <v>17354.799733073254</v>
      </c>
      <c r="G757" s="150">
        <v>46054</v>
      </c>
    </row>
    <row r="758" spans="1:7">
      <c r="A758" t="s">
        <v>205</v>
      </c>
      <c r="B758" t="s">
        <v>93</v>
      </c>
      <c r="C758" s="2">
        <v>393.66991839999997</v>
      </c>
      <c r="D758" t="s">
        <v>15</v>
      </c>
      <c r="E758" t="str">
        <f>+INDEX(Check!$B$5:$B$33,MATCH(Compilado[[#This Row],[Items]],Check!$C$5:$C$33,0))</f>
        <v>FITOSANITARIOS</v>
      </c>
      <c r="F758" s="69">
        <f>+IFERROR(INDEX(Tabla2[TC],MATCH(Compilado[[#This Row],[Mes]],Tabla2[Mes],0))*Compilado[[#This Row],[USD]],0)</f>
        <v>466297.4228243237</v>
      </c>
      <c r="G758" s="150">
        <v>45931</v>
      </c>
    </row>
    <row r="759" spans="1:7">
      <c r="A759" t="s">
        <v>205</v>
      </c>
      <c r="B759" t="s">
        <v>94</v>
      </c>
      <c r="C759" s="2">
        <v>472.40390208000002</v>
      </c>
      <c r="D759" t="s">
        <v>15</v>
      </c>
      <c r="E759" t="str">
        <f>+INDEX(Check!$B$5:$B$33,MATCH(Compilado[[#This Row],[Items]],Check!$C$5:$C$33,0))</f>
        <v>FITOSANITARIOS</v>
      </c>
      <c r="F759" s="69">
        <f>+IFERROR(INDEX(Tabla2[TC],MATCH(Compilado[[#This Row],[Mes]],Tabla2[Mes],0))*Compilado[[#This Row],[USD]],0)</f>
        <v>565152.47646308038</v>
      </c>
      <c r="G759" s="150">
        <v>45962</v>
      </c>
    </row>
    <row r="760" spans="1:7">
      <c r="A760" t="s">
        <v>205</v>
      </c>
      <c r="B760" t="s">
        <v>95</v>
      </c>
      <c r="C760" s="2">
        <v>393.66991839999997</v>
      </c>
      <c r="D760" t="s">
        <v>15</v>
      </c>
      <c r="E760" t="str">
        <f>+INDEX(Check!$B$5:$B$33,MATCH(Compilado[[#This Row],[Items]],Check!$C$5:$C$33,0))</f>
        <v>FITOSANITARIOS</v>
      </c>
      <c r="F760" s="69">
        <f>+IFERROR(INDEX(Tabla2[TC],MATCH(Compilado[[#This Row],[Mes]],Tabla2[Mes],0))*Compilado[[#This Row],[USD]],0)</f>
        <v>475670.0010230926</v>
      </c>
      <c r="G760" s="150">
        <v>45992</v>
      </c>
    </row>
    <row r="761" spans="1:7">
      <c r="A761" t="s">
        <v>205</v>
      </c>
      <c r="B761" t="s">
        <v>97</v>
      </c>
      <c r="C761" s="2">
        <v>708.60585312000001</v>
      </c>
      <c r="D761" t="s">
        <v>15</v>
      </c>
      <c r="E761" t="str">
        <f>+INDEX(Check!$B$5:$B$33,MATCH(Compilado[[#This Row],[Items]],Check!$C$5:$C$33,0))</f>
        <v>FITOSANITARIOS</v>
      </c>
      <c r="F761" s="69">
        <f>+IFERROR(INDEX(Tabla2[TC],MATCH(Compilado[[#This Row],[Mes]],Tabla2[Mes],0))*Compilado[[#This Row],[USD]],0)</f>
        <v>873415.74247858219</v>
      </c>
      <c r="G761" s="150">
        <v>46054</v>
      </c>
    </row>
    <row r="762" spans="1:7">
      <c r="A762" t="s">
        <v>206</v>
      </c>
      <c r="B762" t="s">
        <v>93</v>
      </c>
      <c r="C762" s="2">
        <v>0</v>
      </c>
      <c r="D762" t="s">
        <v>15</v>
      </c>
      <c r="E762" t="str">
        <f>+INDEX(Check!$B$5:$B$33,MATCH(Compilado[[#This Row],[Items]],Check!$C$5:$C$33,0))</f>
        <v>FITOSANITARIOS</v>
      </c>
      <c r="F762" s="69">
        <f>+IFERROR(INDEX(Tabla2[TC],MATCH(Compilado[[#This Row],[Mes]],Tabla2[Mes],0))*Compilado[[#This Row],[USD]],0)</f>
        <v>0</v>
      </c>
      <c r="G762" s="150">
        <v>45931</v>
      </c>
    </row>
    <row r="763" spans="1:7">
      <c r="A763" t="s">
        <v>206</v>
      </c>
      <c r="B763" t="s">
        <v>94</v>
      </c>
      <c r="C763" s="2">
        <v>0</v>
      </c>
      <c r="D763" t="s">
        <v>15</v>
      </c>
      <c r="E763" t="str">
        <f>+INDEX(Check!$B$5:$B$33,MATCH(Compilado[[#This Row],[Items]],Check!$C$5:$C$33,0))</f>
        <v>FITOSANITARIOS</v>
      </c>
      <c r="F763" s="69">
        <f>+IFERROR(INDEX(Tabla2[TC],MATCH(Compilado[[#This Row],[Mes]],Tabla2[Mes],0))*Compilado[[#This Row],[USD]],0)</f>
        <v>0</v>
      </c>
      <c r="G763" s="150">
        <v>45962</v>
      </c>
    </row>
    <row r="764" spans="1:7">
      <c r="A764" t="s">
        <v>206</v>
      </c>
      <c r="B764" t="s">
        <v>95</v>
      </c>
      <c r="C764" s="2">
        <v>0</v>
      </c>
      <c r="D764" t="s">
        <v>15</v>
      </c>
      <c r="E764" t="str">
        <f>+INDEX(Check!$B$5:$B$33,MATCH(Compilado[[#This Row],[Items]],Check!$C$5:$C$33,0))</f>
        <v>FITOSANITARIOS</v>
      </c>
      <c r="F764" s="69">
        <f>+IFERROR(INDEX(Tabla2[TC],MATCH(Compilado[[#This Row],[Mes]],Tabla2[Mes],0))*Compilado[[#This Row],[USD]],0)</f>
        <v>0</v>
      </c>
      <c r="G764" s="150">
        <v>45992</v>
      </c>
    </row>
    <row r="765" spans="1:7">
      <c r="A765" t="s">
        <v>206</v>
      </c>
      <c r="B765" t="s">
        <v>97</v>
      </c>
      <c r="C765" s="2">
        <v>0</v>
      </c>
      <c r="D765" t="s">
        <v>15</v>
      </c>
      <c r="E765" t="str">
        <f>+INDEX(Check!$B$5:$B$33,MATCH(Compilado[[#This Row],[Items]],Check!$C$5:$C$33,0))</f>
        <v>FITOSANITARIOS</v>
      </c>
      <c r="F765" s="69">
        <f>+IFERROR(INDEX(Tabla2[TC],MATCH(Compilado[[#This Row],[Mes]],Tabla2[Mes],0))*Compilado[[#This Row],[USD]],0)</f>
        <v>0</v>
      </c>
      <c r="G765" s="150">
        <v>46054</v>
      </c>
    </row>
    <row r="766" spans="1:7">
      <c r="A766" t="s">
        <v>206</v>
      </c>
      <c r="B766" t="s">
        <v>93</v>
      </c>
      <c r="C766" s="2">
        <v>175.98968820000002</v>
      </c>
      <c r="D766" t="s">
        <v>15</v>
      </c>
      <c r="E766" t="str">
        <f>+INDEX(Check!$B$5:$B$33,MATCH(Compilado[[#This Row],[Items]],Check!$C$5:$C$33,0))</f>
        <v>FITOSANITARIOS</v>
      </c>
      <c r="F766" s="69">
        <f>+IFERROR(INDEX(Tabla2[TC],MATCH(Compilado[[#This Row],[Mes]],Tabla2[Mes],0))*Compilado[[#This Row],[USD]],0)</f>
        <v>208457.73125071044</v>
      </c>
      <c r="G766" s="150">
        <v>45931</v>
      </c>
    </row>
    <row r="767" spans="1:7">
      <c r="A767" t="s">
        <v>206</v>
      </c>
      <c r="B767" t="s">
        <v>94</v>
      </c>
      <c r="C767" s="2">
        <v>211.18762584000001</v>
      </c>
      <c r="D767" t="s">
        <v>15</v>
      </c>
      <c r="E767" t="str">
        <f>+INDEX(Check!$B$5:$B$33,MATCH(Compilado[[#This Row],[Items]],Check!$C$5:$C$33,0))</f>
        <v>FITOSANITARIOS</v>
      </c>
      <c r="F767" s="69">
        <f>+IFERROR(INDEX(Tabla2[TC],MATCH(Compilado[[#This Row],[Mes]],Tabla2[Mes],0))*Compilado[[#This Row],[USD]],0)</f>
        <v>252650.77027586102</v>
      </c>
      <c r="G767" s="150">
        <v>45962</v>
      </c>
    </row>
    <row r="768" spans="1:7">
      <c r="A768" t="s">
        <v>206</v>
      </c>
      <c r="B768" t="s">
        <v>95</v>
      </c>
      <c r="C768" s="2">
        <v>175.98968820000002</v>
      </c>
      <c r="D768" t="s">
        <v>15</v>
      </c>
      <c r="E768" t="str">
        <f>+INDEX(Check!$B$5:$B$33,MATCH(Compilado[[#This Row],[Items]],Check!$C$5:$C$33,0))</f>
        <v>FITOSANITARIOS</v>
      </c>
      <c r="F768" s="69">
        <f>+IFERROR(INDEX(Tabla2[TC],MATCH(Compilado[[#This Row],[Mes]],Tabla2[Mes],0))*Compilado[[#This Row],[USD]],0)</f>
        <v>212647.7316488497</v>
      </c>
      <c r="G768" s="150">
        <v>45992</v>
      </c>
    </row>
    <row r="769" spans="1:7">
      <c r="A769" t="s">
        <v>206</v>
      </c>
      <c r="B769" t="s">
        <v>97</v>
      </c>
      <c r="C769" s="2">
        <v>316.78143876000001</v>
      </c>
      <c r="D769" t="s">
        <v>15</v>
      </c>
      <c r="E769" t="str">
        <f>+INDEX(Check!$B$5:$B$33,MATCH(Compilado[[#This Row],[Items]],Check!$C$5:$C$33,0))</f>
        <v>FITOSANITARIOS</v>
      </c>
      <c r="F769" s="69">
        <f>+IFERROR(INDEX(Tabla2[TC],MATCH(Compilado[[#This Row],[Mes]],Tabla2[Mes],0))*Compilado[[#This Row],[USD]],0)</f>
        <v>390459.51189898478</v>
      </c>
      <c r="G769" s="150">
        <v>46054</v>
      </c>
    </row>
    <row r="770" spans="1:7">
      <c r="A770" t="s">
        <v>206</v>
      </c>
      <c r="B770" t="s">
        <v>93</v>
      </c>
      <c r="C770" s="2">
        <v>219.40047795600003</v>
      </c>
      <c r="D770" t="s">
        <v>15</v>
      </c>
      <c r="E770" t="str">
        <f>+INDEX(Check!$B$5:$B$33,MATCH(Compilado[[#This Row],[Items]],Check!$C$5:$C$33,0))</f>
        <v>FITOSANITARIOS</v>
      </c>
      <c r="F770" s="69">
        <f>+IFERROR(INDEX(Tabla2[TC],MATCH(Compilado[[#This Row],[Mes]],Tabla2[Mes],0))*Compilado[[#This Row],[USD]],0)</f>
        <v>259877.30495921901</v>
      </c>
      <c r="G770" s="150">
        <v>45931</v>
      </c>
    </row>
    <row r="771" spans="1:7">
      <c r="A771" t="s">
        <v>206</v>
      </c>
      <c r="B771" t="s">
        <v>94</v>
      </c>
      <c r="C771" s="2">
        <v>263.28057354720005</v>
      </c>
      <c r="D771" t="s">
        <v>15</v>
      </c>
      <c r="E771" t="str">
        <f>+INDEX(Check!$B$5:$B$33,MATCH(Compilado[[#This Row],[Items]],Check!$C$5:$C$33,0))</f>
        <v>FITOSANITARIOS</v>
      </c>
      <c r="F771" s="69">
        <f>+IFERROR(INDEX(Tabla2[TC],MATCH(Compilado[[#This Row],[Mes]],Tabla2[Mes],0))*Compilado[[#This Row],[USD]],0)</f>
        <v>314971.29361057346</v>
      </c>
      <c r="G771" s="150">
        <v>45962</v>
      </c>
    </row>
    <row r="772" spans="1:7">
      <c r="A772" t="s">
        <v>206</v>
      </c>
      <c r="B772" t="s">
        <v>95</v>
      </c>
      <c r="C772" s="2">
        <v>219.40047795600003</v>
      </c>
      <c r="D772" t="s">
        <v>15</v>
      </c>
      <c r="E772" t="str">
        <f>+INDEX(Check!$B$5:$B$33,MATCH(Compilado[[#This Row],[Items]],Check!$C$5:$C$33,0))</f>
        <v>FITOSANITARIOS</v>
      </c>
      <c r="F772" s="69">
        <f>+IFERROR(INDEX(Tabla2[TC],MATCH(Compilado[[#This Row],[Mes]],Tabla2[Mes],0))*Compilado[[#This Row],[USD]],0)</f>
        <v>265100.8387888993</v>
      </c>
      <c r="G772" s="150">
        <v>45992</v>
      </c>
    </row>
    <row r="773" spans="1:7">
      <c r="A773" t="s">
        <v>206</v>
      </c>
      <c r="B773" t="s">
        <v>97</v>
      </c>
      <c r="C773" s="2">
        <v>394.9208603208001</v>
      </c>
      <c r="D773" t="s">
        <v>15</v>
      </c>
      <c r="E773" t="str">
        <f>+INDEX(Check!$B$5:$B$33,MATCH(Compilado[[#This Row],[Items]],Check!$C$5:$C$33,0))</f>
        <v>FITOSANITARIOS</v>
      </c>
      <c r="F773" s="69">
        <f>+IFERROR(INDEX(Tabla2[TC],MATCH(Compilado[[#This Row],[Mes]],Tabla2[Mes],0))*Compilado[[#This Row],[USD]],0)</f>
        <v>486772.85816740117</v>
      </c>
      <c r="G773" s="150">
        <v>46054</v>
      </c>
    </row>
    <row r="774" spans="1:7">
      <c r="A774" t="s">
        <v>206</v>
      </c>
      <c r="B774" t="s">
        <v>93</v>
      </c>
      <c r="C774" s="2">
        <v>231.3735706528</v>
      </c>
      <c r="D774" t="s">
        <v>15</v>
      </c>
      <c r="E774" t="str">
        <f>+INDEX(Check!$B$5:$B$33,MATCH(Compilado[[#This Row],[Items]],Check!$C$5:$C$33,0))</f>
        <v>FITOSANITARIOS</v>
      </c>
      <c r="F774" s="69">
        <f>+IFERROR(INDEX(Tabla2[TC],MATCH(Compilado[[#This Row],[Mes]],Tabla2[Mes],0))*Compilado[[#This Row],[USD]],0)</f>
        <v>274059.29349023435</v>
      </c>
      <c r="G774" s="150">
        <v>45931</v>
      </c>
    </row>
    <row r="775" spans="1:7">
      <c r="A775" t="s">
        <v>206</v>
      </c>
      <c r="B775" t="s">
        <v>94</v>
      </c>
      <c r="C775" s="2">
        <v>277.64828478335994</v>
      </c>
      <c r="D775" t="s">
        <v>15</v>
      </c>
      <c r="E775" t="str">
        <f>+INDEX(Check!$B$5:$B$33,MATCH(Compilado[[#This Row],[Items]],Check!$C$5:$C$33,0))</f>
        <v>FITOSANITARIOS</v>
      </c>
      <c r="F775" s="69">
        <f>+IFERROR(INDEX(Tabla2[TC],MATCH(Compilado[[#This Row],[Mes]],Tabla2[Mes],0))*Compilado[[#This Row],[USD]],0)</f>
        <v>332159.86371016398</v>
      </c>
      <c r="G775" s="150">
        <v>45962</v>
      </c>
    </row>
    <row r="776" spans="1:7">
      <c r="A776" t="s">
        <v>206</v>
      </c>
      <c r="B776" t="s">
        <v>95</v>
      </c>
      <c r="C776" s="2">
        <v>231.3735706528</v>
      </c>
      <c r="D776" t="s">
        <v>15</v>
      </c>
      <c r="E776" t="str">
        <f>+INDEX(Check!$B$5:$B$33,MATCH(Compilado[[#This Row],[Items]],Check!$C$5:$C$33,0))</f>
        <v>FITOSANITARIOS</v>
      </c>
      <c r="F776" s="69">
        <f>+IFERROR(INDEX(Tabla2[TC],MATCH(Compilado[[#This Row],[Mes]],Tabla2[Mes],0))*Compilado[[#This Row],[USD]],0)</f>
        <v>279567.88528938807</v>
      </c>
      <c r="G776" s="150">
        <v>45992</v>
      </c>
    </row>
    <row r="777" spans="1:7">
      <c r="A777" t="s">
        <v>206</v>
      </c>
      <c r="B777" t="s">
        <v>97</v>
      </c>
      <c r="C777" s="2">
        <v>416.47242717504002</v>
      </c>
      <c r="D777" t="s">
        <v>15</v>
      </c>
      <c r="E777" t="str">
        <f>+INDEX(Check!$B$5:$B$33,MATCH(Compilado[[#This Row],[Items]],Check!$C$5:$C$33,0))</f>
        <v>FITOSANITARIOS</v>
      </c>
      <c r="F777" s="69">
        <f>+IFERROR(INDEX(Tabla2[TC],MATCH(Compilado[[#This Row],[Mes]],Tabla2[Mes],0))*Compilado[[#This Row],[USD]],0)</f>
        <v>513336.95961066859</v>
      </c>
      <c r="G777" s="150">
        <v>46054</v>
      </c>
    </row>
    <row r="778" spans="1:7">
      <c r="A778" t="s">
        <v>206</v>
      </c>
      <c r="B778" t="s">
        <v>93</v>
      </c>
      <c r="C778" s="2">
        <v>82.261831004016074</v>
      </c>
      <c r="D778" t="s">
        <v>15</v>
      </c>
      <c r="E778" t="str">
        <f>+INDEX(Check!$B$5:$B$33,MATCH(Compilado[[#This Row],[Items]],Check!$C$5:$C$33,0))</f>
        <v>FITOSANITARIOS</v>
      </c>
      <c r="F778" s="69">
        <f>+IFERROR(INDEX(Tabla2[TC],MATCH(Compilado[[#This Row],[Mes]],Tabla2[Mes],0))*Compilado[[#This Row],[USD]],0)</f>
        <v>97438.178537704458</v>
      </c>
      <c r="G778" s="150">
        <v>45931</v>
      </c>
    </row>
    <row r="779" spans="1:7">
      <c r="A779" t="s">
        <v>206</v>
      </c>
      <c r="B779" t="s">
        <v>94</v>
      </c>
      <c r="C779" s="2">
        <v>98.714197204819286</v>
      </c>
      <c r="D779" t="s">
        <v>15</v>
      </c>
      <c r="E779" t="str">
        <f>+INDEX(Check!$B$5:$B$33,MATCH(Compilado[[#This Row],[Items]],Check!$C$5:$C$33,0))</f>
        <v>FITOSANITARIOS</v>
      </c>
      <c r="F779" s="69">
        <f>+IFERROR(INDEX(Tabla2[TC],MATCH(Compilado[[#This Row],[Mes]],Tabla2[Mes],0))*Compilado[[#This Row],[USD]],0)</f>
        <v>118095.0723876978</v>
      </c>
      <c r="G779" s="150">
        <v>45962</v>
      </c>
    </row>
    <row r="780" spans="1:7">
      <c r="A780" t="s">
        <v>206</v>
      </c>
      <c r="B780" t="s">
        <v>95</v>
      </c>
      <c r="C780" s="2">
        <v>82.261831004016074</v>
      </c>
      <c r="D780" t="s">
        <v>15</v>
      </c>
      <c r="E780" t="str">
        <f>+INDEX(Check!$B$5:$B$33,MATCH(Compilado[[#This Row],[Items]],Check!$C$5:$C$33,0))</f>
        <v>FITOSANITARIOS</v>
      </c>
      <c r="F780" s="69">
        <f>+IFERROR(INDEX(Tabla2[TC],MATCH(Compilado[[#This Row],[Mes]],Tabla2[Mes],0))*Compilado[[#This Row],[USD]],0)</f>
        <v>99396.685926312319</v>
      </c>
      <c r="G780" s="150">
        <v>45992</v>
      </c>
    </row>
    <row r="781" spans="1:7">
      <c r="A781" t="s">
        <v>206</v>
      </c>
      <c r="B781" t="s">
        <v>97</v>
      </c>
      <c r="C781" s="2">
        <v>148.07129580722892</v>
      </c>
      <c r="D781" t="s">
        <v>15</v>
      </c>
      <c r="E781" t="str">
        <f>+INDEX(Check!$B$5:$B$33,MATCH(Compilado[[#This Row],[Items]],Check!$C$5:$C$33,0))</f>
        <v>FITOSANITARIOS</v>
      </c>
      <c r="F781" s="69">
        <f>+IFERROR(INDEX(Tabla2[TC],MATCH(Compilado[[#This Row],[Mes]],Tabla2[Mes],0))*Compilado[[#This Row],[USD]],0)</f>
        <v>182510.20676417611</v>
      </c>
      <c r="G781" s="150">
        <v>46054</v>
      </c>
    </row>
    <row r="782" spans="1:7">
      <c r="A782" t="s">
        <v>206</v>
      </c>
      <c r="B782" t="s">
        <v>93</v>
      </c>
      <c r="C782" s="2">
        <v>0</v>
      </c>
      <c r="D782" t="s">
        <v>15</v>
      </c>
      <c r="E782" t="str">
        <f>+INDEX(Check!$B$5:$B$33,MATCH(Compilado[[#This Row],[Items]],Check!$C$5:$C$33,0))</f>
        <v>FITOSANITARIOS</v>
      </c>
      <c r="F782" s="69">
        <f>+IFERROR(INDEX(Tabla2[TC],MATCH(Compilado[[#This Row],[Mes]],Tabla2[Mes],0))*Compilado[[#This Row],[USD]],0)</f>
        <v>0</v>
      </c>
      <c r="G782" s="150">
        <v>45931</v>
      </c>
    </row>
    <row r="783" spans="1:7">
      <c r="A783" t="s">
        <v>206</v>
      </c>
      <c r="B783" t="s">
        <v>94</v>
      </c>
      <c r="C783" s="2">
        <v>0</v>
      </c>
      <c r="D783" t="s">
        <v>15</v>
      </c>
      <c r="E783" t="str">
        <f>+INDEX(Check!$B$5:$B$33,MATCH(Compilado[[#This Row],[Items]],Check!$C$5:$C$33,0))</f>
        <v>FITOSANITARIOS</v>
      </c>
      <c r="F783" s="69">
        <f>+IFERROR(INDEX(Tabla2[TC],MATCH(Compilado[[#This Row],[Mes]],Tabla2[Mes],0))*Compilado[[#This Row],[USD]],0)</f>
        <v>0</v>
      </c>
      <c r="G783" s="150">
        <v>45962</v>
      </c>
    </row>
    <row r="784" spans="1:7">
      <c r="A784" t="s">
        <v>206</v>
      </c>
      <c r="B784" t="s">
        <v>95</v>
      </c>
      <c r="C784" s="2">
        <v>0</v>
      </c>
      <c r="D784" t="s">
        <v>15</v>
      </c>
      <c r="E784" t="str">
        <f>+INDEX(Check!$B$5:$B$33,MATCH(Compilado[[#This Row],[Items]],Check!$C$5:$C$33,0))</f>
        <v>FITOSANITARIOS</v>
      </c>
      <c r="F784" s="69">
        <f>+IFERROR(INDEX(Tabla2[TC],MATCH(Compilado[[#This Row],[Mes]],Tabla2[Mes],0))*Compilado[[#This Row],[USD]],0)</f>
        <v>0</v>
      </c>
      <c r="G784" s="150">
        <v>45992</v>
      </c>
    </row>
    <row r="785" spans="1:7">
      <c r="A785" t="s">
        <v>206</v>
      </c>
      <c r="B785" t="s">
        <v>97</v>
      </c>
      <c r="C785" s="2">
        <v>0</v>
      </c>
      <c r="D785" t="s">
        <v>15</v>
      </c>
      <c r="E785" t="str">
        <f>+INDEX(Check!$B$5:$B$33,MATCH(Compilado[[#This Row],[Items]],Check!$C$5:$C$33,0))</f>
        <v>FITOSANITARIOS</v>
      </c>
      <c r="F785" s="69">
        <f>+IFERROR(INDEX(Tabla2[TC],MATCH(Compilado[[#This Row],[Mes]],Tabla2[Mes],0))*Compilado[[#This Row],[USD]],0)</f>
        <v>0</v>
      </c>
      <c r="G785" s="150">
        <v>46054</v>
      </c>
    </row>
    <row r="786" spans="1:7">
      <c r="A786" t="s">
        <v>340</v>
      </c>
      <c r="B786" t="s">
        <v>88</v>
      </c>
      <c r="C786" s="2">
        <v>21.1864406779661</v>
      </c>
      <c r="D786" t="s">
        <v>8</v>
      </c>
      <c r="E786" t="str">
        <f>+INDEX(Check!$B$5:$B$33,MATCH(Compilado[[#This Row],[Items]],Check!$C$5:$C$33,0))</f>
        <v>COMBUSTIBLE Y MANTENIMIENTO</v>
      </c>
      <c r="F786" s="69">
        <f>+IFERROR(INDEX(Tabla2[TC],MATCH(Compilado[[#This Row],[Mes]],Tabla2[Mes],0))*Compilado[[#This Row],[USD]],0)</f>
        <v>23877.118644067796</v>
      </c>
      <c r="G786" s="150">
        <v>45778</v>
      </c>
    </row>
    <row r="787" spans="1:7">
      <c r="A787" t="s">
        <v>340</v>
      </c>
      <c r="B787" t="s">
        <v>89</v>
      </c>
      <c r="C787" s="2">
        <v>21.1864406779661</v>
      </c>
      <c r="D787" t="s">
        <v>8</v>
      </c>
      <c r="E787" t="str">
        <f>+INDEX(Check!$B$5:$B$33,MATCH(Compilado[[#This Row],[Items]],Check!$C$5:$C$33,0))</f>
        <v>COMBUSTIBLE Y MANTENIMIENTO</v>
      </c>
      <c r="F787" s="69">
        <f>+IFERROR(INDEX(Tabla2[TC],MATCH(Compilado[[#This Row],[Mes]],Tabla2[Mes],0))*Compilado[[#This Row],[USD]],0)</f>
        <v>24115.889830508473</v>
      </c>
      <c r="G787" s="150">
        <v>45809</v>
      </c>
    </row>
    <row r="788" spans="1:7">
      <c r="A788" t="s">
        <v>340</v>
      </c>
      <c r="B788" t="s">
        <v>90</v>
      </c>
      <c r="C788" s="2">
        <v>21.1864406779661</v>
      </c>
      <c r="D788" t="s">
        <v>8</v>
      </c>
      <c r="E788" t="str">
        <f>+INDEX(Check!$B$5:$B$33,MATCH(Compilado[[#This Row],[Items]],Check!$C$5:$C$33,0))</f>
        <v>COMBUSTIBLE Y MANTENIMIENTO</v>
      </c>
      <c r="F788" s="69">
        <f>+IFERROR(INDEX(Tabla2[TC],MATCH(Compilado[[#This Row],[Mes]],Tabla2[Mes],0))*Compilado[[#This Row],[USD]],0)</f>
        <v>24357.048728813559</v>
      </c>
      <c r="G788" s="150">
        <v>45839</v>
      </c>
    </row>
    <row r="789" spans="1:7">
      <c r="A789" t="s">
        <v>340</v>
      </c>
      <c r="B789" t="s">
        <v>91</v>
      </c>
      <c r="C789" s="2">
        <v>21.1864406779661</v>
      </c>
      <c r="D789" t="s">
        <v>8</v>
      </c>
      <c r="E789" t="str">
        <f>+INDEX(Check!$B$5:$B$33,MATCH(Compilado[[#This Row],[Items]],Check!$C$5:$C$33,0))</f>
        <v>COMBUSTIBLE Y MANTENIMIENTO</v>
      </c>
      <c r="F789" s="69">
        <f>+IFERROR(INDEX(Tabla2[TC],MATCH(Compilado[[#This Row],[Mes]],Tabla2[Mes],0))*Compilado[[#This Row],[USD]],0)</f>
        <v>24600.619216101695</v>
      </c>
      <c r="G789" s="150">
        <v>45870</v>
      </c>
    </row>
    <row r="790" spans="1:7">
      <c r="A790" t="s">
        <v>340</v>
      </c>
      <c r="B790" t="s">
        <v>92</v>
      </c>
      <c r="C790" s="2">
        <v>21.1864406779661</v>
      </c>
      <c r="D790" t="s">
        <v>8</v>
      </c>
      <c r="E790" t="str">
        <f>+INDEX(Check!$B$5:$B$33,MATCH(Compilado[[#This Row],[Items]],Check!$C$5:$C$33,0))</f>
        <v>COMBUSTIBLE Y MANTENIMIENTO</v>
      </c>
      <c r="F790" s="69">
        <f>+IFERROR(INDEX(Tabla2[TC],MATCH(Compilado[[#This Row],[Mes]],Tabla2[Mes],0))*Compilado[[#This Row],[USD]],0)</f>
        <v>24846.625408262713</v>
      </c>
      <c r="G790" s="150">
        <v>45901</v>
      </c>
    </row>
    <row r="791" spans="1:7">
      <c r="A791" t="s">
        <v>340</v>
      </c>
      <c r="B791" t="s">
        <v>93</v>
      </c>
      <c r="C791" s="2">
        <v>21.1864406779661</v>
      </c>
      <c r="D791" t="s">
        <v>8</v>
      </c>
      <c r="E791" t="str">
        <f>+INDEX(Check!$B$5:$B$33,MATCH(Compilado[[#This Row],[Items]],Check!$C$5:$C$33,0))</f>
        <v>COMBUSTIBLE Y MANTENIMIENTO</v>
      </c>
      <c r="F791" s="69">
        <f>+IFERROR(INDEX(Tabla2[TC],MATCH(Compilado[[#This Row],[Mes]],Tabla2[Mes],0))*Compilado[[#This Row],[USD]],0)</f>
        <v>25095.091662345341</v>
      </c>
      <c r="G791" s="150">
        <v>45931</v>
      </c>
    </row>
    <row r="792" spans="1:7">
      <c r="A792" t="s">
        <v>340</v>
      </c>
      <c r="B792" t="s">
        <v>94</v>
      </c>
      <c r="C792" s="2">
        <v>21.1864406779661</v>
      </c>
      <c r="D792" t="s">
        <v>8</v>
      </c>
      <c r="E792" t="str">
        <f>+INDEX(Check!$B$5:$B$33,MATCH(Compilado[[#This Row],[Items]],Check!$C$5:$C$33,0))</f>
        <v>COMBUSTIBLE Y MANTENIMIENTO</v>
      </c>
      <c r="F792" s="69">
        <f>+IFERROR(INDEX(Tabla2[TC],MATCH(Compilado[[#This Row],[Mes]],Tabla2[Mes],0))*Compilado[[#This Row],[USD]],0)</f>
        <v>25346.042578968794</v>
      </c>
      <c r="G792" s="150">
        <v>45962</v>
      </c>
    </row>
    <row r="793" spans="1:7">
      <c r="A793" t="s">
        <v>340</v>
      </c>
      <c r="B793" t="s">
        <v>95</v>
      </c>
      <c r="C793" s="2">
        <v>84.745762711864401</v>
      </c>
      <c r="D793" t="s">
        <v>8</v>
      </c>
      <c r="E793" t="str">
        <f>+INDEX(Check!$B$5:$B$33,MATCH(Compilado[[#This Row],[Items]],Check!$C$5:$C$33,0))</f>
        <v>COMBUSTIBLE Y MANTENIMIENTO</v>
      </c>
      <c r="F793" s="69">
        <f>+IFERROR(INDEX(Tabla2[TC],MATCH(Compilado[[#This Row],[Mes]],Tabla2[Mes],0))*Compilado[[#This Row],[USD]],0)</f>
        <v>102398.01201903392</v>
      </c>
      <c r="G793" s="150">
        <v>45992</v>
      </c>
    </row>
    <row r="794" spans="1:7">
      <c r="A794" t="s">
        <v>340</v>
      </c>
      <c r="B794" t="s">
        <v>96</v>
      </c>
      <c r="C794" s="2">
        <v>84.745762711864401</v>
      </c>
      <c r="D794" t="s">
        <v>8</v>
      </c>
      <c r="E794" t="str">
        <f>+INDEX(Check!$B$5:$B$33,MATCH(Compilado[[#This Row],[Items]],Check!$C$5:$C$33,0))</f>
        <v>COMBUSTIBLE Y MANTENIMIENTO</v>
      </c>
      <c r="F794" s="69">
        <f>+IFERROR(INDEX(Tabla2[TC],MATCH(Compilado[[#This Row],[Mes]],Tabla2[Mes],0))*Compilado[[#This Row],[USD]],0)</f>
        <v>103421.99213922425</v>
      </c>
      <c r="G794" s="150">
        <v>46023</v>
      </c>
    </row>
    <row r="795" spans="1:7">
      <c r="A795" t="s">
        <v>340</v>
      </c>
      <c r="B795" t="s">
        <v>97</v>
      </c>
      <c r="C795" s="2">
        <v>84.745762711864401</v>
      </c>
      <c r="D795" t="s">
        <v>8</v>
      </c>
      <c r="E795" t="str">
        <f>+INDEX(Check!$B$5:$B$33,MATCH(Compilado[[#This Row],[Items]],Check!$C$5:$C$33,0))</f>
        <v>COMBUSTIBLE Y MANTENIMIENTO</v>
      </c>
      <c r="F795" s="69">
        <f>+IFERROR(INDEX(Tabla2[TC],MATCH(Compilado[[#This Row],[Mes]],Tabla2[Mes],0))*Compilado[[#This Row],[USD]],0)</f>
        <v>104456.2120606165</v>
      </c>
      <c r="G795" s="150">
        <v>46054</v>
      </c>
    </row>
    <row r="796" spans="1:7">
      <c r="A796" t="s">
        <v>340</v>
      </c>
      <c r="B796" t="s">
        <v>98</v>
      </c>
      <c r="C796" s="2">
        <v>21.1864406779661</v>
      </c>
      <c r="D796" t="s">
        <v>8</v>
      </c>
      <c r="E796" t="str">
        <f>+INDEX(Check!$B$5:$B$33,MATCH(Compilado[[#This Row],[Items]],Check!$C$5:$C$33,0))</f>
        <v>COMBUSTIBLE Y MANTENIMIENTO</v>
      </c>
      <c r="F796" s="69">
        <f>+IFERROR(INDEX(Tabla2[TC],MATCH(Compilado[[#This Row],[Mes]],Tabla2[Mes],0))*Compilado[[#This Row],[USD]],0)</f>
        <v>26375.193545305665</v>
      </c>
      <c r="G796" s="150">
        <v>46082</v>
      </c>
    </row>
    <row r="797" spans="1:7">
      <c r="A797" t="s">
        <v>340</v>
      </c>
      <c r="B797" t="s">
        <v>99</v>
      </c>
      <c r="C797" s="2">
        <v>21.1864406779661</v>
      </c>
      <c r="D797" t="s">
        <v>8</v>
      </c>
      <c r="E797" t="str">
        <f>+INDEX(Check!$B$5:$B$33,MATCH(Compilado[[#This Row],[Items]],Check!$C$5:$C$33,0))</f>
        <v>COMBUSTIBLE Y MANTENIMIENTO</v>
      </c>
      <c r="F797" s="69">
        <f>+IFERROR(INDEX(Tabla2[TC],MATCH(Compilado[[#This Row],[Mes]],Tabla2[Mes],0))*Compilado[[#This Row],[USD]],0)</f>
        <v>26638.945480758721</v>
      </c>
      <c r="G797" s="150">
        <v>46113</v>
      </c>
    </row>
    <row r="798" spans="1:7">
      <c r="A798" t="s">
        <v>340</v>
      </c>
      <c r="B798" t="s">
        <v>88</v>
      </c>
      <c r="C798" s="2">
        <v>12.711864406779659</v>
      </c>
      <c r="D798" t="s">
        <v>12</v>
      </c>
      <c r="E798" t="str">
        <f>+INDEX(Check!$B$5:$B$33,MATCH(Compilado[[#This Row],[Items]],Check!$C$5:$C$33,0))</f>
        <v>COMBUSTIBLE Y MANTENIMIENTO</v>
      </c>
      <c r="F798" s="69">
        <f>+IFERROR(INDEX(Tabla2[TC],MATCH(Compilado[[#This Row],[Mes]],Tabla2[Mes],0))*Compilado[[#This Row],[USD]],0)</f>
        <v>14326.271186440676</v>
      </c>
      <c r="G798" s="150">
        <v>45778</v>
      </c>
    </row>
    <row r="799" spans="1:7">
      <c r="A799" t="s">
        <v>340</v>
      </c>
      <c r="B799" t="s">
        <v>89</v>
      </c>
      <c r="C799" s="2">
        <v>12.711864406779659</v>
      </c>
      <c r="D799" t="s">
        <v>12</v>
      </c>
      <c r="E799" t="str">
        <f>+INDEX(Check!$B$5:$B$33,MATCH(Compilado[[#This Row],[Items]],Check!$C$5:$C$33,0))</f>
        <v>COMBUSTIBLE Y MANTENIMIENTO</v>
      </c>
      <c r="F799" s="69">
        <f>+IFERROR(INDEX(Tabla2[TC],MATCH(Compilado[[#This Row],[Mes]],Tabla2[Mes],0))*Compilado[[#This Row],[USD]],0)</f>
        <v>14469.533898305082</v>
      </c>
      <c r="G799" s="150">
        <v>45809</v>
      </c>
    </row>
    <row r="800" spans="1:7">
      <c r="A800" t="s">
        <v>340</v>
      </c>
      <c r="B800" t="s">
        <v>90</v>
      </c>
      <c r="C800" s="2">
        <v>12.711864406779659</v>
      </c>
      <c r="D800" t="s">
        <v>12</v>
      </c>
      <c r="E800" t="str">
        <f>+INDEX(Check!$B$5:$B$33,MATCH(Compilado[[#This Row],[Items]],Check!$C$5:$C$33,0))</f>
        <v>COMBUSTIBLE Y MANTENIMIENTO</v>
      </c>
      <c r="F800" s="69">
        <f>+IFERROR(INDEX(Tabla2[TC],MATCH(Compilado[[#This Row],[Mes]],Tabla2[Mes],0))*Compilado[[#This Row],[USD]],0)</f>
        <v>14614.229237288135</v>
      </c>
      <c r="G800" s="150">
        <v>45839</v>
      </c>
    </row>
    <row r="801" spans="1:7">
      <c r="A801" t="s">
        <v>340</v>
      </c>
      <c r="B801" t="s">
        <v>91</v>
      </c>
      <c r="C801" s="2">
        <v>12.711864406779659</v>
      </c>
      <c r="D801" t="s">
        <v>12</v>
      </c>
      <c r="E801" t="str">
        <f>+INDEX(Check!$B$5:$B$33,MATCH(Compilado[[#This Row],[Items]],Check!$C$5:$C$33,0))</f>
        <v>COMBUSTIBLE Y MANTENIMIENTO</v>
      </c>
      <c r="F801" s="69">
        <f>+IFERROR(INDEX(Tabla2[TC],MATCH(Compilado[[#This Row],[Mes]],Tabla2[Mes],0))*Compilado[[#This Row],[USD]],0)</f>
        <v>14760.371529661015</v>
      </c>
      <c r="G801" s="150">
        <v>45870</v>
      </c>
    </row>
    <row r="802" spans="1:7">
      <c r="A802" t="s">
        <v>340</v>
      </c>
      <c r="B802" t="s">
        <v>92</v>
      </c>
      <c r="C802" s="2">
        <v>12.711864406779659</v>
      </c>
      <c r="D802" t="s">
        <v>12</v>
      </c>
      <c r="E802" t="str">
        <f>+INDEX(Check!$B$5:$B$33,MATCH(Compilado[[#This Row],[Items]],Check!$C$5:$C$33,0))</f>
        <v>COMBUSTIBLE Y MANTENIMIENTO</v>
      </c>
      <c r="F802" s="69">
        <f>+IFERROR(INDEX(Tabla2[TC],MATCH(Compilado[[#This Row],[Mes]],Tabla2[Mes],0))*Compilado[[#This Row],[USD]],0)</f>
        <v>14907.975244957628</v>
      </c>
      <c r="G802" s="150">
        <v>45901</v>
      </c>
    </row>
    <row r="803" spans="1:7">
      <c r="A803" t="s">
        <v>340</v>
      </c>
      <c r="B803" t="s">
        <v>93</v>
      </c>
      <c r="C803" s="2">
        <v>12.711864406779659</v>
      </c>
      <c r="D803" t="s">
        <v>12</v>
      </c>
      <c r="E803" t="str">
        <f>+INDEX(Check!$B$5:$B$33,MATCH(Compilado[[#This Row],[Items]],Check!$C$5:$C$33,0))</f>
        <v>COMBUSTIBLE Y MANTENIMIENTO</v>
      </c>
      <c r="F803" s="69">
        <f>+IFERROR(INDEX(Tabla2[TC],MATCH(Compilado[[#This Row],[Mes]],Tabla2[Mes],0))*Compilado[[#This Row],[USD]],0)</f>
        <v>15057.054997407202</v>
      </c>
      <c r="G803" s="150">
        <v>45931</v>
      </c>
    </row>
    <row r="804" spans="1:7">
      <c r="A804" t="s">
        <v>340</v>
      </c>
      <c r="B804" t="s">
        <v>94</v>
      </c>
      <c r="C804" s="2">
        <v>12.711864406779659</v>
      </c>
      <c r="D804" t="s">
        <v>12</v>
      </c>
      <c r="E804" t="str">
        <f>+INDEX(Check!$B$5:$B$33,MATCH(Compilado[[#This Row],[Items]],Check!$C$5:$C$33,0))</f>
        <v>COMBUSTIBLE Y MANTENIMIENTO</v>
      </c>
      <c r="F804" s="69">
        <f>+IFERROR(INDEX(Tabla2[TC],MATCH(Compilado[[#This Row],[Mes]],Tabla2[Mes],0))*Compilado[[#This Row],[USD]],0)</f>
        <v>15207.625547381274</v>
      </c>
      <c r="G804" s="150">
        <v>45962</v>
      </c>
    </row>
    <row r="805" spans="1:7">
      <c r="A805" t="s">
        <v>340</v>
      </c>
      <c r="B805" t="s">
        <v>95</v>
      </c>
      <c r="C805" s="2">
        <v>50.847457627118636</v>
      </c>
      <c r="D805" t="s">
        <v>12</v>
      </c>
      <c r="E805" t="str">
        <f>+INDEX(Check!$B$5:$B$33,MATCH(Compilado[[#This Row],[Items]],Check!$C$5:$C$33,0))</f>
        <v>COMBUSTIBLE Y MANTENIMIENTO</v>
      </c>
      <c r="F805" s="69">
        <f>+IFERROR(INDEX(Tabla2[TC],MATCH(Compilado[[#This Row],[Mes]],Tabla2[Mes],0))*Compilado[[#This Row],[USD]],0)</f>
        <v>61438.807211420346</v>
      </c>
      <c r="G805" s="150">
        <v>45992</v>
      </c>
    </row>
    <row r="806" spans="1:7">
      <c r="A806" t="s">
        <v>340</v>
      </c>
      <c r="B806" t="s">
        <v>96</v>
      </c>
      <c r="C806" s="2">
        <v>50.847457627118636</v>
      </c>
      <c r="D806" t="s">
        <v>12</v>
      </c>
      <c r="E806" t="str">
        <f>+INDEX(Check!$B$5:$B$33,MATCH(Compilado[[#This Row],[Items]],Check!$C$5:$C$33,0))</f>
        <v>COMBUSTIBLE Y MANTENIMIENTO</v>
      </c>
      <c r="F806" s="69">
        <f>+IFERROR(INDEX(Tabla2[TC],MATCH(Compilado[[#This Row],[Mes]],Tabla2[Mes],0))*Compilado[[#This Row],[USD]],0)</f>
        <v>62053.195283534551</v>
      </c>
      <c r="G806" s="150">
        <v>46023</v>
      </c>
    </row>
    <row r="807" spans="1:7">
      <c r="A807" t="s">
        <v>340</v>
      </c>
      <c r="B807" t="s">
        <v>97</v>
      </c>
      <c r="C807" s="2">
        <v>50.847457627118636</v>
      </c>
      <c r="D807" t="s">
        <v>12</v>
      </c>
      <c r="E807" t="str">
        <f>+INDEX(Check!$B$5:$B$33,MATCH(Compilado[[#This Row],[Items]],Check!$C$5:$C$33,0))</f>
        <v>COMBUSTIBLE Y MANTENIMIENTO</v>
      </c>
      <c r="F807" s="69">
        <f>+IFERROR(INDEX(Tabla2[TC],MATCH(Compilado[[#This Row],[Mes]],Tabla2[Mes],0))*Compilado[[#This Row],[USD]],0)</f>
        <v>62673.727236369894</v>
      </c>
      <c r="G807" s="150">
        <v>46054</v>
      </c>
    </row>
    <row r="808" spans="1:7">
      <c r="A808" t="s">
        <v>340</v>
      </c>
      <c r="B808" t="s">
        <v>98</v>
      </c>
      <c r="C808" s="2">
        <v>12.711864406779659</v>
      </c>
      <c r="D808" t="s">
        <v>12</v>
      </c>
      <c r="E808" t="str">
        <f>+INDEX(Check!$B$5:$B$33,MATCH(Compilado[[#This Row],[Items]],Check!$C$5:$C$33,0))</f>
        <v>COMBUSTIBLE Y MANTENIMIENTO</v>
      </c>
      <c r="F808" s="69">
        <f>+IFERROR(INDEX(Tabla2[TC],MATCH(Compilado[[#This Row],[Mes]],Tabla2[Mes],0))*Compilado[[#This Row],[USD]],0)</f>
        <v>15825.116127183397</v>
      </c>
      <c r="G808" s="150">
        <v>46082</v>
      </c>
    </row>
    <row r="809" spans="1:7">
      <c r="A809" t="s">
        <v>340</v>
      </c>
      <c r="B809" t="s">
        <v>99</v>
      </c>
      <c r="C809" s="2">
        <v>12.711864406779659</v>
      </c>
      <c r="D809" t="s">
        <v>12</v>
      </c>
      <c r="E809" t="str">
        <f>+INDEX(Check!$B$5:$B$33,MATCH(Compilado[[#This Row],[Items]],Check!$C$5:$C$33,0))</f>
        <v>COMBUSTIBLE Y MANTENIMIENTO</v>
      </c>
      <c r="F809" s="69">
        <f>+IFERROR(INDEX(Tabla2[TC],MATCH(Compilado[[#This Row],[Mes]],Tabla2[Mes],0))*Compilado[[#This Row],[USD]],0)</f>
        <v>15983.367288455232</v>
      </c>
      <c r="G809" s="150">
        <v>46113</v>
      </c>
    </row>
    <row r="810" spans="1:7">
      <c r="A810" t="s">
        <v>340</v>
      </c>
      <c r="B810" t="s">
        <v>88</v>
      </c>
      <c r="C810" s="2">
        <v>8.4745762711864412</v>
      </c>
      <c r="D810" t="s">
        <v>4</v>
      </c>
      <c r="E810" t="str">
        <f>+INDEX(Check!$B$5:$B$33,MATCH(Compilado[[#This Row],[Items]],Check!$C$5:$C$33,0))</f>
        <v>COMBUSTIBLE Y MANTENIMIENTO</v>
      </c>
      <c r="F810" s="69">
        <f>+IFERROR(INDEX(Tabla2[TC],MATCH(Compilado[[#This Row],[Mes]],Tabla2[Mes],0))*Compilado[[#This Row],[USD]],0)</f>
        <v>9550.8474576271201</v>
      </c>
      <c r="G810" s="150">
        <v>45778</v>
      </c>
    </row>
    <row r="811" spans="1:7">
      <c r="A811" t="s">
        <v>340</v>
      </c>
      <c r="B811" t="s">
        <v>89</v>
      </c>
      <c r="C811" s="2">
        <v>8.4745762711864412</v>
      </c>
      <c r="D811" t="s">
        <v>4</v>
      </c>
      <c r="E811" t="str">
        <f>+INDEX(Check!$B$5:$B$33,MATCH(Compilado[[#This Row],[Items]],Check!$C$5:$C$33,0))</f>
        <v>COMBUSTIBLE Y MANTENIMIENTO</v>
      </c>
      <c r="F811" s="69">
        <f>+IFERROR(INDEX(Tabla2[TC],MATCH(Compilado[[#This Row],[Mes]],Tabla2[Mes],0))*Compilado[[#This Row],[USD]],0)</f>
        <v>9646.3559322033907</v>
      </c>
      <c r="G811" s="150">
        <v>45809</v>
      </c>
    </row>
    <row r="812" spans="1:7">
      <c r="A812" t="s">
        <v>340</v>
      </c>
      <c r="B812" t="s">
        <v>90</v>
      </c>
      <c r="C812" s="2">
        <v>8.4745762711864412</v>
      </c>
      <c r="D812" t="s">
        <v>4</v>
      </c>
      <c r="E812" t="str">
        <f>+INDEX(Check!$B$5:$B$33,MATCH(Compilado[[#This Row],[Items]],Check!$C$5:$C$33,0))</f>
        <v>COMBUSTIBLE Y MANTENIMIENTO</v>
      </c>
      <c r="F812" s="69">
        <f>+IFERROR(INDEX(Tabla2[TC],MATCH(Compilado[[#This Row],[Mes]],Tabla2[Mes],0))*Compilado[[#This Row],[USD]],0)</f>
        <v>9742.8194915254244</v>
      </c>
      <c r="G812" s="150">
        <v>45839</v>
      </c>
    </row>
    <row r="813" spans="1:7">
      <c r="A813" t="s">
        <v>340</v>
      </c>
      <c r="B813" t="s">
        <v>91</v>
      </c>
      <c r="C813" s="2">
        <v>8.4745762711864412</v>
      </c>
      <c r="D813" t="s">
        <v>4</v>
      </c>
      <c r="E813" t="str">
        <f>+INDEX(Check!$B$5:$B$33,MATCH(Compilado[[#This Row],[Items]],Check!$C$5:$C$33,0))</f>
        <v>COMBUSTIBLE Y MANTENIMIENTO</v>
      </c>
      <c r="F813" s="69">
        <f>+IFERROR(INDEX(Tabla2[TC],MATCH(Compilado[[#This Row],[Mes]],Tabla2[Mes],0))*Compilado[[#This Row],[USD]],0)</f>
        <v>9840.2476864406799</v>
      </c>
      <c r="G813" s="150">
        <v>45870</v>
      </c>
    </row>
    <row r="814" spans="1:7">
      <c r="A814" t="s">
        <v>340</v>
      </c>
      <c r="B814" t="s">
        <v>92</v>
      </c>
      <c r="C814" s="2">
        <v>8.4745762711864412</v>
      </c>
      <c r="D814" t="s">
        <v>4</v>
      </c>
      <c r="E814" t="str">
        <f>+INDEX(Check!$B$5:$B$33,MATCH(Compilado[[#This Row],[Items]],Check!$C$5:$C$33,0))</f>
        <v>COMBUSTIBLE Y MANTENIMIENTO</v>
      </c>
      <c r="F814" s="69">
        <f>+IFERROR(INDEX(Tabla2[TC],MATCH(Compilado[[#This Row],[Mes]],Tabla2[Mes],0))*Compilado[[#This Row],[USD]],0)</f>
        <v>9938.6501633050866</v>
      </c>
      <c r="G814" s="150">
        <v>45901</v>
      </c>
    </row>
    <row r="815" spans="1:7">
      <c r="A815" t="s">
        <v>340</v>
      </c>
      <c r="B815" t="s">
        <v>93</v>
      </c>
      <c r="C815" s="2">
        <v>8.4745762711864412</v>
      </c>
      <c r="D815" t="s">
        <v>4</v>
      </c>
      <c r="E815" t="str">
        <f>+INDEX(Check!$B$5:$B$33,MATCH(Compilado[[#This Row],[Items]],Check!$C$5:$C$33,0))</f>
        <v>COMBUSTIBLE Y MANTENIMIENTO</v>
      </c>
      <c r="F815" s="69">
        <f>+IFERROR(INDEX(Tabla2[TC],MATCH(Compilado[[#This Row],[Mes]],Tabla2[Mes],0))*Compilado[[#This Row],[USD]],0)</f>
        <v>10038.036664938138</v>
      </c>
      <c r="G815" s="150">
        <v>45931</v>
      </c>
    </row>
    <row r="816" spans="1:7">
      <c r="A816" t="s">
        <v>340</v>
      </c>
      <c r="B816" t="s">
        <v>94</v>
      </c>
      <c r="C816" s="2">
        <v>8.4745762711864412</v>
      </c>
      <c r="D816" t="s">
        <v>4</v>
      </c>
      <c r="E816" t="str">
        <f>+INDEX(Check!$B$5:$B$33,MATCH(Compilado[[#This Row],[Items]],Check!$C$5:$C$33,0))</f>
        <v>COMBUSTIBLE Y MANTENIMIENTO</v>
      </c>
      <c r="F816" s="69">
        <f>+IFERROR(INDEX(Tabla2[TC],MATCH(Compilado[[#This Row],[Mes]],Tabla2[Mes],0))*Compilado[[#This Row],[USD]],0)</f>
        <v>10138.417031587518</v>
      </c>
      <c r="G816" s="150">
        <v>45962</v>
      </c>
    </row>
    <row r="817" spans="1:7">
      <c r="A817" t="s">
        <v>340</v>
      </c>
      <c r="B817" t="s">
        <v>95</v>
      </c>
      <c r="C817" s="2">
        <v>33.898305084745765</v>
      </c>
      <c r="D817" t="s">
        <v>4</v>
      </c>
      <c r="E817" t="str">
        <f>+INDEX(Check!$B$5:$B$33,MATCH(Compilado[[#This Row],[Items]],Check!$C$5:$C$33,0))</f>
        <v>COMBUSTIBLE Y MANTENIMIENTO</v>
      </c>
      <c r="F817" s="69">
        <f>+IFERROR(INDEX(Tabla2[TC],MATCH(Compilado[[#This Row],[Mes]],Tabla2[Mes],0))*Compilado[[#This Row],[USD]],0)</f>
        <v>40959.204807613576</v>
      </c>
      <c r="G817" s="150">
        <v>45992</v>
      </c>
    </row>
    <row r="818" spans="1:7">
      <c r="A818" t="s">
        <v>340</v>
      </c>
      <c r="B818" t="s">
        <v>96</v>
      </c>
      <c r="C818" s="2">
        <v>33.898305084745765</v>
      </c>
      <c r="D818" t="s">
        <v>4</v>
      </c>
      <c r="E818" t="str">
        <f>+INDEX(Check!$B$5:$B$33,MATCH(Compilado[[#This Row],[Items]],Check!$C$5:$C$33,0))</f>
        <v>COMBUSTIBLE Y MANTENIMIENTO</v>
      </c>
      <c r="F818" s="69">
        <f>+IFERROR(INDEX(Tabla2[TC],MATCH(Compilado[[#This Row],[Mes]],Tabla2[Mes],0))*Compilado[[#This Row],[USD]],0)</f>
        <v>41368.79685568971</v>
      </c>
      <c r="G818" s="150">
        <v>46023</v>
      </c>
    </row>
    <row r="819" spans="1:7">
      <c r="A819" t="s">
        <v>340</v>
      </c>
      <c r="B819" t="s">
        <v>97</v>
      </c>
      <c r="C819" s="2">
        <v>33.898305084745765</v>
      </c>
      <c r="D819" t="s">
        <v>4</v>
      </c>
      <c r="E819" t="str">
        <f>+INDEX(Check!$B$5:$B$33,MATCH(Compilado[[#This Row],[Items]],Check!$C$5:$C$33,0))</f>
        <v>COMBUSTIBLE Y MANTENIMIENTO</v>
      </c>
      <c r="F819" s="69">
        <f>+IFERROR(INDEX(Tabla2[TC],MATCH(Compilado[[#This Row],[Mes]],Tabla2[Mes],0))*Compilado[[#This Row],[USD]],0)</f>
        <v>41782.484824246603</v>
      </c>
      <c r="G819" s="150">
        <v>46054</v>
      </c>
    </row>
    <row r="820" spans="1:7">
      <c r="A820" t="s">
        <v>340</v>
      </c>
      <c r="B820" t="s">
        <v>98</v>
      </c>
      <c r="C820" s="2">
        <v>8.4745762711864412</v>
      </c>
      <c r="D820" t="s">
        <v>4</v>
      </c>
      <c r="E820" t="str">
        <f>+INDEX(Check!$B$5:$B$33,MATCH(Compilado[[#This Row],[Items]],Check!$C$5:$C$33,0))</f>
        <v>COMBUSTIBLE Y MANTENIMIENTO</v>
      </c>
      <c r="F820" s="69">
        <f>+IFERROR(INDEX(Tabla2[TC],MATCH(Compilado[[#This Row],[Mes]],Tabla2[Mes],0))*Compilado[[#This Row],[USD]],0)</f>
        <v>10550.077418122266</v>
      </c>
      <c r="G820" s="150">
        <v>46082</v>
      </c>
    </row>
    <row r="821" spans="1:7">
      <c r="A821" t="s">
        <v>340</v>
      </c>
      <c r="B821" t="s">
        <v>99</v>
      </c>
      <c r="C821" s="2">
        <v>8.4745762711864412</v>
      </c>
      <c r="D821" t="s">
        <v>4</v>
      </c>
      <c r="E821" t="str">
        <f>+INDEX(Check!$B$5:$B$33,MATCH(Compilado[[#This Row],[Items]],Check!$C$5:$C$33,0))</f>
        <v>COMBUSTIBLE Y MANTENIMIENTO</v>
      </c>
      <c r="F821" s="69">
        <f>+IFERROR(INDEX(Tabla2[TC],MATCH(Compilado[[#This Row],[Mes]],Tabla2[Mes],0))*Compilado[[#This Row],[USD]],0)</f>
        <v>10655.57819230349</v>
      </c>
      <c r="G821" s="150">
        <v>46113</v>
      </c>
    </row>
    <row r="822" spans="1:7">
      <c r="A822" t="s">
        <v>340</v>
      </c>
      <c r="B822" t="s">
        <v>88</v>
      </c>
      <c r="C822" s="2">
        <v>76.292372881355931</v>
      </c>
      <c r="D822" t="s">
        <v>373</v>
      </c>
      <c r="E822" t="str">
        <f>+INDEX(Check!$B$5:$B$33,MATCH(Compilado[[#This Row],[Items]],Check!$C$5:$C$33,0))</f>
        <v>COMBUSTIBLE Y MANTENIMIENTO</v>
      </c>
      <c r="F822" s="69">
        <f>+IFERROR(INDEX(Tabla2[TC],MATCH(Compilado[[#This Row],[Mes]],Tabla2[Mes],0))*Compilado[[#This Row],[USD]],0)</f>
        <v>85981.504237288129</v>
      </c>
      <c r="G822" s="150">
        <v>45778</v>
      </c>
    </row>
    <row r="823" spans="1:7">
      <c r="A823" t="s">
        <v>340</v>
      </c>
      <c r="B823" t="s">
        <v>89</v>
      </c>
      <c r="C823" s="2">
        <v>76.292372881355931</v>
      </c>
      <c r="D823" t="s">
        <v>373</v>
      </c>
      <c r="E823" t="str">
        <f>+INDEX(Check!$B$5:$B$33,MATCH(Compilado[[#This Row],[Items]],Check!$C$5:$C$33,0))</f>
        <v>COMBUSTIBLE Y MANTENIMIENTO</v>
      </c>
      <c r="F823" s="69">
        <f>+IFERROR(INDEX(Tabla2[TC],MATCH(Compilado[[#This Row],[Mes]],Tabla2[Mes],0))*Compilado[[#This Row],[USD]],0)</f>
        <v>86841.319279661009</v>
      </c>
      <c r="G823" s="150">
        <v>45809</v>
      </c>
    </row>
    <row r="824" spans="1:7">
      <c r="A824" t="s">
        <v>340</v>
      </c>
      <c r="B824" t="s">
        <v>90</v>
      </c>
      <c r="C824" s="2">
        <v>76.292372881355931</v>
      </c>
      <c r="D824" t="s">
        <v>373</v>
      </c>
      <c r="E824" t="str">
        <f>+INDEX(Check!$B$5:$B$33,MATCH(Compilado[[#This Row],[Items]],Check!$C$5:$C$33,0))</f>
        <v>COMBUSTIBLE Y MANTENIMIENTO</v>
      </c>
      <c r="F824" s="69">
        <f>+IFERROR(INDEX(Tabla2[TC],MATCH(Compilado[[#This Row],[Mes]],Tabla2[Mes],0))*Compilado[[#This Row],[USD]],0)</f>
        <v>87709.732472457632</v>
      </c>
      <c r="G824" s="150">
        <v>45839</v>
      </c>
    </row>
    <row r="825" spans="1:7">
      <c r="A825" t="s">
        <v>340</v>
      </c>
      <c r="B825" t="s">
        <v>91</v>
      </c>
      <c r="C825" s="2">
        <v>76.292372881355931</v>
      </c>
      <c r="D825" t="s">
        <v>373</v>
      </c>
      <c r="E825" t="str">
        <f>+INDEX(Check!$B$5:$B$33,MATCH(Compilado[[#This Row],[Items]],Check!$C$5:$C$33,0))</f>
        <v>COMBUSTIBLE Y MANTENIMIENTO</v>
      </c>
      <c r="F825" s="69">
        <f>+IFERROR(INDEX(Tabla2[TC],MATCH(Compilado[[#This Row],[Mes]],Tabla2[Mes],0))*Compilado[[#This Row],[USD]],0)</f>
        <v>88586.829797182203</v>
      </c>
      <c r="G825" s="150">
        <v>45870</v>
      </c>
    </row>
    <row r="826" spans="1:7">
      <c r="A826" t="s">
        <v>340</v>
      </c>
      <c r="B826" t="s">
        <v>92</v>
      </c>
      <c r="C826" s="2">
        <v>76.292372881355931</v>
      </c>
      <c r="D826" t="s">
        <v>373</v>
      </c>
      <c r="E826" t="str">
        <f>+INDEX(Check!$B$5:$B$33,MATCH(Compilado[[#This Row],[Items]],Check!$C$5:$C$33,0))</f>
        <v>COMBUSTIBLE Y MANTENIMIENTO</v>
      </c>
      <c r="F826" s="69">
        <f>+IFERROR(INDEX(Tabla2[TC],MATCH(Compilado[[#This Row],[Mes]],Tabla2[Mes],0))*Compilado[[#This Row],[USD]],0)</f>
        <v>89472.698095154046</v>
      </c>
      <c r="G826" s="150">
        <v>45901</v>
      </c>
    </row>
    <row r="827" spans="1:7">
      <c r="A827" t="s">
        <v>340</v>
      </c>
      <c r="B827" t="s">
        <v>93</v>
      </c>
      <c r="C827" s="2">
        <v>76.292372881355931</v>
      </c>
      <c r="D827" t="s">
        <v>373</v>
      </c>
      <c r="E827" t="str">
        <f>+INDEX(Check!$B$5:$B$33,MATCH(Compilado[[#This Row],[Items]],Check!$C$5:$C$33,0))</f>
        <v>COMBUSTIBLE Y MANTENIMIENTO</v>
      </c>
      <c r="F827" s="69">
        <f>+IFERROR(INDEX(Tabla2[TC],MATCH(Compilado[[#This Row],[Mes]],Tabla2[Mes],0))*Compilado[[#This Row],[USD]],0)</f>
        <v>90367.425076105574</v>
      </c>
      <c r="G827" s="150">
        <v>45931</v>
      </c>
    </row>
    <row r="828" spans="1:7">
      <c r="A828" t="s">
        <v>340</v>
      </c>
      <c r="B828" t="s">
        <v>94</v>
      </c>
      <c r="C828" s="2">
        <v>76.292372881355931</v>
      </c>
      <c r="D828" t="s">
        <v>373</v>
      </c>
      <c r="E828" t="str">
        <f>+INDEX(Check!$B$5:$B$33,MATCH(Compilado[[#This Row],[Items]],Check!$C$5:$C$33,0))</f>
        <v>COMBUSTIBLE Y MANTENIMIENTO</v>
      </c>
      <c r="F828" s="69">
        <f>+IFERROR(INDEX(Tabla2[TC],MATCH(Compilado[[#This Row],[Mes]],Tabla2[Mes],0))*Compilado[[#This Row],[USD]],0)</f>
        <v>91271.099326866635</v>
      </c>
      <c r="G828" s="150">
        <v>45962</v>
      </c>
    </row>
    <row r="829" spans="1:7">
      <c r="A829" t="s">
        <v>340</v>
      </c>
      <c r="B829" t="s">
        <v>95</v>
      </c>
      <c r="C829" s="2">
        <v>305.16949152542372</v>
      </c>
      <c r="D829" t="s">
        <v>373</v>
      </c>
      <c r="E829" t="str">
        <f>+INDEX(Check!$B$5:$B$33,MATCH(Compilado[[#This Row],[Items]],Check!$C$5:$C$33,0))</f>
        <v>COMBUSTIBLE Y MANTENIMIENTO</v>
      </c>
      <c r="F829" s="69">
        <f>+IFERROR(INDEX(Tabla2[TC],MATCH(Compilado[[#This Row],[Mes]],Tabla2[Mes],0))*Compilado[[#This Row],[USD]],0)</f>
        <v>368735.24128054117</v>
      </c>
      <c r="G829" s="150">
        <v>45992</v>
      </c>
    </row>
    <row r="830" spans="1:7">
      <c r="A830" t="s">
        <v>340</v>
      </c>
      <c r="B830" t="s">
        <v>96</v>
      </c>
      <c r="C830" s="2">
        <v>305.16949152542372</v>
      </c>
      <c r="D830" t="s">
        <v>373</v>
      </c>
      <c r="E830" t="str">
        <f>+INDEX(Check!$B$5:$B$33,MATCH(Compilado[[#This Row],[Items]],Check!$C$5:$C$33,0))</f>
        <v>COMBUSTIBLE Y MANTENIMIENTO</v>
      </c>
      <c r="F830" s="69">
        <f>+IFERROR(INDEX(Tabla2[TC],MATCH(Compilado[[#This Row],[Mes]],Tabla2[Mes],0))*Compilado[[#This Row],[USD]],0)</f>
        <v>372422.5936933466</v>
      </c>
      <c r="G830" s="150">
        <v>46023</v>
      </c>
    </row>
    <row r="831" spans="1:7">
      <c r="A831" t="s">
        <v>340</v>
      </c>
      <c r="B831" t="s">
        <v>97</v>
      </c>
      <c r="C831" s="2">
        <v>305.16949152542372</v>
      </c>
      <c r="D831" t="s">
        <v>373</v>
      </c>
      <c r="E831" t="str">
        <f>+INDEX(Check!$B$5:$B$33,MATCH(Compilado[[#This Row],[Items]],Check!$C$5:$C$33,0))</f>
        <v>COMBUSTIBLE Y MANTENIMIENTO</v>
      </c>
      <c r="F831" s="69">
        <f>+IFERROR(INDEX(Tabla2[TC],MATCH(Compilado[[#This Row],[Mes]],Tabla2[Mes],0))*Compilado[[#This Row],[USD]],0)</f>
        <v>376146.81963028002</v>
      </c>
      <c r="G831" s="150">
        <v>46054</v>
      </c>
    </row>
    <row r="832" spans="1:7">
      <c r="A832" t="s">
        <v>340</v>
      </c>
      <c r="B832" t="s">
        <v>98</v>
      </c>
      <c r="C832" s="2">
        <v>76.292372881355931</v>
      </c>
      <c r="D832" t="s">
        <v>373</v>
      </c>
      <c r="E832" t="str">
        <f>+INDEX(Check!$B$5:$B$33,MATCH(Compilado[[#This Row],[Items]],Check!$C$5:$C$33,0))</f>
        <v>COMBUSTIBLE Y MANTENIMIENTO</v>
      </c>
      <c r="F832" s="69">
        <f>+IFERROR(INDEX(Tabla2[TC],MATCH(Compilado[[#This Row],[Mes]],Tabla2[Mes],0))*Compilado[[#This Row],[USD]],0)</f>
        <v>94977.071956645697</v>
      </c>
      <c r="G832" s="150">
        <v>46082</v>
      </c>
    </row>
    <row r="833" spans="1:7">
      <c r="A833" t="s">
        <v>340</v>
      </c>
      <c r="B833" t="s">
        <v>99</v>
      </c>
      <c r="C833" s="2">
        <v>76.292372881355931</v>
      </c>
      <c r="D833" t="s">
        <v>373</v>
      </c>
      <c r="E833" t="str">
        <f>+INDEX(Check!$B$5:$B$33,MATCH(Compilado[[#This Row],[Items]],Check!$C$5:$C$33,0))</f>
        <v>COMBUSTIBLE Y MANTENIMIENTO</v>
      </c>
      <c r="F833" s="69">
        <f>+IFERROR(INDEX(Tabla2[TC],MATCH(Compilado[[#This Row],[Mes]],Tabla2[Mes],0))*Compilado[[#This Row],[USD]],0)</f>
        <v>95926.842676212167</v>
      </c>
      <c r="G833" s="150">
        <v>46113</v>
      </c>
    </row>
    <row r="834" spans="1:7">
      <c r="A834" t="s">
        <v>340</v>
      </c>
      <c r="B834" t="s">
        <v>88</v>
      </c>
      <c r="C834" s="2">
        <v>32.037288135593222</v>
      </c>
      <c r="D834" t="s">
        <v>15</v>
      </c>
      <c r="E834" t="str">
        <f>+INDEX(Check!$B$5:$B$33,MATCH(Compilado[[#This Row],[Items]],Check!$C$5:$C$33,0))</f>
        <v>COMBUSTIBLE Y MANTENIMIENTO</v>
      </c>
      <c r="F834" s="69">
        <f>+IFERROR(INDEX(Tabla2[TC],MATCH(Compilado[[#This Row],[Mes]],Tabla2[Mes],0))*Compilado[[#This Row],[USD]],0)</f>
        <v>36106.023728813561</v>
      </c>
      <c r="G834" s="150">
        <v>45778</v>
      </c>
    </row>
    <row r="835" spans="1:7">
      <c r="A835" t="s">
        <v>340</v>
      </c>
      <c r="B835" t="s">
        <v>89</v>
      </c>
      <c r="C835" s="2">
        <v>32.037288135593222</v>
      </c>
      <c r="D835" t="s">
        <v>15</v>
      </c>
      <c r="E835" t="str">
        <f>+INDEX(Check!$B$5:$B$33,MATCH(Compilado[[#This Row],[Items]],Check!$C$5:$C$33,0))</f>
        <v>COMBUSTIBLE Y MANTENIMIENTO</v>
      </c>
      <c r="F835" s="69">
        <f>+IFERROR(INDEX(Tabla2[TC],MATCH(Compilado[[#This Row],[Mes]],Tabla2[Mes],0))*Compilado[[#This Row],[USD]],0)</f>
        <v>36467.083966101694</v>
      </c>
      <c r="G835" s="150">
        <v>45809</v>
      </c>
    </row>
    <row r="836" spans="1:7">
      <c r="A836" t="s">
        <v>340</v>
      </c>
      <c r="B836" t="s">
        <v>90</v>
      </c>
      <c r="C836" s="2">
        <v>32.037288135593222</v>
      </c>
      <c r="D836" t="s">
        <v>15</v>
      </c>
      <c r="E836" t="str">
        <f>+INDEX(Check!$B$5:$B$33,MATCH(Compilado[[#This Row],[Items]],Check!$C$5:$C$33,0))</f>
        <v>COMBUSTIBLE Y MANTENIMIENTO</v>
      </c>
      <c r="F836" s="69">
        <f>+IFERROR(INDEX(Tabla2[TC],MATCH(Compilado[[#This Row],[Mes]],Tabla2[Mes],0))*Compilado[[#This Row],[USD]],0)</f>
        <v>36831.754805762714</v>
      </c>
      <c r="G836" s="150">
        <v>45839</v>
      </c>
    </row>
    <row r="837" spans="1:7">
      <c r="A837" t="s">
        <v>340</v>
      </c>
      <c r="B837" t="s">
        <v>91</v>
      </c>
      <c r="C837" s="2">
        <v>32.037288135593222</v>
      </c>
      <c r="D837" t="s">
        <v>15</v>
      </c>
      <c r="E837" t="str">
        <f>+INDEX(Check!$B$5:$B$33,MATCH(Compilado[[#This Row],[Items]],Check!$C$5:$C$33,0))</f>
        <v>COMBUSTIBLE Y MANTENIMIENTO</v>
      </c>
      <c r="F837" s="69">
        <f>+IFERROR(INDEX(Tabla2[TC],MATCH(Compilado[[#This Row],[Mes]],Tabla2[Mes],0))*Compilado[[#This Row],[USD]],0)</f>
        <v>37200.072353820346</v>
      </c>
      <c r="G837" s="150">
        <v>45870</v>
      </c>
    </row>
    <row r="838" spans="1:7">
      <c r="A838" t="s">
        <v>340</v>
      </c>
      <c r="B838" t="s">
        <v>92</v>
      </c>
      <c r="C838" s="2">
        <v>32.037288135593222</v>
      </c>
      <c r="D838" t="s">
        <v>15</v>
      </c>
      <c r="E838" t="str">
        <f>+INDEX(Check!$B$5:$B$33,MATCH(Compilado[[#This Row],[Items]],Check!$C$5:$C$33,0))</f>
        <v>COMBUSTIBLE Y MANTENIMIENTO</v>
      </c>
      <c r="F838" s="69">
        <f>+IFERROR(INDEX(Tabla2[TC],MATCH(Compilado[[#This Row],[Mes]],Tabla2[Mes],0))*Compilado[[#This Row],[USD]],0)</f>
        <v>37572.073077358553</v>
      </c>
      <c r="G838" s="150">
        <v>45901</v>
      </c>
    </row>
    <row r="839" spans="1:7">
      <c r="A839" t="s">
        <v>340</v>
      </c>
      <c r="B839" t="s">
        <v>93</v>
      </c>
      <c r="C839" s="2">
        <v>32.037288135593222</v>
      </c>
      <c r="D839" t="s">
        <v>15</v>
      </c>
      <c r="E839" t="str">
        <f>+INDEX(Check!$B$5:$B$33,MATCH(Compilado[[#This Row],[Items]],Check!$C$5:$C$33,0))</f>
        <v>COMBUSTIBLE Y MANTENIMIENTO</v>
      </c>
      <c r="F839" s="69">
        <f>+IFERROR(INDEX(Tabla2[TC],MATCH(Compilado[[#This Row],[Mes]],Tabla2[Mes],0))*Compilado[[#This Row],[USD]],0)</f>
        <v>37947.793808132134</v>
      </c>
      <c r="G839" s="150">
        <v>45931</v>
      </c>
    </row>
    <row r="840" spans="1:7">
      <c r="A840" t="s">
        <v>340</v>
      </c>
      <c r="B840" t="s">
        <v>94</v>
      </c>
      <c r="C840" s="2">
        <v>32.037288135593222</v>
      </c>
      <c r="D840" t="s">
        <v>15</v>
      </c>
      <c r="E840" t="str">
        <f>+INDEX(Check!$B$5:$B$33,MATCH(Compilado[[#This Row],[Items]],Check!$C$5:$C$33,0))</f>
        <v>COMBUSTIBLE Y MANTENIMIENTO</v>
      </c>
      <c r="F840" s="69">
        <f>+IFERROR(INDEX(Tabla2[TC],MATCH(Compilado[[#This Row],[Mes]],Tabla2[Mes],0))*Compilado[[#This Row],[USD]],0)</f>
        <v>38327.271746213453</v>
      </c>
      <c r="G840" s="150">
        <v>45962</v>
      </c>
    </row>
    <row r="841" spans="1:7">
      <c r="A841" t="s">
        <v>340</v>
      </c>
      <c r="B841" t="s">
        <v>95</v>
      </c>
      <c r="C841" s="2">
        <v>128.14915254237289</v>
      </c>
      <c r="D841" t="s">
        <v>15</v>
      </c>
      <c r="E841" t="str">
        <f>+INDEX(Check!$B$5:$B$33,MATCH(Compilado[[#This Row],[Items]],Check!$C$5:$C$33,0))</f>
        <v>COMBUSTIBLE Y MANTENIMIENTO</v>
      </c>
      <c r="F841" s="69">
        <f>+IFERROR(INDEX(Tabla2[TC],MATCH(Compilado[[#This Row],[Mes]],Tabla2[Mes],0))*Compilado[[#This Row],[USD]],0)</f>
        <v>154842.17785470234</v>
      </c>
      <c r="G841" s="150">
        <v>45992</v>
      </c>
    </row>
    <row r="842" spans="1:7">
      <c r="A842" t="s">
        <v>340</v>
      </c>
      <c r="B842" t="s">
        <v>96</v>
      </c>
      <c r="C842" s="2">
        <v>128.14915254237289</v>
      </c>
      <c r="D842" t="s">
        <v>15</v>
      </c>
      <c r="E842" t="str">
        <f>+INDEX(Check!$B$5:$B$33,MATCH(Compilado[[#This Row],[Items]],Check!$C$5:$C$33,0))</f>
        <v>COMBUSTIBLE Y MANTENIMIENTO</v>
      </c>
      <c r="F842" s="69">
        <f>+IFERROR(INDEX(Tabla2[TC],MATCH(Compilado[[#This Row],[Mes]],Tabla2[Mes],0))*Compilado[[#This Row],[USD]],0)</f>
        <v>156390.59963324937</v>
      </c>
      <c r="G842" s="150">
        <v>46023</v>
      </c>
    </row>
    <row r="843" spans="1:7">
      <c r="A843" t="s">
        <v>340</v>
      </c>
      <c r="B843" t="s">
        <v>97</v>
      </c>
      <c r="C843" s="2">
        <v>128.14915254237289</v>
      </c>
      <c r="D843" t="s">
        <v>15</v>
      </c>
      <c r="E843" t="str">
        <f>+INDEX(Check!$B$5:$B$33,MATCH(Compilado[[#This Row],[Items]],Check!$C$5:$C$33,0))</f>
        <v>COMBUSTIBLE Y MANTENIMIENTO</v>
      </c>
      <c r="F843" s="69">
        <f>+IFERROR(INDEX(Tabla2[TC],MATCH(Compilado[[#This Row],[Mes]],Tabla2[Mes],0))*Compilado[[#This Row],[USD]],0)</f>
        <v>157954.50562958186</v>
      </c>
      <c r="G843" s="150">
        <v>46054</v>
      </c>
    </row>
    <row r="844" spans="1:7">
      <c r="A844" t="s">
        <v>340</v>
      </c>
      <c r="B844" t="s">
        <v>98</v>
      </c>
      <c r="C844" s="2">
        <v>32.037288135593222</v>
      </c>
      <c r="D844" t="s">
        <v>15</v>
      </c>
      <c r="E844" t="str">
        <f>+INDEX(Check!$B$5:$B$33,MATCH(Compilado[[#This Row],[Items]],Check!$C$5:$C$33,0))</f>
        <v>COMBUSTIBLE Y MANTENIMIENTO</v>
      </c>
      <c r="F844" s="69">
        <f>+IFERROR(INDEX(Tabla2[TC],MATCH(Compilado[[#This Row],[Mes]],Tabla2[Mes],0))*Compilado[[#This Row],[USD]],0)</f>
        <v>39883.51267146942</v>
      </c>
      <c r="G844" s="150">
        <v>46082</v>
      </c>
    </row>
    <row r="845" spans="1:7">
      <c r="A845" t="s">
        <v>340</v>
      </c>
      <c r="B845" t="s">
        <v>99</v>
      </c>
      <c r="C845" s="2">
        <v>32.037288135593222</v>
      </c>
      <c r="D845" t="s">
        <v>15</v>
      </c>
      <c r="E845" t="str">
        <f>+INDEX(Check!$B$5:$B$33,MATCH(Compilado[[#This Row],[Items]],Check!$C$5:$C$33,0))</f>
        <v>COMBUSTIBLE Y MANTENIMIENTO</v>
      </c>
      <c r="F845" s="69">
        <f>+IFERROR(INDEX(Tabla2[TC],MATCH(Compilado[[#This Row],[Mes]],Tabla2[Mes],0))*Compilado[[#This Row],[USD]],0)</f>
        <v>40282.347798184113</v>
      </c>
      <c r="G845" s="150">
        <v>46113</v>
      </c>
    </row>
    <row r="846" spans="1:7">
      <c r="A846" t="s">
        <v>131</v>
      </c>
      <c r="B846" t="s">
        <v>96</v>
      </c>
      <c r="C846" s="2">
        <v>15291.574702168848</v>
      </c>
      <c r="D846" t="s">
        <v>8</v>
      </c>
      <c r="E846" t="str">
        <f>+INDEX(Check!$B$5:$B$33,MATCH(Compilado[[#This Row],[Items]],Check!$C$5:$C$33,0))</f>
        <v>COSECHA</v>
      </c>
      <c r="F846" s="69">
        <f>+IFERROR(INDEX(Tabla2[TC],MATCH(Compilado[[#This Row],[Mes]],Tabla2[Mes],0))*Compilado[[#This Row],[USD]],0)</f>
        <v>18661524.399999991</v>
      </c>
      <c r="G846" s="150">
        <v>46023</v>
      </c>
    </row>
    <row r="847" spans="1:7">
      <c r="A847" t="s">
        <v>131</v>
      </c>
      <c r="B847" t="s">
        <v>97</v>
      </c>
      <c r="C847" s="2">
        <v>17821.932317931991</v>
      </c>
      <c r="D847" t="s">
        <v>8</v>
      </c>
      <c r="E847" t="str">
        <f>+INDEX(Check!$B$5:$B$33,MATCH(Compilado[[#This Row],[Items]],Check!$C$5:$C$33,0))</f>
        <v>COSECHA</v>
      </c>
      <c r="F847" s="69">
        <f>+IFERROR(INDEX(Tabla2[TC],MATCH(Compilado[[#This Row],[Mes]],Tabla2[Mes],0))*Compilado[[#This Row],[USD]],0)</f>
        <v>21967016.190075934</v>
      </c>
      <c r="G847" s="150">
        <v>46054</v>
      </c>
    </row>
    <row r="848" spans="1:7">
      <c r="A848" t="s">
        <v>131</v>
      </c>
      <c r="B848" t="s">
        <v>98</v>
      </c>
      <c r="C848" s="2">
        <v>18262.830508290375</v>
      </c>
      <c r="D848" t="s">
        <v>8</v>
      </c>
      <c r="E848" t="str">
        <f>+INDEX(Check!$B$5:$B$33,MATCH(Compilado[[#This Row],[Items]],Check!$C$5:$C$33,0))</f>
        <v>COSECHA</v>
      </c>
      <c r="F848" s="69">
        <f>+IFERROR(INDEX(Tabla2[TC],MATCH(Compilado[[#This Row],[Mes]],Tabla2[Mes],0))*Compilado[[#This Row],[USD]],0)</f>
        <v>22735564.536908023</v>
      </c>
      <c r="G848" s="150">
        <v>46082</v>
      </c>
    </row>
    <row r="849" spans="1:7">
      <c r="A849" t="s">
        <v>131</v>
      </c>
      <c r="B849" t="s">
        <v>99</v>
      </c>
      <c r="C849" s="2">
        <v>0</v>
      </c>
      <c r="D849" t="s">
        <v>8</v>
      </c>
      <c r="E849" t="str">
        <f>+INDEX(Check!$B$5:$B$33,MATCH(Compilado[[#This Row],[Items]],Check!$C$5:$C$33,0))</f>
        <v>COSECHA</v>
      </c>
      <c r="F849" s="69">
        <f>+IFERROR(INDEX(Tabla2[TC],MATCH(Compilado[[#This Row],[Mes]],Tabla2[Mes],0))*Compilado[[#This Row],[USD]],0)</f>
        <v>0</v>
      </c>
      <c r="G849" s="150">
        <v>46113</v>
      </c>
    </row>
    <row r="850" spans="1:7">
      <c r="A850" t="s">
        <v>350</v>
      </c>
      <c r="B850" t="s">
        <v>96</v>
      </c>
      <c r="C850" s="2">
        <v>717.49949243016044</v>
      </c>
      <c r="D850" t="s">
        <v>8</v>
      </c>
      <c r="E850" t="str">
        <f>+INDEX(Check!$B$5:$B$33,MATCH(Compilado[[#This Row],[Items]],Check!$C$5:$C$33,0))</f>
        <v>COSECHA</v>
      </c>
      <c r="F850" s="69">
        <f>+IFERROR(INDEX(Tabla2[TC],MATCH(Compilado[[#This Row],[Mes]],Tabla2[Mes],0))*Compilado[[#This Row],[USD]],0)</f>
        <v>875621.67701891158</v>
      </c>
      <c r="G850" s="150">
        <v>46023</v>
      </c>
    </row>
    <row r="851" spans="1:7">
      <c r="A851" t="s">
        <v>350</v>
      </c>
      <c r="B851" t="s">
        <v>97</v>
      </c>
      <c r="C851" s="2">
        <v>717.49949243016044</v>
      </c>
      <c r="D851" t="s">
        <v>8</v>
      </c>
      <c r="E851" t="str">
        <f>+INDEX(Check!$B$5:$B$33,MATCH(Compilado[[#This Row],[Items]],Check!$C$5:$C$33,0))</f>
        <v>COSECHA</v>
      </c>
      <c r="F851" s="69">
        <f>+IFERROR(INDEX(Tabla2[TC],MATCH(Compilado[[#This Row],[Mes]],Tabla2[Mes],0))*Compilado[[#This Row],[USD]],0)</f>
        <v>884377.89378910069</v>
      </c>
      <c r="G851" s="150">
        <v>46054</v>
      </c>
    </row>
    <row r="852" spans="1:7">
      <c r="A852" t="s">
        <v>350</v>
      </c>
      <c r="B852" t="s">
        <v>98</v>
      </c>
      <c r="C852" s="2">
        <v>717.49949243016044</v>
      </c>
      <c r="D852" t="s">
        <v>8</v>
      </c>
      <c r="E852" t="str">
        <f>+INDEX(Check!$B$5:$B$33,MATCH(Compilado[[#This Row],[Items]],Check!$C$5:$C$33,0))</f>
        <v>COSECHA</v>
      </c>
      <c r="F852" s="69">
        <f>+IFERROR(INDEX(Tabla2[TC],MATCH(Compilado[[#This Row],[Mes]],Tabla2[Mes],0))*Compilado[[#This Row],[USD]],0)</f>
        <v>893221.67272699159</v>
      </c>
      <c r="G852" s="150">
        <v>46082</v>
      </c>
    </row>
    <row r="853" spans="1:7">
      <c r="A853" t="s">
        <v>350</v>
      </c>
      <c r="B853" t="s">
        <v>99</v>
      </c>
      <c r="C853" s="2">
        <v>0</v>
      </c>
      <c r="D853" t="s">
        <v>8</v>
      </c>
      <c r="E853" t="str">
        <f>+INDEX(Check!$B$5:$B$33,MATCH(Compilado[[#This Row],[Items]],Check!$C$5:$C$33,0))</f>
        <v>COSECHA</v>
      </c>
      <c r="F853" s="69">
        <f>+IFERROR(INDEX(Tabla2[TC],MATCH(Compilado[[#This Row],[Mes]],Tabla2[Mes],0))*Compilado[[#This Row],[USD]],0)</f>
        <v>0</v>
      </c>
      <c r="G853" s="150">
        <v>46113</v>
      </c>
    </row>
    <row r="854" spans="1:7">
      <c r="A854" t="s">
        <v>349</v>
      </c>
      <c r="B854" t="s">
        <v>96</v>
      </c>
      <c r="C854" s="2">
        <v>1500</v>
      </c>
      <c r="D854" t="s">
        <v>8</v>
      </c>
      <c r="E854" t="str">
        <f>+INDEX(Check!$B$5:$B$33,MATCH(Compilado[[#This Row],[Items]],Check!$C$5:$C$33,0))</f>
        <v>COSECHA</v>
      </c>
      <c r="F854" s="69">
        <f>+IFERROR(INDEX(Tabla2[TC],MATCH(Compilado[[#This Row],[Mes]],Tabla2[Mes],0))*Compilado[[#This Row],[USD]],0)</f>
        <v>1830569.2608642695</v>
      </c>
      <c r="G854" s="150">
        <v>46023</v>
      </c>
    </row>
    <row r="855" spans="1:7">
      <c r="A855" t="s">
        <v>349</v>
      </c>
      <c r="B855" t="s">
        <v>97</v>
      </c>
      <c r="C855" s="2">
        <v>1500</v>
      </c>
      <c r="D855" t="s">
        <v>8</v>
      </c>
      <c r="E855" t="str">
        <f>+INDEX(Check!$B$5:$B$33,MATCH(Compilado[[#This Row],[Items]],Check!$C$5:$C$33,0))</f>
        <v>COSECHA</v>
      </c>
      <c r="F855" s="69">
        <f>+IFERROR(INDEX(Tabla2[TC],MATCH(Compilado[[#This Row],[Mes]],Tabla2[Mes],0))*Compilado[[#This Row],[USD]],0)</f>
        <v>1848874.9534729121</v>
      </c>
      <c r="G855" s="150">
        <v>46054</v>
      </c>
    </row>
    <row r="856" spans="1:7">
      <c r="A856" t="s">
        <v>349</v>
      </c>
      <c r="B856" t="s">
        <v>98</v>
      </c>
      <c r="C856" s="2">
        <v>1500</v>
      </c>
      <c r="D856" t="s">
        <v>8</v>
      </c>
      <c r="E856" t="str">
        <f>+INDEX(Check!$B$5:$B$33,MATCH(Compilado[[#This Row],[Items]],Check!$C$5:$C$33,0))</f>
        <v>COSECHA</v>
      </c>
      <c r="F856" s="69">
        <f>+IFERROR(INDEX(Tabla2[TC],MATCH(Compilado[[#This Row],[Mes]],Tabla2[Mes],0))*Compilado[[#This Row],[USD]],0)</f>
        <v>1867363.703007641</v>
      </c>
      <c r="G856" s="150">
        <v>46082</v>
      </c>
    </row>
    <row r="857" spans="1:7">
      <c r="A857" t="s">
        <v>349</v>
      </c>
      <c r="B857" t="s">
        <v>99</v>
      </c>
      <c r="C857" s="2">
        <v>0</v>
      </c>
      <c r="D857" t="s">
        <v>8</v>
      </c>
      <c r="E857" t="str">
        <f>+INDEX(Check!$B$5:$B$33,MATCH(Compilado[[#This Row],[Items]],Check!$C$5:$C$33,0))</f>
        <v>COSECHA</v>
      </c>
      <c r="F857" s="69">
        <f>+IFERROR(INDEX(Tabla2[TC],MATCH(Compilado[[#This Row],[Mes]],Tabla2[Mes],0))*Compilado[[#This Row],[USD]],0)</f>
        <v>0</v>
      </c>
      <c r="G857" s="150">
        <v>46113</v>
      </c>
    </row>
    <row r="858" spans="1:7">
      <c r="A858" t="s">
        <v>351</v>
      </c>
      <c r="B858" t="s">
        <v>96</v>
      </c>
      <c r="C858" s="2">
        <v>0</v>
      </c>
      <c r="D858" t="s">
        <v>8</v>
      </c>
      <c r="E858" t="str">
        <f>+INDEX(Check!$B$5:$B$33,MATCH(Compilado[[#This Row],[Items]],Check!$C$5:$C$33,0))</f>
        <v>COSECHA</v>
      </c>
      <c r="F858" s="69">
        <f>+IFERROR(INDEX(Tabla2[TC],MATCH(Compilado[[#This Row],[Mes]],Tabla2[Mes],0))*Compilado[[#This Row],[USD]],0)</f>
        <v>0</v>
      </c>
      <c r="G858" s="150">
        <v>46023</v>
      </c>
    </row>
    <row r="859" spans="1:7">
      <c r="A859" t="s">
        <v>351</v>
      </c>
      <c r="B859" t="s">
        <v>97</v>
      </c>
      <c r="C859" s="2">
        <v>0</v>
      </c>
      <c r="D859" t="s">
        <v>8</v>
      </c>
      <c r="E859" t="str">
        <f>+INDEX(Check!$B$5:$B$33,MATCH(Compilado[[#This Row],[Items]],Check!$C$5:$C$33,0))</f>
        <v>COSECHA</v>
      </c>
      <c r="F859" s="69">
        <f>+IFERROR(INDEX(Tabla2[TC],MATCH(Compilado[[#This Row],[Mes]],Tabla2[Mes],0))*Compilado[[#This Row],[USD]],0)</f>
        <v>0</v>
      </c>
      <c r="G859" s="150">
        <v>46054</v>
      </c>
    </row>
    <row r="860" spans="1:7">
      <c r="A860" t="s">
        <v>351</v>
      </c>
      <c r="B860" t="s">
        <v>98</v>
      </c>
      <c r="C860" s="2">
        <v>0</v>
      </c>
      <c r="D860" t="s">
        <v>8</v>
      </c>
      <c r="E860" t="str">
        <f>+INDEX(Check!$B$5:$B$33,MATCH(Compilado[[#This Row],[Items]],Check!$C$5:$C$33,0))</f>
        <v>COSECHA</v>
      </c>
      <c r="F860" s="69">
        <f>+IFERROR(INDEX(Tabla2[TC],MATCH(Compilado[[#This Row],[Mes]],Tabla2[Mes],0))*Compilado[[#This Row],[USD]],0)</f>
        <v>0</v>
      </c>
      <c r="G860" s="150">
        <v>46082</v>
      </c>
    </row>
    <row r="861" spans="1:7">
      <c r="A861" t="s">
        <v>351</v>
      </c>
      <c r="B861" t="s">
        <v>99</v>
      </c>
      <c r="C861" s="2">
        <v>0</v>
      </c>
      <c r="D861" t="s">
        <v>8</v>
      </c>
      <c r="E861" t="str">
        <f>+INDEX(Check!$B$5:$B$33,MATCH(Compilado[[#This Row],[Items]],Check!$C$5:$C$33,0))</f>
        <v>COSECHA</v>
      </c>
      <c r="F861" s="69">
        <f>+IFERROR(INDEX(Tabla2[TC],MATCH(Compilado[[#This Row],[Mes]],Tabla2[Mes],0))*Compilado[[#This Row],[USD]],0)</f>
        <v>0</v>
      </c>
      <c r="G861" s="150">
        <v>46113</v>
      </c>
    </row>
    <row r="862" spans="1:7">
      <c r="A862" t="s">
        <v>131</v>
      </c>
      <c r="B862" t="s">
        <v>96</v>
      </c>
      <c r="C862" s="2">
        <v>8107.5339587155568</v>
      </c>
      <c r="D862" t="s">
        <v>12</v>
      </c>
      <c r="E862" t="str">
        <f>+INDEX(Check!$B$5:$B$33,MATCH(Compilado[[#This Row],[Items]],Check!$C$5:$C$33,0))</f>
        <v>COSECHA</v>
      </c>
      <c r="F862" s="69">
        <f>+IFERROR(INDEX(Tabla2[TC],MATCH(Compilado[[#This Row],[Mes]],Tabla2[Mes],0))*Compilado[[#This Row],[USD]],0)</f>
        <v>9894268.2974919342</v>
      </c>
      <c r="G862" s="150">
        <v>46023</v>
      </c>
    </row>
    <row r="863" spans="1:7">
      <c r="A863" t="s">
        <v>131</v>
      </c>
      <c r="B863" t="s">
        <v>97</v>
      </c>
      <c r="C863" s="2">
        <v>16199.055663933945</v>
      </c>
      <c r="D863" t="s">
        <v>12</v>
      </c>
      <c r="E863" t="str">
        <f>+INDEX(Check!$B$5:$B$33,MATCH(Compilado[[#This Row],[Items]],Check!$C$5:$C$33,0))</f>
        <v>COSECHA</v>
      </c>
      <c r="F863" s="69">
        <f>+IFERROR(INDEX(Tabla2[TC],MATCH(Compilado[[#This Row],[Mes]],Tabla2[Mes],0))*Compilado[[#This Row],[USD]],0)</f>
        <v>19966685.524640657</v>
      </c>
      <c r="G863" s="150">
        <v>46054</v>
      </c>
    </row>
    <row r="864" spans="1:7">
      <c r="A864" t="s">
        <v>131</v>
      </c>
      <c r="B864" t="s">
        <v>98</v>
      </c>
      <c r="C864" s="2">
        <v>10918.296719701835</v>
      </c>
      <c r="D864" t="s">
        <v>12</v>
      </c>
      <c r="E864" t="str">
        <f>+INDEX(Check!$B$5:$B$33,MATCH(Compilado[[#This Row],[Items]],Check!$C$5:$C$33,0))</f>
        <v>COSECHA</v>
      </c>
      <c r="F864" s="69">
        <f>+IFERROR(INDEX(Tabla2[TC],MATCH(Compilado[[#This Row],[Mes]],Tabla2[Mes],0))*Compilado[[#This Row],[USD]],0)</f>
        <v>13592287.328692401</v>
      </c>
      <c r="G864" s="150">
        <v>46082</v>
      </c>
    </row>
    <row r="865" spans="1:7">
      <c r="A865" t="s">
        <v>131</v>
      </c>
      <c r="B865" t="s">
        <v>99</v>
      </c>
      <c r="C865" s="2">
        <v>0</v>
      </c>
      <c r="D865" t="s">
        <v>12</v>
      </c>
      <c r="E865" t="str">
        <f>+INDEX(Check!$B$5:$B$33,MATCH(Compilado[[#This Row],[Items]],Check!$C$5:$C$33,0))</f>
        <v>COSECHA</v>
      </c>
      <c r="F865" s="69">
        <f>+IFERROR(INDEX(Tabla2[TC],MATCH(Compilado[[#This Row],[Mes]],Tabla2[Mes],0))*Compilado[[#This Row],[USD]],0)</f>
        <v>0</v>
      </c>
      <c r="G865" s="150">
        <v>46113</v>
      </c>
    </row>
    <row r="866" spans="1:7">
      <c r="A866" t="s">
        <v>350</v>
      </c>
      <c r="B866" t="s">
        <v>96</v>
      </c>
      <c r="C866" s="2">
        <v>440.77143992637218</v>
      </c>
      <c r="D866" t="s">
        <v>12</v>
      </c>
      <c r="E866" t="str">
        <f>+INDEX(Check!$B$5:$B$33,MATCH(Compilado[[#This Row],[Items]],Check!$C$5:$C$33,0))</f>
        <v>COSECHA</v>
      </c>
      <c r="F866" s="69">
        <f>+IFERROR(INDEX(Tabla2[TC],MATCH(Compilado[[#This Row],[Mes]],Tabla2[Mes],0))*Compilado[[#This Row],[USD]],0)</f>
        <v>537908.43266406597</v>
      </c>
      <c r="G866" s="150">
        <v>46023</v>
      </c>
    </row>
    <row r="867" spans="1:7">
      <c r="A867" t="s">
        <v>350</v>
      </c>
      <c r="B867" t="s">
        <v>97</v>
      </c>
      <c r="C867" s="2">
        <v>440.77143992637218</v>
      </c>
      <c r="D867" t="s">
        <v>12</v>
      </c>
      <c r="E867" t="str">
        <f>+INDEX(Check!$B$5:$B$33,MATCH(Compilado[[#This Row],[Items]],Check!$C$5:$C$33,0))</f>
        <v>COSECHA</v>
      </c>
      <c r="F867" s="69">
        <f>+IFERROR(INDEX(Tabla2[TC],MATCH(Compilado[[#This Row],[Mes]],Tabla2[Mes],0))*Compilado[[#This Row],[USD]],0)</f>
        <v>543287.51699070656</v>
      </c>
      <c r="G867" s="150">
        <v>46054</v>
      </c>
    </row>
    <row r="868" spans="1:7">
      <c r="A868" t="s">
        <v>350</v>
      </c>
      <c r="B868" t="s">
        <v>98</v>
      </c>
      <c r="C868" s="2">
        <v>440.77143992637207</v>
      </c>
      <c r="D868" t="s">
        <v>12</v>
      </c>
      <c r="E868" t="str">
        <f>+INDEX(Check!$B$5:$B$33,MATCH(Compilado[[#This Row],[Items]],Check!$C$5:$C$33,0))</f>
        <v>COSECHA</v>
      </c>
      <c r="F868" s="69">
        <f>+IFERROR(INDEX(Tabla2[TC],MATCH(Compilado[[#This Row],[Mes]],Tabla2[Mes],0))*Compilado[[#This Row],[USD]],0)</f>
        <v>548720.39216061344</v>
      </c>
      <c r="G868" s="150">
        <v>46082</v>
      </c>
    </row>
    <row r="869" spans="1:7">
      <c r="A869" t="s">
        <v>350</v>
      </c>
      <c r="B869" t="s">
        <v>99</v>
      </c>
      <c r="C869" s="2">
        <v>0</v>
      </c>
      <c r="D869" t="s">
        <v>12</v>
      </c>
      <c r="E869" t="str">
        <f>+INDEX(Check!$B$5:$B$33,MATCH(Compilado[[#This Row],[Items]],Check!$C$5:$C$33,0))</f>
        <v>COSECHA</v>
      </c>
      <c r="F869" s="69">
        <f>+IFERROR(INDEX(Tabla2[TC],MATCH(Compilado[[#This Row],[Mes]],Tabla2[Mes],0))*Compilado[[#This Row],[USD]],0)</f>
        <v>0</v>
      </c>
      <c r="G869" s="150">
        <v>46113</v>
      </c>
    </row>
    <row r="870" spans="1:7">
      <c r="A870" t="s">
        <v>349</v>
      </c>
      <c r="B870" t="s">
        <v>96</v>
      </c>
      <c r="C870" s="2">
        <v>1500</v>
      </c>
      <c r="D870" t="s">
        <v>12</v>
      </c>
      <c r="E870" t="str">
        <f>+INDEX(Check!$B$5:$B$33,MATCH(Compilado[[#This Row],[Items]],Check!$C$5:$C$33,0))</f>
        <v>COSECHA</v>
      </c>
      <c r="F870" s="69">
        <f>+IFERROR(INDEX(Tabla2[TC],MATCH(Compilado[[#This Row],[Mes]],Tabla2[Mes],0))*Compilado[[#This Row],[USD]],0)</f>
        <v>1830569.2608642695</v>
      </c>
      <c r="G870" s="150">
        <v>46023</v>
      </c>
    </row>
    <row r="871" spans="1:7">
      <c r="A871" t="s">
        <v>349</v>
      </c>
      <c r="B871" t="s">
        <v>97</v>
      </c>
      <c r="C871" s="2">
        <v>750</v>
      </c>
      <c r="D871" t="s">
        <v>12</v>
      </c>
      <c r="E871" t="str">
        <f>+INDEX(Check!$B$5:$B$33,MATCH(Compilado[[#This Row],[Items]],Check!$C$5:$C$33,0))</f>
        <v>COSECHA</v>
      </c>
      <c r="F871" s="69">
        <f>+IFERROR(INDEX(Tabla2[TC],MATCH(Compilado[[#This Row],[Mes]],Tabla2[Mes],0))*Compilado[[#This Row],[USD]],0)</f>
        <v>924437.47673645604</v>
      </c>
      <c r="G871" s="150">
        <v>46054</v>
      </c>
    </row>
    <row r="872" spans="1:7">
      <c r="A872" t="s">
        <v>349</v>
      </c>
      <c r="B872" t="s">
        <v>98</v>
      </c>
      <c r="C872" s="2">
        <v>750</v>
      </c>
      <c r="D872" t="s">
        <v>12</v>
      </c>
      <c r="E872" t="str">
        <f>+INDEX(Check!$B$5:$B$33,MATCH(Compilado[[#This Row],[Items]],Check!$C$5:$C$33,0))</f>
        <v>COSECHA</v>
      </c>
      <c r="F872" s="69">
        <f>+IFERROR(INDEX(Tabla2[TC],MATCH(Compilado[[#This Row],[Mes]],Tabla2[Mes],0))*Compilado[[#This Row],[USD]],0)</f>
        <v>933681.85150382051</v>
      </c>
      <c r="G872" s="150">
        <v>46082</v>
      </c>
    </row>
    <row r="873" spans="1:7">
      <c r="A873" t="s">
        <v>349</v>
      </c>
      <c r="B873" t="s">
        <v>99</v>
      </c>
      <c r="C873" s="2">
        <v>0</v>
      </c>
      <c r="D873" t="s">
        <v>12</v>
      </c>
      <c r="E873" t="str">
        <f>+INDEX(Check!$B$5:$B$33,MATCH(Compilado[[#This Row],[Items]],Check!$C$5:$C$33,0))</f>
        <v>COSECHA</v>
      </c>
      <c r="F873" s="69">
        <f>+IFERROR(INDEX(Tabla2[TC],MATCH(Compilado[[#This Row],[Mes]],Tabla2[Mes],0))*Compilado[[#This Row],[USD]],0)</f>
        <v>0</v>
      </c>
      <c r="G873" s="150">
        <v>46113</v>
      </c>
    </row>
    <row r="874" spans="1:7">
      <c r="A874" t="s">
        <v>351</v>
      </c>
      <c r="B874" t="s">
        <v>96</v>
      </c>
      <c r="C874" s="2">
        <v>719.99460942424571</v>
      </c>
      <c r="D874" t="s">
        <v>12</v>
      </c>
      <c r="E874" t="str">
        <f>+INDEX(Check!$B$5:$B$33,MATCH(Compilado[[#This Row],[Items]],Check!$C$5:$C$33,0))</f>
        <v>COSECHA</v>
      </c>
      <c r="F874" s="69">
        <f>+IFERROR(INDEX(Tabla2[TC],MATCH(Compilado[[#This Row],[Mes]],Tabla2[Mes],0))*Compilado[[#This Row],[USD]],0)</f>
        <v>878666.66666666663</v>
      </c>
      <c r="G874" s="150">
        <v>46023</v>
      </c>
    </row>
    <row r="875" spans="1:7">
      <c r="A875" t="s">
        <v>351</v>
      </c>
      <c r="B875" t="s">
        <v>97</v>
      </c>
      <c r="C875" s="2">
        <v>712.86594992499579</v>
      </c>
      <c r="D875" t="s">
        <v>12</v>
      </c>
      <c r="E875" t="str">
        <f>+INDEX(Check!$B$5:$B$33,MATCH(Compilado[[#This Row],[Items]],Check!$C$5:$C$33,0))</f>
        <v>COSECHA</v>
      </c>
      <c r="F875" s="69">
        <f>+IFERROR(INDEX(Tabla2[TC],MATCH(Compilado[[#This Row],[Mes]],Tabla2[Mes],0))*Compilado[[#This Row],[USD]],0)</f>
        <v>878666.66666666663</v>
      </c>
      <c r="G875" s="150">
        <v>46054</v>
      </c>
    </row>
    <row r="876" spans="1:7">
      <c r="A876" t="s">
        <v>351</v>
      </c>
      <c r="B876" t="s">
        <v>98</v>
      </c>
      <c r="C876" s="2">
        <v>705.80787121286721</v>
      </c>
      <c r="D876" t="s">
        <v>12</v>
      </c>
      <c r="E876" t="str">
        <f>+INDEX(Check!$B$5:$B$33,MATCH(Compilado[[#This Row],[Items]],Check!$C$5:$C$33,0))</f>
        <v>COSECHA</v>
      </c>
      <c r="F876" s="69">
        <f>+IFERROR(INDEX(Tabla2[TC],MATCH(Compilado[[#This Row],[Mes]],Tabla2[Mes],0))*Compilado[[#This Row],[USD]],0)</f>
        <v>878666.66666666663</v>
      </c>
      <c r="G876" s="150">
        <v>46082</v>
      </c>
    </row>
    <row r="877" spans="1:7">
      <c r="A877" t="s">
        <v>351</v>
      </c>
      <c r="B877" t="s">
        <v>99</v>
      </c>
      <c r="C877" s="2">
        <v>0</v>
      </c>
      <c r="D877" t="s">
        <v>12</v>
      </c>
      <c r="E877" t="str">
        <f>+INDEX(Check!$B$5:$B$33,MATCH(Compilado[[#This Row],[Items]],Check!$C$5:$C$33,0))</f>
        <v>COSECHA</v>
      </c>
      <c r="F877" s="69">
        <f>+IFERROR(INDEX(Tabla2[TC],MATCH(Compilado[[#This Row],[Mes]],Tabla2[Mes],0))*Compilado[[#This Row],[USD]],0)</f>
        <v>0</v>
      </c>
      <c r="G877" s="150">
        <v>46113</v>
      </c>
    </row>
    <row r="878" spans="1:7">
      <c r="A878" t="s">
        <v>131</v>
      </c>
      <c r="B878" t="s">
        <v>96</v>
      </c>
      <c r="C878" s="2">
        <v>2762.3631479938786</v>
      </c>
      <c r="D878" t="s">
        <v>4</v>
      </c>
      <c r="E878" t="str">
        <f>+INDEX(Check!$B$5:$B$33,MATCH(Compilado[[#This Row],[Items]],Check!$C$5:$C$33,0))</f>
        <v>COSECHA</v>
      </c>
      <c r="F878" s="69">
        <f>+IFERROR(INDEX(Tabla2[TC],MATCH(Compilado[[#This Row],[Mes]],Tabla2[Mes],0))*Compilado[[#This Row],[USD]],0)</f>
        <v>3371131.3773745671</v>
      </c>
      <c r="G878" s="150">
        <v>46023</v>
      </c>
    </row>
    <row r="879" spans="1:7">
      <c r="A879" t="s">
        <v>131</v>
      </c>
      <c r="B879" t="s">
        <v>97</v>
      </c>
      <c r="C879" s="2">
        <v>13059.423615311873</v>
      </c>
      <c r="D879" t="s">
        <v>4</v>
      </c>
      <c r="E879" t="str">
        <f>+INDEX(Check!$B$5:$B$33,MATCH(Compilado[[#This Row],[Items]],Check!$C$5:$C$33,0))</f>
        <v>COSECHA</v>
      </c>
      <c r="F879" s="69">
        <f>+IFERROR(INDEX(Tabla2[TC],MATCH(Compilado[[#This Row],[Mes]],Tabla2[Mes],0))*Compilado[[#This Row],[USD]],0)</f>
        <v>16096827.486095192</v>
      </c>
      <c r="G879" s="150">
        <v>46054</v>
      </c>
    </row>
    <row r="880" spans="1:7">
      <c r="A880" t="s">
        <v>131</v>
      </c>
      <c r="B880" t="s">
        <v>98</v>
      </c>
      <c r="C880" s="2">
        <v>5443.3135017013419</v>
      </c>
      <c r="D880" t="s">
        <v>4</v>
      </c>
      <c r="E880" t="str">
        <f>+INDEX(Check!$B$5:$B$33,MATCH(Compilado[[#This Row],[Items]],Check!$C$5:$C$33,0))</f>
        <v>COSECHA</v>
      </c>
      <c r="F880" s="69">
        <f>+IFERROR(INDEX(Tabla2[TC],MATCH(Compilado[[#This Row],[Mes]],Tabla2[Mes],0))*Compilado[[#This Row],[USD]],0)</f>
        <v>6776430.7047790047</v>
      </c>
      <c r="G880" s="150">
        <v>46082</v>
      </c>
    </row>
    <row r="881" spans="1:7">
      <c r="A881" t="s">
        <v>131</v>
      </c>
      <c r="B881" t="s">
        <v>99</v>
      </c>
      <c r="C881" s="2">
        <v>0</v>
      </c>
      <c r="D881" t="s">
        <v>4</v>
      </c>
      <c r="E881" t="str">
        <f>+INDEX(Check!$B$5:$B$33,MATCH(Compilado[[#This Row],[Items]],Check!$C$5:$C$33,0))</f>
        <v>COSECHA</v>
      </c>
      <c r="F881" s="69">
        <f>+IFERROR(INDEX(Tabla2[TC],MATCH(Compilado[[#This Row],[Mes]],Tabla2[Mes],0))*Compilado[[#This Row],[USD]],0)</f>
        <v>0</v>
      </c>
      <c r="G881" s="150">
        <v>46113</v>
      </c>
    </row>
    <row r="882" spans="1:7">
      <c r="A882" t="s">
        <v>350</v>
      </c>
      <c r="B882" t="s">
        <v>96</v>
      </c>
      <c r="C882" s="2">
        <v>196.82180851063833</v>
      </c>
      <c r="D882" t="s">
        <v>4</v>
      </c>
      <c r="E882" t="str">
        <f>+INDEX(Check!$B$5:$B$33,MATCH(Compilado[[#This Row],[Items]],Check!$C$5:$C$33,0))</f>
        <v>COSECHA</v>
      </c>
      <c r="F882" s="69">
        <f>+IFERROR(INDEX(Tabla2[TC],MATCH(Compilado[[#This Row],[Mes]],Tabla2[Mes],0))*Compilado[[#This Row],[USD]],0)</f>
        <v>240197.30168485866</v>
      </c>
      <c r="G882" s="150">
        <v>46023</v>
      </c>
    </row>
    <row r="883" spans="1:7">
      <c r="A883" t="s">
        <v>350</v>
      </c>
      <c r="B883" t="s">
        <v>97</v>
      </c>
      <c r="C883" s="2">
        <v>196.82180851063833</v>
      </c>
      <c r="D883" t="s">
        <v>4</v>
      </c>
      <c r="E883" t="str">
        <f>+INDEX(Check!$B$5:$B$33,MATCH(Compilado[[#This Row],[Items]],Check!$C$5:$C$33,0))</f>
        <v>COSECHA</v>
      </c>
      <c r="F883" s="69">
        <f>+IFERROR(INDEX(Tabla2[TC],MATCH(Compilado[[#This Row],[Mes]],Tabla2[Mes],0))*Compilado[[#This Row],[USD]],0)</f>
        <v>242599.27470170724</v>
      </c>
      <c r="G883" s="150">
        <v>46054</v>
      </c>
    </row>
    <row r="884" spans="1:7">
      <c r="A884" t="s">
        <v>350</v>
      </c>
      <c r="B884" t="s">
        <v>98</v>
      </c>
      <c r="C884" s="2">
        <v>196.82180851063828</v>
      </c>
      <c r="D884" t="s">
        <v>4</v>
      </c>
      <c r="E884" t="str">
        <f>+INDEX(Check!$B$5:$B$33,MATCH(Compilado[[#This Row],[Items]],Check!$C$5:$C$33,0))</f>
        <v>COSECHA</v>
      </c>
      <c r="F884" s="69">
        <f>+IFERROR(INDEX(Tabla2[TC],MATCH(Compilado[[#This Row],[Mes]],Tabla2[Mes],0))*Compilado[[#This Row],[USD]],0)</f>
        <v>245025.26744872422</v>
      </c>
      <c r="G884" s="150">
        <v>46082</v>
      </c>
    </row>
    <row r="885" spans="1:7">
      <c r="A885" t="s">
        <v>350</v>
      </c>
      <c r="B885" t="s">
        <v>99</v>
      </c>
      <c r="C885" s="2">
        <v>0</v>
      </c>
      <c r="D885" t="s">
        <v>4</v>
      </c>
      <c r="E885" t="str">
        <f>+INDEX(Check!$B$5:$B$33,MATCH(Compilado[[#This Row],[Items]],Check!$C$5:$C$33,0))</f>
        <v>COSECHA</v>
      </c>
      <c r="F885" s="69">
        <f>+IFERROR(INDEX(Tabla2[TC],MATCH(Compilado[[#This Row],[Mes]],Tabla2[Mes],0))*Compilado[[#This Row],[USD]],0)</f>
        <v>0</v>
      </c>
      <c r="G885" s="150">
        <v>46113</v>
      </c>
    </row>
    <row r="886" spans="1:7">
      <c r="A886" t="s">
        <v>349</v>
      </c>
      <c r="B886" t="s">
        <v>96</v>
      </c>
      <c r="C886" s="2">
        <v>300</v>
      </c>
      <c r="D886" t="s">
        <v>4</v>
      </c>
      <c r="E886" t="str">
        <f>+INDEX(Check!$B$5:$B$33,MATCH(Compilado[[#This Row],[Items]],Check!$C$5:$C$33,0))</f>
        <v>COSECHA</v>
      </c>
      <c r="F886" s="69">
        <f>+IFERROR(INDEX(Tabla2[TC],MATCH(Compilado[[#This Row],[Mes]],Tabla2[Mes],0))*Compilado[[#This Row],[USD]],0)</f>
        <v>366113.85217285389</v>
      </c>
      <c r="G886" s="150">
        <v>46023</v>
      </c>
    </row>
    <row r="887" spans="1:7">
      <c r="A887" t="s">
        <v>349</v>
      </c>
      <c r="B887" t="s">
        <v>97</v>
      </c>
      <c r="C887" s="2">
        <v>600</v>
      </c>
      <c r="D887" t="s">
        <v>4</v>
      </c>
      <c r="E887" t="str">
        <f>+INDEX(Check!$B$5:$B$33,MATCH(Compilado[[#This Row],[Items]],Check!$C$5:$C$33,0))</f>
        <v>COSECHA</v>
      </c>
      <c r="F887" s="69">
        <f>+IFERROR(INDEX(Tabla2[TC],MATCH(Compilado[[#This Row],[Mes]],Tabla2[Mes],0))*Compilado[[#This Row],[USD]],0)</f>
        <v>739549.98138916481</v>
      </c>
      <c r="G887" s="150">
        <v>46054</v>
      </c>
    </row>
    <row r="888" spans="1:7">
      <c r="A888" t="s">
        <v>349</v>
      </c>
      <c r="B888" t="s">
        <v>98</v>
      </c>
      <c r="C888" s="2">
        <v>600</v>
      </c>
      <c r="D888" t="s">
        <v>4</v>
      </c>
      <c r="E888" t="str">
        <f>+INDEX(Check!$B$5:$B$33,MATCH(Compilado[[#This Row],[Items]],Check!$C$5:$C$33,0))</f>
        <v>COSECHA</v>
      </c>
      <c r="F888" s="69">
        <f>+IFERROR(INDEX(Tabla2[TC],MATCH(Compilado[[#This Row],[Mes]],Tabla2[Mes],0))*Compilado[[#This Row],[USD]],0)</f>
        <v>746945.48120305641</v>
      </c>
      <c r="G888" s="150">
        <v>46082</v>
      </c>
    </row>
    <row r="889" spans="1:7">
      <c r="A889" t="s">
        <v>349</v>
      </c>
      <c r="B889" t="s">
        <v>99</v>
      </c>
      <c r="C889" s="2">
        <v>0</v>
      </c>
      <c r="D889" t="s">
        <v>4</v>
      </c>
      <c r="E889" t="str">
        <f>+INDEX(Check!$B$5:$B$33,MATCH(Compilado[[#This Row],[Items]],Check!$C$5:$C$33,0))</f>
        <v>COSECHA</v>
      </c>
      <c r="F889" s="69">
        <f>+IFERROR(INDEX(Tabla2[TC],MATCH(Compilado[[#This Row],[Mes]],Tabla2[Mes],0))*Compilado[[#This Row],[USD]],0)</f>
        <v>0</v>
      </c>
      <c r="G889" s="150">
        <v>46113</v>
      </c>
    </row>
    <row r="890" spans="1:7">
      <c r="A890" t="s">
        <v>351</v>
      </c>
      <c r="B890" t="s">
        <v>96</v>
      </c>
      <c r="C890" s="2">
        <v>3104.8513302034426</v>
      </c>
      <c r="D890" t="s">
        <v>4</v>
      </c>
      <c r="E890" t="str">
        <f>+INDEX(Check!$B$5:$B$33,MATCH(Compilado[[#This Row],[Items]],Check!$C$5:$C$33,0))</f>
        <v>COSECHA</v>
      </c>
      <c r="F890" s="69">
        <f>+IFERROR(INDEX(Tabla2[TC],MATCH(Compilado[[#This Row],[Mes]],Tabla2[Mes],0))*Compilado[[#This Row],[USD]],0)</f>
        <v>3789096.9364159731</v>
      </c>
      <c r="G890" s="150">
        <v>46023</v>
      </c>
    </row>
    <row r="891" spans="1:7">
      <c r="A891" t="s">
        <v>351</v>
      </c>
      <c r="B891" t="s">
        <v>97</v>
      </c>
      <c r="C891" s="2">
        <v>3104.8513302034426</v>
      </c>
      <c r="D891" t="s">
        <v>4</v>
      </c>
      <c r="E891" t="str">
        <f>+INDEX(Check!$B$5:$B$33,MATCH(Compilado[[#This Row],[Items]],Check!$C$5:$C$33,0))</f>
        <v>COSECHA</v>
      </c>
      <c r="F891" s="69">
        <f>+IFERROR(INDEX(Tabla2[TC],MATCH(Compilado[[#This Row],[Mes]],Tabla2[Mes],0))*Compilado[[#This Row],[USD]],0)</f>
        <v>3826987.9057801329</v>
      </c>
      <c r="G891" s="150">
        <v>46054</v>
      </c>
    </row>
    <row r="892" spans="1:7">
      <c r="A892" t="s">
        <v>351</v>
      </c>
      <c r="B892" t="s">
        <v>98</v>
      </c>
      <c r="C892" s="2">
        <v>2992.4585218702864</v>
      </c>
      <c r="D892" t="s">
        <v>4</v>
      </c>
      <c r="E892" t="str">
        <f>+INDEX(Check!$B$5:$B$33,MATCH(Compilado[[#This Row],[Items]],Check!$C$5:$C$33,0))</f>
        <v>COSECHA</v>
      </c>
      <c r="F892" s="69">
        <f>+IFERROR(INDEX(Tabla2[TC],MATCH(Compilado[[#This Row],[Mes]],Tabla2[Mes],0))*Compilado[[#This Row],[USD]],0)</f>
        <v>3725338.9509976469</v>
      </c>
      <c r="G892" s="150">
        <v>46082</v>
      </c>
    </row>
    <row r="893" spans="1:7">
      <c r="A893" t="s">
        <v>351</v>
      </c>
      <c r="B893" t="s">
        <v>99</v>
      </c>
      <c r="C893" s="2">
        <v>0</v>
      </c>
      <c r="D893" t="s">
        <v>4</v>
      </c>
      <c r="E893" t="str">
        <f>+INDEX(Check!$B$5:$B$33,MATCH(Compilado[[#This Row],[Items]],Check!$C$5:$C$33,0))</f>
        <v>COSECHA</v>
      </c>
      <c r="F893" s="69">
        <f>+IFERROR(INDEX(Tabla2[TC],MATCH(Compilado[[#This Row],[Mes]],Tabla2[Mes],0))*Compilado[[#This Row],[USD]],0)</f>
        <v>0</v>
      </c>
      <c r="G893" s="150">
        <v>46113</v>
      </c>
    </row>
    <row r="894" spans="1:7">
      <c r="A894" t="s">
        <v>131</v>
      </c>
      <c r="B894" t="s">
        <v>96</v>
      </c>
      <c r="C894" s="2">
        <v>0</v>
      </c>
      <c r="D894" t="s">
        <v>373</v>
      </c>
      <c r="E894" t="str">
        <f>+INDEX(Check!$B$5:$B$33,MATCH(Compilado[[#This Row],[Items]],Check!$C$5:$C$33,0))</f>
        <v>COSECHA</v>
      </c>
      <c r="F894" s="69">
        <f>+IFERROR(INDEX(Tabla2[TC],MATCH(Compilado[[#This Row],[Mes]],Tabla2[Mes],0))*Compilado[[#This Row],[USD]],0)</f>
        <v>0</v>
      </c>
      <c r="G894" s="150">
        <v>46023</v>
      </c>
    </row>
    <row r="895" spans="1:7">
      <c r="A895" t="s">
        <v>131</v>
      </c>
      <c r="B895" t="s">
        <v>97</v>
      </c>
      <c r="C895" s="2">
        <v>34680.599474924609</v>
      </c>
      <c r="D895" t="s">
        <v>373</v>
      </c>
      <c r="E895" t="str">
        <f>+INDEX(Check!$B$5:$B$33,MATCH(Compilado[[#This Row],[Items]],Check!$C$5:$C$33,0))</f>
        <v>COSECHA</v>
      </c>
      <c r="F895" s="69">
        <f>+IFERROR(INDEX(Tabla2[TC],MATCH(Compilado[[#This Row],[Mes]],Tabla2[Mes],0))*Compilado[[#This Row],[USD]],0)</f>
        <v>42746727.827075958</v>
      </c>
      <c r="G895" s="150">
        <v>46054</v>
      </c>
    </row>
    <row r="896" spans="1:7">
      <c r="A896" t="s">
        <v>131</v>
      </c>
      <c r="B896" t="s">
        <v>98</v>
      </c>
      <c r="C896" s="2">
        <v>27783.560016674248</v>
      </c>
      <c r="D896" t="s">
        <v>373</v>
      </c>
      <c r="E896" t="str">
        <f>+INDEX(Check!$B$5:$B$33,MATCH(Compilado[[#This Row],[Items]],Check!$C$5:$C$33,0))</f>
        <v>COSECHA</v>
      </c>
      <c r="F896" s="69">
        <f>+IFERROR(INDEX(Tabla2[TC],MATCH(Compilado[[#This Row],[Mes]],Tabla2[Mes],0))*Compilado[[#This Row],[USD]],0)</f>
        <v>34588007.676981241</v>
      </c>
      <c r="G896" s="150">
        <v>46082</v>
      </c>
    </row>
    <row r="897" spans="1:7">
      <c r="A897" t="s">
        <v>131</v>
      </c>
      <c r="B897" t="s">
        <v>99</v>
      </c>
      <c r="C897" s="2">
        <v>0</v>
      </c>
      <c r="D897" t="s">
        <v>373</v>
      </c>
      <c r="E897" t="str">
        <f>+INDEX(Check!$B$5:$B$33,MATCH(Compilado[[#This Row],[Items]],Check!$C$5:$C$33,0))</f>
        <v>COSECHA</v>
      </c>
      <c r="F897" s="69">
        <f>+IFERROR(INDEX(Tabla2[TC],MATCH(Compilado[[#This Row],[Mes]],Tabla2[Mes],0))*Compilado[[#This Row],[USD]],0)</f>
        <v>0</v>
      </c>
      <c r="G897" s="150">
        <v>46113</v>
      </c>
    </row>
    <row r="898" spans="1:7">
      <c r="A898" t="s">
        <v>350</v>
      </c>
      <c r="B898" t="s">
        <v>96</v>
      </c>
      <c r="C898" s="2">
        <v>337.12014198498849</v>
      </c>
      <c r="D898" t="s">
        <v>373</v>
      </c>
      <c r="E898" t="str">
        <f>+INDEX(Check!$B$5:$B$33,MATCH(Compilado[[#This Row],[Items]],Check!$C$5:$C$33,0))</f>
        <v>COSECHA</v>
      </c>
      <c r="F898" s="69">
        <f>+IFERROR(INDEX(Tabla2[TC],MATCH(Compilado[[#This Row],[Mes]],Tabla2[Mes],0))*Compilado[[#This Row],[USD]],0)</f>
        <v>411414.51275727863</v>
      </c>
      <c r="G898" s="150">
        <v>46023</v>
      </c>
    </row>
    <row r="899" spans="1:7">
      <c r="A899" t="s">
        <v>350</v>
      </c>
      <c r="B899" t="s">
        <v>97</v>
      </c>
      <c r="C899" s="2">
        <v>337.117336396913</v>
      </c>
      <c r="D899" t="s">
        <v>373</v>
      </c>
      <c r="E899" t="str">
        <f>+INDEX(Check!$B$5:$B$33,MATCH(Compilado[[#This Row],[Items]],Check!$C$5:$C$33,0))</f>
        <v>COSECHA</v>
      </c>
      <c r="F899" s="69">
        <f>+IFERROR(INDEX(Tabla2[TC],MATCH(Compilado[[#This Row],[Mes]],Tabla2[Mes],0))*Compilado[[#This Row],[USD]],0)</f>
        <v>415525.1997638364</v>
      </c>
      <c r="G899" s="150">
        <v>46054</v>
      </c>
    </row>
    <row r="900" spans="1:7">
      <c r="A900" t="s">
        <v>350</v>
      </c>
      <c r="B900" t="s">
        <v>98</v>
      </c>
      <c r="C900" s="2">
        <v>337.11455858693728</v>
      </c>
      <c r="D900" t="s">
        <v>373</v>
      </c>
      <c r="E900" t="str">
        <f>+INDEX(Check!$B$5:$B$33,MATCH(Compilado[[#This Row],[Items]],Check!$C$5:$C$33,0))</f>
        <v>COSECHA</v>
      </c>
      <c r="F900" s="69">
        <f>+IFERROR(INDEX(Tabla2[TC],MATCH(Compilado[[#This Row],[Mes]],Tabla2[Mes],0))*Compilado[[#This Row],[USD]],0)</f>
        <v>419676.99364045972</v>
      </c>
      <c r="G900" s="150">
        <v>46082</v>
      </c>
    </row>
    <row r="901" spans="1:7">
      <c r="A901" t="s">
        <v>350</v>
      </c>
      <c r="B901" t="s">
        <v>99</v>
      </c>
      <c r="C901" s="2">
        <v>0</v>
      </c>
      <c r="D901" t="s">
        <v>373</v>
      </c>
      <c r="E901" t="str">
        <f>+INDEX(Check!$B$5:$B$33,MATCH(Compilado[[#This Row],[Items]],Check!$C$5:$C$33,0))</f>
        <v>COSECHA</v>
      </c>
      <c r="F901" s="69">
        <f>+IFERROR(INDEX(Tabla2[TC],MATCH(Compilado[[#This Row],[Mes]],Tabla2[Mes],0))*Compilado[[#This Row],[USD]],0)</f>
        <v>0</v>
      </c>
      <c r="G901" s="150">
        <v>46113</v>
      </c>
    </row>
    <row r="902" spans="1:7">
      <c r="A902" t="s">
        <v>349</v>
      </c>
      <c r="B902" t="s">
        <v>96</v>
      </c>
      <c r="C902" s="2">
        <v>0</v>
      </c>
      <c r="D902" t="s">
        <v>373</v>
      </c>
      <c r="E902" t="str">
        <f>+INDEX(Check!$B$5:$B$33,MATCH(Compilado[[#This Row],[Items]],Check!$C$5:$C$33,0))</f>
        <v>COSECHA</v>
      </c>
      <c r="F902" s="69">
        <f>+IFERROR(INDEX(Tabla2[TC],MATCH(Compilado[[#This Row],[Mes]],Tabla2[Mes],0))*Compilado[[#This Row],[USD]],0)</f>
        <v>0</v>
      </c>
      <c r="G902" s="150">
        <v>46023</v>
      </c>
    </row>
    <row r="903" spans="1:7">
      <c r="A903" t="s">
        <v>349</v>
      </c>
      <c r="B903" t="s">
        <v>97</v>
      </c>
      <c r="C903" s="2">
        <v>0</v>
      </c>
      <c r="D903" t="s">
        <v>373</v>
      </c>
      <c r="E903" t="str">
        <f>+INDEX(Check!$B$5:$B$33,MATCH(Compilado[[#This Row],[Items]],Check!$C$5:$C$33,0))</f>
        <v>COSECHA</v>
      </c>
      <c r="F903" s="69">
        <f>+IFERROR(INDEX(Tabla2[TC],MATCH(Compilado[[#This Row],[Mes]],Tabla2[Mes],0))*Compilado[[#This Row],[USD]],0)</f>
        <v>0</v>
      </c>
      <c r="G903" s="150">
        <v>46054</v>
      </c>
    </row>
    <row r="904" spans="1:7">
      <c r="A904" t="s">
        <v>349</v>
      </c>
      <c r="B904" t="s">
        <v>98</v>
      </c>
      <c r="C904" s="2">
        <v>0</v>
      </c>
      <c r="D904" t="s">
        <v>373</v>
      </c>
      <c r="E904" t="str">
        <f>+INDEX(Check!$B$5:$B$33,MATCH(Compilado[[#This Row],[Items]],Check!$C$5:$C$33,0))</f>
        <v>COSECHA</v>
      </c>
      <c r="F904" s="69">
        <f>+IFERROR(INDEX(Tabla2[TC],MATCH(Compilado[[#This Row],[Mes]],Tabla2[Mes],0))*Compilado[[#This Row],[USD]],0)</f>
        <v>0</v>
      </c>
      <c r="G904" s="150">
        <v>46082</v>
      </c>
    </row>
    <row r="905" spans="1:7">
      <c r="A905" t="s">
        <v>349</v>
      </c>
      <c r="B905" t="s">
        <v>99</v>
      </c>
      <c r="C905" s="2">
        <v>0</v>
      </c>
      <c r="D905" t="s">
        <v>373</v>
      </c>
      <c r="E905" t="str">
        <f>+INDEX(Check!$B$5:$B$33,MATCH(Compilado[[#This Row],[Items]],Check!$C$5:$C$33,0))</f>
        <v>COSECHA</v>
      </c>
      <c r="F905" s="69">
        <f>+IFERROR(INDEX(Tabla2[TC],MATCH(Compilado[[#This Row],[Mes]],Tabla2[Mes],0))*Compilado[[#This Row],[USD]],0)</f>
        <v>0</v>
      </c>
      <c r="G905" s="150">
        <v>46113</v>
      </c>
    </row>
    <row r="906" spans="1:7">
      <c r="A906" t="s">
        <v>351</v>
      </c>
      <c r="B906" t="s">
        <v>96</v>
      </c>
      <c r="C906" s="2">
        <v>0</v>
      </c>
      <c r="D906" t="s">
        <v>373</v>
      </c>
      <c r="E906" t="str">
        <f>+INDEX(Check!$B$5:$B$33,MATCH(Compilado[[#This Row],[Items]],Check!$C$5:$C$33,0))</f>
        <v>COSECHA</v>
      </c>
      <c r="F906" s="69">
        <f>+IFERROR(INDEX(Tabla2[TC],MATCH(Compilado[[#This Row],[Mes]],Tabla2[Mes],0))*Compilado[[#This Row],[USD]],0)</f>
        <v>0</v>
      </c>
      <c r="G906" s="150">
        <v>46023</v>
      </c>
    </row>
    <row r="907" spans="1:7">
      <c r="A907" t="s">
        <v>351</v>
      </c>
      <c r="B907" t="s">
        <v>97</v>
      </c>
      <c r="C907" s="2">
        <v>0</v>
      </c>
      <c r="D907" t="s">
        <v>373</v>
      </c>
      <c r="E907" t="str">
        <f>+INDEX(Check!$B$5:$B$33,MATCH(Compilado[[#This Row],[Items]],Check!$C$5:$C$33,0))</f>
        <v>COSECHA</v>
      </c>
      <c r="F907" s="69">
        <f>+IFERROR(INDEX(Tabla2[TC],MATCH(Compilado[[#This Row],[Mes]],Tabla2[Mes],0))*Compilado[[#This Row],[USD]],0)</f>
        <v>0</v>
      </c>
      <c r="G907" s="150">
        <v>46054</v>
      </c>
    </row>
    <row r="908" spans="1:7">
      <c r="A908" t="s">
        <v>351</v>
      </c>
      <c r="B908" t="s">
        <v>98</v>
      </c>
      <c r="C908" s="2">
        <v>0</v>
      </c>
      <c r="D908" t="s">
        <v>373</v>
      </c>
      <c r="E908" t="str">
        <f>+INDEX(Check!$B$5:$B$33,MATCH(Compilado[[#This Row],[Items]],Check!$C$5:$C$33,0))</f>
        <v>COSECHA</v>
      </c>
      <c r="F908" s="69">
        <f>+IFERROR(INDEX(Tabla2[TC],MATCH(Compilado[[#This Row],[Mes]],Tabla2[Mes],0))*Compilado[[#This Row],[USD]],0)</f>
        <v>0</v>
      </c>
      <c r="G908" s="150">
        <v>46082</v>
      </c>
    </row>
    <row r="909" spans="1:7">
      <c r="A909" t="s">
        <v>351</v>
      </c>
      <c r="B909" t="s">
        <v>99</v>
      </c>
      <c r="C909" s="2">
        <v>0</v>
      </c>
      <c r="D909" t="s">
        <v>373</v>
      </c>
      <c r="E909" t="str">
        <f>+INDEX(Check!$B$5:$B$33,MATCH(Compilado[[#This Row],[Items]],Check!$C$5:$C$33,0))</f>
        <v>COSECHA</v>
      </c>
      <c r="F909" s="69">
        <f>+IFERROR(INDEX(Tabla2[TC],MATCH(Compilado[[#This Row],[Mes]],Tabla2[Mes],0))*Compilado[[#This Row],[USD]],0)</f>
        <v>0</v>
      </c>
      <c r="G909" s="150">
        <v>46113</v>
      </c>
    </row>
    <row r="910" spans="1:7">
      <c r="A910" t="s">
        <v>131</v>
      </c>
      <c r="B910" t="s">
        <v>96</v>
      </c>
      <c r="C910" s="2">
        <v>26098.239928221843</v>
      </c>
      <c r="D910" t="s">
        <v>15</v>
      </c>
      <c r="E910" t="str">
        <f>+INDEX(Check!$B$5:$B$33,MATCH(Compilado[[#This Row],[Items]],Check!$C$5:$C$33,0))</f>
        <v>COSECHA</v>
      </c>
      <c r="F910" s="69">
        <f>+IFERROR(INDEX(Tabla2[TC],MATCH(Compilado[[#This Row],[Mes]],Tabla2[Mes],0))*Compilado[[#This Row],[USD]],0)</f>
        <v>31849757.183508951</v>
      </c>
      <c r="G910" s="150">
        <v>46023</v>
      </c>
    </row>
    <row r="911" spans="1:7">
      <c r="A911" t="s">
        <v>131</v>
      </c>
      <c r="B911" t="s">
        <v>97</v>
      </c>
      <c r="C911" s="2">
        <v>12165.500394556197</v>
      </c>
      <c r="D911" t="s">
        <v>15</v>
      </c>
      <c r="E911" t="str">
        <f>+INDEX(Check!$B$5:$B$33,MATCH(Compilado[[#This Row],[Items]],Check!$C$5:$C$33,0))</f>
        <v>COSECHA</v>
      </c>
      <c r="F911" s="69">
        <f>+IFERROR(INDEX(Tabla2[TC],MATCH(Compilado[[#This Row],[Mes]],Tabla2[Mes],0))*Compilado[[#This Row],[USD]],0)</f>
        <v>14994992.650639854</v>
      </c>
      <c r="G911" s="150">
        <v>46054</v>
      </c>
    </row>
    <row r="912" spans="1:7">
      <c r="A912" t="s">
        <v>131</v>
      </c>
      <c r="B912" t="s">
        <v>98</v>
      </c>
      <c r="C912" s="2">
        <v>0</v>
      </c>
      <c r="D912" t="s">
        <v>15</v>
      </c>
      <c r="E912" t="str">
        <f>+INDEX(Check!$B$5:$B$33,MATCH(Compilado[[#This Row],[Items]],Check!$C$5:$C$33,0))</f>
        <v>COSECHA</v>
      </c>
      <c r="F912" s="69">
        <f>+IFERROR(INDEX(Tabla2[TC],MATCH(Compilado[[#This Row],[Mes]],Tabla2[Mes],0))*Compilado[[#This Row],[USD]],0)</f>
        <v>0</v>
      </c>
      <c r="G912" s="150">
        <v>46082</v>
      </c>
    </row>
    <row r="913" spans="1:7">
      <c r="A913" t="s">
        <v>131</v>
      </c>
      <c r="B913" t="s">
        <v>99</v>
      </c>
      <c r="C913" s="2">
        <v>0</v>
      </c>
      <c r="D913" t="s">
        <v>15</v>
      </c>
      <c r="E913" t="str">
        <f>+INDEX(Check!$B$5:$B$33,MATCH(Compilado[[#This Row],[Items]],Check!$C$5:$C$33,0))</f>
        <v>COSECHA</v>
      </c>
      <c r="F913" s="69">
        <f>+IFERROR(INDEX(Tabla2[TC],MATCH(Compilado[[#This Row],[Mes]],Tabla2[Mes],0))*Compilado[[#This Row],[USD]],0)</f>
        <v>0</v>
      </c>
      <c r="G913" s="150">
        <v>46113</v>
      </c>
    </row>
    <row r="914" spans="1:7">
      <c r="A914" t="s">
        <v>350</v>
      </c>
      <c r="B914" t="s">
        <v>96</v>
      </c>
      <c r="C914" s="2">
        <v>332.10264404010172</v>
      </c>
      <c r="D914" t="s">
        <v>15</v>
      </c>
      <c r="E914" t="str">
        <f>+INDEX(Check!$B$5:$B$33,MATCH(Compilado[[#This Row],[Items]],Check!$C$5:$C$33,0))</f>
        <v>COSECHA</v>
      </c>
      <c r="F914" s="69">
        <f>+IFERROR(INDEX(Tabla2[TC],MATCH(Compilado[[#This Row],[Mes]],Tabla2[Mes],0))*Compilado[[#This Row],[USD]],0)</f>
        <v>405291.26108770573</v>
      </c>
      <c r="G914" s="150">
        <v>46023</v>
      </c>
    </row>
    <row r="915" spans="1:7">
      <c r="A915" t="s">
        <v>350</v>
      </c>
      <c r="B915" t="s">
        <v>97</v>
      </c>
      <c r="C915" s="2">
        <v>332.10264404010172</v>
      </c>
      <c r="D915" t="s">
        <v>15</v>
      </c>
      <c r="E915" t="str">
        <f>+INDEX(Check!$B$5:$B$33,MATCH(Compilado[[#This Row],[Items]],Check!$C$5:$C$33,0))</f>
        <v>COSECHA</v>
      </c>
      <c r="F915" s="69">
        <f>+IFERROR(INDEX(Tabla2[TC],MATCH(Compilado[[#This Row],[Mes]],Tabla2[Mes],0))*Compilado[[#This Row],[USD]],0)</f>
        <v>409344.1736985828</v>
      </c>
      <c r="G915" s="150">
        <v>46054</v>
      </c>
    </row>
    <row r="916" spans="1:7">
      <c r="A916" t="s">
        <v>350</v>
      </c>
      <c r="B916" t="s">
        <v>98</v>
      </c>
      <c r="C916" s="2">
        <v>332.10264404010172</v>
      </c>
      <c r="D916" t="s">
        <v>15</v>
      </c>
      <c r="E916" t="str">
        <f>+INDEX(Check!$B$5:$B$33,MATCH(Compilado[[#This Row],[Items]],Check!$C$5:$C$33,0))</f>
        <v>COSECHA</v>
      </c>
      <c r="F916" s="69">
        <f>+IFERROR(INDEX(Tabla2[TC],MATCH(Compilado[[#This Row],[Mes]],Tabla2[Mes],0))*Compilado[[#This Row],[USD]],0)</f>
        <v>413437.61543556856</v>
      </c>
      <c r="G916" s="150">
        <v>46082</v>
      </c>
    </row>
    <row r="917" spans="1:7">
      <c r="A917" t="s">
        <v>350</v>
      </c>
      <c r="B917" t="s">
        <v>99</v>
      </c>
      <c r="C917" s="2">
        <v>0</v>
      </c>
      <c r="D917" t="s">
        <v>15</v>
      </c>
      <c r="E917" t="str">
        <f>+INDEX(Check!$B$5:$B$33,MATCH(Compilado[[#This Row],[Items]],Check!$C$5:$C$33,0))</f>
        <v>COSECHA</v>
      </c>
      <c r="F917" s="69">
        <f>+IFERROR(INDEX(Tabla2[TC],MATCH(Compilado[[#This Row],[Mes]],Tabla2[Mes],0))*Compilado[[#This Row],[USD]],0)</f>
        <v>0</v>
      </c>
      <c r="G917" s="150">
        <v>46113</v>
      </c>
    </row>
    <row r="918" spans="1:7">
      <c r="A918" t="s">
        <v>349</v>
      </c>
      <c r="B918" t="s">
        <v>96</v>
      </c>
      <c r="C918" s="2">
        <v>0</v>
      </c>
      <c r="D918" t="s">
        <v>15</v>
      </c>
      <c r="E918" t="str">
        <f>+INDEX(Check!$B$5:$B$33,MATCH(Compilado[[#This Row],[Items]],Check!$C$5:$C$33,0))</f>
        <v>COSECHA</v>
      </c>
      <c r="F918" s="69">
        <f>+IFERROR(INDEX(Tabla2[TC],MATCH(Compilado[[#This Row],[Mes]],Tabla2[Mes],0))*Compilado[[#This Row],[USD]],0)</f>
        <v>0</v>
      </c>
      <c r="G918" s="150">
        <v>46023</v>
      </c>
    </row>
    <row r="919" spans="1:7">
      <c r="A919" t="s">
        <v>349</v>
      </c>
      <c r="B919" t="s">
        <v>97</v>
      </c>
      <c r="C919" s="2">
        <v>0</v>
      </c>
      <c r="D919" t="s">
        <v>15</v>
      </c>
      <c r="E919" t="str">
        <f>+INDEX(Check!$B$5:$B$33,MATCH(Compilado[[#This Row],[Items]],Check!$C$5:$C$33,0))</f>
        <v>COSECHA</v>
      </c>
      <c r="F919" s="69">
        <f>+IFERROR(INDEX(Tabla2[TC],MATCH(Compilado[[#This Row],[Mes]],Tabla2[Mes],0))*Compilado[[#This Row],[USD]],0)</f>
        <v>0</v>
      </c>
      <c r="G919" s="150">
        <v>46054</v>
      </c>
    </row>
    <row r="920" spans="1:7">
      <c r="A920" t="s">
        <v>349</v>
      </c>
      <c r="B920" t="s">
        <v>98</v>
      </c>
      <c r="C920" s="2">
        <v>0</v>
      </c>
      <c r="D920" t="s">
        <v>15</v>
      </c>
      <c r="E920" t="str">
        <f>+INDEX(Check!$B$5:$B$33,MATCH(Compilado[[#This Row],[Items]],Check!$C$5:$C$33,0))</f>
        <v>COSECHA</v>
      </c>
      <c r="F920" s="69">
        <f>+IFERROR(INDEX(Tabla2[TC],MATCH(Compilado[[#This Row],[Mes]],Tabla2[Mes],0))*Compilado[[#This Row],[USD]],0)</f>
        <v>0</v>
      </c>
      <c r="G920" s="150">
        <v>46082</v>
      </c>
    </row>
    <row r="921" spans="1:7">
      <c r="A921" t="s">
        <v>349</v>
      </c>
      <c r="B921" t="s">
        <v>99</v>
      </c>
      <c r="C921" s="2">
        <v>0</v>
      </c>
      <c r="D921" t="s">
        <v>15</v>
      </c>
      <c r="E921" t="str">
        <f>+INDEX(Check!$B$5:$B$33,MATCH(Compilado[[#This Row],[Items]],Check!$C$5:$C$33,0))</f>
        <v>COSECHA</v>
      </c>
      <c r="F921" s="69">
        <f>+IFERROR(INDEX(Tabla2[TC],MATCH(Compilado[[#This Row],[Mes]],Tabla2[Mes],0))*Compilado[[#This Row],[USD]],0)</f>
        <v>0</v>
      </c>
      <c r="G921" s="150">
        <v>46113</v>
      </c>
    </row>
    <row r="922" spans="1:7">
      <c r="A922" t="s">
        <v>351</v>
      </c>
      <c r="B922" t="s">
        <v>96</v>
      </c>
      <c r="C922" s="2">
        <v>0</v>
      </c>
      <c r="D922" t="s">
        <v>15</v>
      </c>
      <c r="E922" t="str">
        <f>+INDEX(Check!$B$5:$B$33,MATCH(Compilado[[#This Row],[Items]],Check!$C$5:$C$33,0))</f>
        <v>COSECHA</v>
      </c>
      <c r="F922" s="69">
        <f>+IFERROR(INDEX(Tabla2[TC],MATCH(Compilado[[#This Row],[Mes]],Tabla2[Mes],0))*Compilado[[#This Row],[USD]],0)</f>
        <v>0</v>
      </c>
      <c r="G922" s="150">
        <v>46023</v>
      </c>
    </row>
    <row r="923" spans="1:7">
      <c r="A923" t="s">
        <v>351</v>
      </c>
      <c r="B923" t="s">
        <v>97</v>
      </c>
      <c r="C923" s="2">
        <v>0</v>
      </c>
      <c r="D923" t="s">
        <v>15</v>
      </c>
      <c r="E923" t="str">
        <f>+INDEX(Check!$B$5:$B$33,MATCH(Compilado[[#This Row],[Items]],Check!$C$5:$C$33,0))</f>
        <v>COSECHA</v>
      </c>
      <c r="F923" s="69">
        <f>+IFERROR(INDEX(Tabla2[TC],MATCH(Compilado[[#This Row],[Mes]],Tabla2[Mes],0))*Compilado[[#This Row],[USD]],0)</f>
        <v>0</v>
      </c>
      <c r="G923" s="150">
        <v>46054</v>
      </c>
    </row>
    <row r="924" spans="1:7">
      <c r="A924" t="s">
        <v>351</v>
      </c>
      <c r="B924" t="s">
        <v>98</v>
      </c>
      <c r="C924" s="2">
        <v>0</v>
      </c>
      <c r="D924" t="s">
        <v>15</v>
      </c>
      <c r="E924" t="str">
        <f>+INDEX(Check!$B$5:$B$33,MATCH(Compilado[[#This Row],[Items]],Check!$C$5:$C$33,0))</f>
        <v>COSECHA</v>
      </c>
      <c r="F924" s="69">
        <f>+IFERROR(INDEX(Tabla2[TC],MATCH(Compilado[[#This Row],[Mes]],Tabla2[Mes],0))*Compilado[[#This Row],[USD]],0)</f>
        <v>0</v>
      </c>
      <c r="G924" s="150">
        <v>46082</v>
      </c>
    </row>
    <row r="925" spans="1:7">
      <c r="A925" t="s">
        <v>351</v>
      </c>
      <c r="B925" t="s">
        <v>99</v>
      </c>
      <c r="C925" s="2">
        <v>0</v>
      </c>
      <c r="D925" t="s">
        <v>15</v>
      </c>
      <c r="E925" t="str">
        <f>+INDEX(Check!$B$5:$B$33,MATCH(Compilado[[#This Row],[Items]],Check!$C$5:$C$33,0))</f>
        <v>COSECHA</v>
      </c>
      <c r="F925" s="69">
        <f>+IFERROR(INDEX(Tabla2[TC],MATCH(Compilado[[#This Row],[Mes]],Tabla2[Mes],0))*Compilado[[#This Row],[USD]],0)</f>
        <v>0</v>
      </c>
      <c r="G925" s="150">
        <v>46113</v>
      </c>
    </row>
    <row r="926" spans="1:7">
      <c r="A926" t="s">
        <v>353</v>
      </c>
      <c r="B926" t="s">
        <v>96</v>
      </c>
      <c r="C926" s="2">
        <v>4500</v>
      </c>
      <c r="D926" t="s">
        <v>8</v>
      </c>
      <c r="E926" t="str">
        <f>+INDEX(Check!$B$5:$B$33,MATCH(Compilado[[#This Row],[Items]],Check!$C$5:$C$33,0))</f>
        <v>SECADO</v>
      </c>
      <c r="F926" s="69">
        <f>+IFERROR(INDEX(Tabla2[TC],MATCH(Compilado[[#This Row],[Mes]],Tabla2[Mes],0))*Compilado[[#This Row],[USD]],0)</f>
        <v>5491707.7825928088</v>
      </c>
      <c r="G926" s="150">
        <v>46023</v>
      </c>
    </row>
    <row r="927" spans="1:7">
      <c r="A927" t="s">
        <v>353</v>
      </c>
      <c r="B927" t="s">
        <v>97</v>
      </c>
      <c r="C927" s="2">
        <v>4500</v>
      </c>
      <c r="D927" t="s">
        <v>8</v>
      </c>
      <c r="E927" t="str">
        <f>+INDEX(Check!$B$5:$B$33,MATCH(Compilado[[#This Row],[Items]],Check!$C$5:$C$33,0))</f>
        <v>SECADO</v>
      </c>
      <c r="F927" s="69">
        <f>+IFERROR(INDEX(Tabla2[TC],MATCH(Compilado[[#This Row],[Mes]],Tabla2[Mes],0))*Compilado[[#This Row],[USD]],0)</f>
        <v>5546624.860418736</v>
      </c>
      <c r="G927" s="150">
        <v>46054</v>
      </c>
    </row>
    <row r="928" spans="1:7">
      <c r="A928" t="s">
        <v>353</v>
      </c>
      <c r="B928" t="s">
        <v>98</v>
      </c>
      <c r="C928" s="2">
        <v>2250</v>
      </c>
      <c r="D928" t="s">
        <v>8</v>
      </c>
      <c r="E928" t="str">
        <f>+INDEX(Check!$B$5:$B$33,MATCH(Compilado[[#This Row],[Items]],Check!$C$5:$C$33,0))</f>
        <v>SECADO</v>
      </c>
      <c r="F928" s="69">
        <f>+IFERROR(INDEX(Tabla2[TC],MATCH(Compilado[[#This Row],[Mes]],Tabla2[Mes],0))*Compilado[[#This Row],[USD]],0)</f>
        <v>2801045.5545114619</v>
      </c>
      <c r="G928" s="150">
        <v>46082</v>
      </c>
    </row>
    <row r="929" spans="1:7">
      <c r="A929" t="s">
        <v>354</v>
      </c>
      <c r="B929" t="s">
        <v>88</v>
      </c>
      <c r="C929" s="2">
        <v>329.87021165232625</v>
      </c>
      <c r="D929" t="s">
        <v>8</v>
      </c>
      <c r="E929" t="str">
        <f>+INDEX(Check!$B$5:$B$33,MATCH(Compilado[[#This Row],[Items]],Check!$C$5:$C$33,0))</f>
        <v>SECADO</v>
      </c>
      <c r="F929" s="69">
        <f>+IFERROR(INDEX(Tabla2[TC],MATCH(Compilado[[#This Row],[Mes]],Tabla2[Mes],0))*Compilado[[#This Row],[USD]],0)</f>
        <v>371763.72853217169</v>
      </c>
      <c r="G929" s="150">
        <v>45778</v>
      </c>
    </row>
    <row r="930" spans="1:7">
      <c r="A930" t="s">
        <v>354</v>
      </c>
      <c r="B930" t="s">
        <v>89</v>
      </c>
      <c r="C930" s="2">
        <v>284.00664932195309</v>
      </c>
      <c r="D930" t="s">
        <v>8</v>
      </c>
      <c r="E930" t="str">
        <f>+INDEX(Check!$B$5:$B$33,MATCH(Compilado[[#This Row],[Items]],Check!$C$5:$C$33,0))</f>
        <v>SECADO</v>
      </c>
      <c r="F930" s="69">
        <f>+IFERROR(INDEX(Tabla2[TC],MATCH(Compilado[[#This Row],[Mes]],Tabla2[Mes],0))*Compilado[[#This Row],[USD]],0)</f>
        <v>323276.24872369954</v>
      </c>
      <c r="G930" s="150">
        <v>45809</v>
      </c>
    </row>
    <row r="931" spans="1:7">
      <c r="A931" t="s">
        <v>354</v>
      </c>
      <c r="B931" t="s">
        <v>90</v>
      </c>
      <c r="C931" s="2">
        <v>0</v>
      </c>
      <c r="D931" t="s">
        <v>8</v>
      </c>
      <c r="E931" t="str">
        <f>+INDEX(Check!$B$5:$B$33,MATCH(Compilado[[#This Row],[Items]],Check!$C$5:$C$33,0))</f>
        <v>SECADO</v>
      </c>
      <c r="F931" s="69">
        <f>+IFERROR(INDEX(Tabla2[TC],MATCH(Compilado[[#This Row],[Mes]],Tabla2[Mes],0))*Compilado[[#This Row],[USD]],0)</f>
        <v>0</v>
      </c>
      <c r="G931" s="150">
        <v>45839</v>
      </c>
    </row>
    <row r="932" spans="1:7">
      <c r="A932" t="s">
        <v>354</v>
      </c>
      <c r="B932" t="s">
        <v>91</v>
      </c>
      <c r="C932" s="2">
        <v>0</v>
      </c>
      <c r="D932" t="s">
        <v>8</v>
      </c>
      <c r="E932" t="str">
        <f>+INDEX(Check!$B$5:$B$33,MATCH(Compilado[[#This Row],[Items]],Check!$C$5:$C$33,0))</f>
        <v>SECADO</v>
      </c>
      <c r="F932" s="69">
        <f>+IFERROR(INDEX(Tabla2[TC],MATCH(Compilado[[#This Row],[Mes]],Tabla2[Mes],0))*Compilado[[#This Row],[USD]],0)</f>
        <v>0</v>
      </c>
      <c r="G932" s="150">
        <v>45870</v>
      </c>
    </row>
    <row r="933" spans="1:7">
      <c r="A933" t="s">
        <v>354</v>
      </c>
      <c r="B933" t="s">
        <v>92</v>
      </c>
      <c r="C933" s="2">
        <v>22.931781165186617</v>
      </c>
      <c r="D933" t="s">
        <v>8</v>
      </c>
      <c r="E933" t="str">
        <f>+INDEX(Check!$B$5:$B$33,MATCH(Compilado[[#This Row],[Items]],Check!$C$5:$C$33,0))</f>
        <v>SECADO</v>
      </c>
      <c r="F933" s="69">
        <f>+IFERROR(INDEX(Tabla2[TC],MATCH(Compilado[[#This Row],[Mes]],Tabla2[Mes],0))*Compilado[[#This Row],[USD]],0)</f>
        <v>26893.492173426501</v>
      </c>
      <c r="G933" s="150">
        <v>45901</v>
      </c>
    </row>
    <row r="934" spans="1:7">
      <c r="A934" t="s">
        <v>354</v>
      </c>
      <c r="B934" t="s">
        <v>93</v>
      </c>
      <c r="C934" s="2">
        <v>0</v>
      </c>
      <c r="D934" t="s">
        <v>8</v>
      </c>
      <c r="E934" t="str">
        <f>+INDEX(Check!$B$5:$B$33,MATCH(Compilado[[#This Row],[Items]],Check!$C$5:$C$33,0))</f>
        <v>SECADO</v>
      </c>
      <c r="F934" s="69">
        <f>+IFERROR(INDEX(Tabla2[TC],MATCH(Compilado[[#This Row],[Mes]],Tabla2[Mes],0))*Compilado[[#This Row],[USD]],0)</f>
        <v>0</v>
      </c>
      <c r="G934" s="150">
        <v>45931</v>
      </c>
    </row>
    <row r="935" spans="1:7">
      <c r="A935" t="s">
        <v>354</v>
      </c>
      <c r="B935" t="s">
        <v>94</v>
      </c>
      <c r="C935" s="2">
        <v>0</v>
      </c>
      <c r="D935" t="s">
        <v>8</v>
      </c>
      <c r="E935" t="str">
        <f>+INDEX(Check!$B$5:$B$33,MATCH(Compilado[[#This Row],[Items]],Check!$C$5:$C$33,0))</f>
        <v>SECADO</v>
      </c>
      <c r="F935" s="69">
        <f>+IFERROR(INDEX(Tabla2[TC],MATCH(Compilado[[#This Row],[Mes]],Tabla2[Mes],0))*Compilado[[#This Row],[USD]],0)</f>
        <v>0</v>
      </c>
      <c r="G935" s="150">
        <v>45962</v>
      </c>
    </row>
    <row r="936" spans="1:7">
      <c r="A936" t="s">
        <v>354</v>
      </c>
      <c r="B936" t="s">
        <v>95</v>
      </c>
      <c r="C936" s="2">
        <v>7.6439270550622052</v>
      </c>
      <c r="D936" t="s">
        <v>8</v>
      </c>
      <c r="E936" t="str">
        <f>+INDEX(Check!$B$5:$B$33,MATCH(Compilado[[#This Row],[Items]],Check!$C$5:$C$33,0))</f>
        <v>SECADO</v>
      </c>
      <c r="F936" s="69">
        <f>+IFERROR(INDEX(Tabla2[TC],MATCH(Compilado[[#This Row],[Mes]],Tabla2[Mes],0))*Compilado[[#This Row],[USD]],0)</f>
        <v>9236.1306265911644</v>
      </c>
      <c r="G936" s="150">
        <v>45992</v>
      </c>
    </row>
    <row r="937" spans="1:7">
      <c r="A937" t="s">
        <v>354</v>
      </c>
      <c r="B937" t="s">
        <v>96</v>
      </c>
      <c r="C937" s="2">
        <v>189.4653717335118</v>
      </c>
      <c r="D937" t="s">
        <v>8</v>
      </c>
      <c r="E937" t="str">
        <f>+INDEX(Check!$B$5:$B$33,MATCH(Compilado[[#This Row],[Items]],Check!$C$5:$C$33,0))</f>
        <v>SECADO</v>
      </c>
      <c r="F937" s="69">
        <f>+IFERROR(INDEX(Tabla2[TC],MATCH(Compilado[[#This Row],[Mes]],Tabla2[Mes],0))*Compilado[[#This Row],[USD]],0)</f>
        <v>231219.65699572585</v>
      </c>
      <c r="G937" s="150">
        <v>46023</v>
      </c>
    </row>
    <row r="938" spans="1:7">
      <c r="A938" t="s">
        <v>354</v>
      </c>
      <c r="B938" t="s">
        <v>97</v>
      </c>
      <c r="C938" s="2">
        <v>623.22312800463214</v>
      </c>
      <c r="D938" t="s">
        <v>8</v>
      </c>
      <c r="E938" t="str">
        <f>+INDEX(Check!$B$5:$B$33,MATCH(Compilado[[#This Row],[Items]],Check!$C$5:$C$33,0))</f>
        <v>SECADO</v>
      </c>
      <c r="F938" s="69">
        <f>+IFERROR(INDEX(Tabla2[TC],MATCH(Compilado[[#This Row],[Mes]],Tabla2[Mes],0))*Compilado[[#This Row],[USD]],0)</f>
        <v>768174.42119520472</v>
      </c>
      <c r="G938" s="150">
        <v>46054</v>
      </c>
    </row>
    <row r="939" spans="1:7">
      <c r="A939" t="s">
        <v>354</v>
      </c>
      <c r="B939" t="s">
        <v>98</v>
      </c>
      <c r="C939" s="2">
        <v>579.25683740817499</v>
      </c>
      <c r="D939" t="s">
        <v>8</v>
      </c>
      <c r="E939" t="str">
        <f>+INDEX(Check!$B$5:$B$33,MATCH(Compilado[[#This Row],[Items]],Check!$C$5:$C$33,0))</f>
        <v>SECADO</v>
      </c>
      <c r="F939" s="69">
        <f>+IFERROR(INDEX(Tabla2[TC],MATCH(Compilado[[#This Row],[Mes]],Tabla2[Mes],0))*Compilado[[#This Row],[USD]],0)</f>
        <v>721122.12859668315</v>
      </c>
      <c r="G939" s="150">
        <v>46082</v>
      </c>
    </row>
    <row r="940" spans="1:7">
      <c r="A940" t="s">
        <v>354</v>
      </c>
      <c r="B940" t="s">
        <v>99</v>
      </c>
      <c r="C940" s="2">
        <v>360.44591987257513</v>
      </c>
      <c r="D940" t="s">
        <v>8</v>
      </c>
      <c r="E940" t="str">
        <f>+INDEX(Check!$B$5:$B$33,MATCH(Compilado[[#This Row],[Items]],Check!$C$5:$C$33,0))</f>
        <v>SECADO</v>
      </c>
      <c r="F940" s="69">
        <f>+IFERROR(INDEX(Tabla2[TC],MATCH(Compilado[[#This Row],[Mes]],Tabla2[Mes],0))*Compilado[[#This Row],[USD]],0)</f>
        <v>453209.64262927993</v>
      </c>
      <c r="G940" s="150">
        <v>46113</v>
      </c>
    </row>
    <row r="941" spans="1:7">
      <c r="A941" t="s">
        <v>355</v>
      </c>
      <c r="B941" t="s">
        <v>88</v>
      </c>
      <c r="C941" s="2">
        <v>0</v>
      </c>
      <c r="D941" t="s">
        <v>8</v>
      </c>
      <c r="E941" t="str">
        <f>+INDEX(Check!$B$5:$B$33,MATCH(Compilado[[#This Row],[Items]],Check!$C$5:$C$33,0))</f>
        <v>SECADO</v>
      </c>
      <c r="F941" s="69">
        <f>+IFERROR(INDEX(Tabla2[TC],MATCH(Compilado[[#This Row],[Mes]],Tabla2[Mes],0))*Compilado[[#This Row],[USD]],0)</f>
        <v>0</v>
      </c>
      <c r="G941" s="150">
        <v>45778</v>
      </c>
    </row>
    <row r="942" spans="1:7">
      <c r="A942" t="s">
        <v>355</v>
      </c>
      <c r="B942" t="s">
        <v>89</v>
      </c>
      <c r="C942" s="2">
        <v>0</v>
      </c>
      <c r="D942" t="s">
        <v>8</v>
      </c>
      <c r="E942" t="str">
        <f>+INDEX(Check!$B$5:$B$33,MATCH(Compilado[[#This Row],[Items]],Check!$C$5:$C$33,0))</f>
        <v>SECADO</v>
      </c>
      <c r="F942" s="69">
        <f>+IFERROR(INDEX(Tabla2[TC],MATCH(Compilado[[#This Row],[Mes]],Tabla2[Mes],0))*Compilado[[#This Row],[USD]],0)</f>
        <v>0</v>
      </c>
      <c r="G942" s="150">
        <v>45809</v>
      </c>
    </row>
    <row r="943" spans="1:7">
      <c r="A943" t="s">
        <v>355</v>
      </c>
      <c r="B943" t="s">
        <v>90</v>
      </c>
      <c r="C943" s="2">
        <v>0</v>
      </c>
      <c r="D943" t="s">
        <v>8</v>
      </c>
      <c r="E943" t="str">
        <f>+INDEX(Check!$B$5:$B$33,MATCH(Compilado[[#This Row],[Items]],Check!$C$5:$C$33,0))</f>
        <v>SECADO</v>
      </c>
      <c r="F943" s="69">
        <f>+IFERROR(INDEX(Tabla2[TC],MATCH(Compilado[[#This Row],[Mes]],Tabla2[Mes],0))*Compilado[[#This Row],[USD]],0)</f>
        <v>0</v>
      </c>
      <c r="G943" s="150">
        <v>45839</v>
      </c>
    </row>
    <row r="944" spans="1:7">
      <c r="A944" t="s">
        <v>355</v>
      </c>
      <c r="B944" t="s">
        <v>91</v>
      </c>
      <c r="C944" s="2">
        <v>0</v>
      </c>
      <c r="D944" t="s">
        <v>8</v>
      </c>
      <c r="E944" t="str">
        <f>+INDEX(Check!$B$5:$B$33,MATCH(Compilado[[#This Row],[Items]],Check!$C$5:$C$33,0))</f>
        <v>SECADO</v>
      </c>
      <c r="F944" s="69">
        <f>+IFERROR(INDEX(Tabla2[TC],MATCH(Compilado[[#This Row],[Mes]],Tabla2[Mes],0))*Compilado[[#This Row],[USD]],0)</f>
        <v>0</v>
      </c>
      <c r="G944" s="150">
        <v>45870</v>
      </c>
    </row>
    <row r="945" spans="1:7">
      <c r="A945" t="s">
        <v>355</v>
      </c>
      <c r="B945" t="s">
        <v>92</v>
      </c>
      <c r="C945" s="2">
        <v>0</v>
      </c>
      <c r="D945" t="s">
        <v>8</v>
      </c>
      <c r="E945" t="str">
        <f>+INDEX(Check!$B$5:$B$33,MATCH(Compilado[[#This Row],[Items]],Check!$C$5:$C$33,0))</f>
        <v>SECADO</v>
      </c>
      <c r="F945" s="69">
        <f>+IFERROR(INDEX(Tabla2[TC],MATCH(Compilado[[#This Row],[Mes]],Tabla2[Mes],0))*Compilado[[#This Row],[USD]],0)</f>
        <v>0</v>
      </c>
      <c r="G945" s="150">
        <v>45901</v>
      </c>
    </row>
    <row r="946" spans="1:7">
      <c r="A946" t="s">
        <v>355</v>
      </c>
      <c r="B946" t="s">
        <v>93</v>
      </c>
      <c r="C946" s="2">
        <v>0</v>
      </c>
      <c r="D946" t="s">
        <v>8</v>
      </c>
      <c r="E946" t="str">
        <f>+INDEX(Check!$B$5:$B$33,MATCH(Compilado[[#This Row],[Items]],Check!$C$5:$C$33,0))</f>
        <v>SECADO</v>
      </c>
      <c r="F946" s="69">
        <f>+IFERROR(INDEX(Tabla2[TC],MATCH(Compilado[[#This Row],[Mes]],Tabla2[Mes],0))*Compilado[[#This Row],[USD]],0)</f>
        <v>0</v>
      </c>
      <c r="G946" s="150">
        <v>45931</v>
      </c>
    </row>
    <row r="947" spans="1:7">
      <c r="A947" t="s">
        <v>355</v>
      </c>
      <c r="B947" t="s">
        <v>94</v>
      </c>
      <c r="C947" s="2">
        <v>0</v>
      </c>
      <c r="D947" t="s">
        <v>8</v>
      </c>
      <c r="E947" t="str">
        <f>+INDEX(Check!$B$5:$B$33,MATCH(Compilado[[#This Row],[Items]],Check!$C$5:$C$33,0))</f>
        <v>SECADO</v>
      </c>
      <c r="F947" s="69">
        <f>+IFERROR(INDEX(Tabla2[TC],MATCH(Compilado[[#This Row],[Mes]],Tabla2[Mes],0))*Compilado[[#This Row],[USD]],0)</f>
        <v>0</v>
      </c>
      <c r="G947" s="150">
        <v>45962</v>
      </c>
    </row>
    <row r="948" spans="1:7">
      <c r="A948" t="s">
        <v>355</v>
      </c>
      <c r="B948" t="s">
        <v>95</v>
      </c>
      <c r="C948" s="2">
        <v>0</v>
      </c>
      <c r="D948" t="s">
        <v>8</v>
      </c>
      <c r="E948" t="str">
        <f>+INDEX(Check!$B$5:$B$33,MATCH(Compilado[[#This Row],[Items]],Check!$C$5:$C$33,0))</f>
        <v>SECADO</v>
      </c>
      <c r="F948" s="69">
        <f>+IFERROR(INDEX(Tabla2[TC],MATCH(Compilado[[#This Row],[Mes]],Tabla2[Mes],0))*Compilado[[#This Row],[USD]],0)</f>
        <v>0</v>
      </c>
      <c r="G948" s="150">
        <v>45992</v>
      </c>
    </row>
    <row r="949" spans="1:7">
      <c r="A949" t="s">
        <v>355</v>
      </c>
      <c r="B949" t="s">
        <v>96</v>
      </c>
      <c r="C949" s="2">
        <v>0</v>
      </c>
      <c r="D949" t="s">
        <v>8</v>
      </c>
      <c r="E949" t="str">
        <f>+INDEX(Check!$B$5:$B$33,MATCH(Compilado[[#This Row],[Items]],Check!$C$5:$C$33,0))</f>
        <v>SECADO</v>
      </c>
      <c r="F949" s="69">
        <f>+IFERROR(INDEX(Tabla2[TC],MATCH(Compilado[[#This Row],[Mes]],Tabla2[Mes],0))*Compilado[[#This Row],[USD]],0)</f>
        <v>0</v>
      </c>
      <c r="G949" s="150">
        <v>46023</v>
      </c>
    </row>
    <row r="950" spans="1:7">
      <c r="A950" t="s">
        <v>355</v>
      </c>
      <c r="B950" t="s">
        <v>97</v>
      </c>
      <c r="C950" s="2">
        <v>0</v>
      </c>
      <c r="D950" t="s">
        <v>8</v>
      </c>
      <c r="E950" t="str">
        <f>+INDEX(Check!$B$5:$B$33,MATCH(Compilado[[#This Row],[Items]],Check!$C$5:$C$33,0))</f>
        <v>SECADO</v>
      </c>
      <c r="F950" s="69">
        <f>+IFERROR(INDEX(Tabla2[TC],MATCH(Compilado[[#This Row],[Mes]],Tabla2[Mes],0))*Compilado[[#This Row],[USD]],0)</f>
        <v>0</v>
      </c>
      <c r="G950" s="150">
        <v>46054</v>
      </c>
    </row>
    <row r="951" spans="1:7">
      <c r="A951" t="s">
        <v>355</v>
      </c>
      <c r="B951" t="s">
        <v>98</v>
      </c>
      <c r="C951" s="2">
        <v>0</v>
      </c>
      <c r="D951" t="s">
        <v>8</v>
      </c>
      <c r="E951" t="str">
        <f>+INDEX(Check!$B$5:$B$33,MATCH(Compilado[[#This Row],[Items]],Check!$C$5:$C$33,0))</f>
        <v>SECADO</v>
      </c>
      <c r="F951" s="69">
        <f>+IFERROR(INDEX(Tabla2[TC],MATCH(Compilado[[#This Row],[Mes]],Tabla2[Mes],0))*Compilado[[#This Row],[USD]],0)</f>
        <v>0</v>
      </c>
      <c r="G951" s="150">
        <v>46082</v>
      </c>
    </row>
    <row r="952" spans="1:7">
      <c r="A952" t="s">
        <v>355</v>
      </c>
      <c r="B952" t="s">
        <v>99</v>
      </c>
      <c r="C952" s="2">
        <v>0</v>
      </c>
      <c r="D952" t="s">
        <v>8</v>
      </c>
      <c r="E952" t="str">
        <f>+INDEX(Check!$B$5:$B$33,MATCH(Compilado[[#This Row],[Items]],Check!$C$5:$C$33,0))</f>
        <v>SECADO</v>
      </c>
      <c r="F952" s="69">
        <f>+IFERROR(INDEX(Tabla2[TC],MATCH(Compilado[[#This Row],[Mes]],Tabla2[Mes],0))*Compilado[[#This Row],[USD]],0)</f>
        <v>0</v>
      </c>
      <c r="G952" s="150">
        <v>46113</v>
      </c>
    </row>
    <row r="953" spans="1:7">
      <c r="A953" t="s">
        <v>133</v>
      </c>
      <c r="B953" t="s">
        <v>88</v>
      </c>
      <c r="C953" s="2">
        <v>2068.9233079178989</v>
      </c>
      <c r="D953" t="s">
        <v>8</v>
      </c>
      <c r="E953" t="str">
        <f>+INDEX(Check!$B$5:$B$33,MATCH(Compilado[[#This Row],[Items]],Check!$C$5:$C$33,0))</f>
        <v>SECADO</v>
      </c>
      <c r="F953" s="69">
        <f>+IFERROR(INDEX(Tabla2[TC],MATCH(Compilado[[#This Row],[Mes]],Tabla2[Mes],0))*Compilado[[#This Row],[USD]],0)</f>
        <v>2331676.5680234721</v>
      </c>
      <c r="G953" s="150">
        <v>45778</v>
      </c>
    </row>
    <row r="954" spans="1:7">
      <c r="A954" t="s">
        <v>133</v>
      </c>
      <c r="B954" t="s">
        <v>89</v>
      </c>
      <c r="C954" s="2">
        <v>1793.4671597401475</v>
      </c>
      <c r="D954" t="s">
        <v>8</v>
      </c>
      <c r="E954" t="str">
        <f>+INDEX(Check!$B$5:$B$33,MATCH(Compilado[[#This Row],[Items]],Check!$C$5:$C$33,0))</f>
        <v>SECADO</v>
      </c>
      <c r="F954" s="69">
        <f>+IFERROR(INDEX(Tabla2[TC],MATCH(Compilado[[#This Row],[Mes]],Tabla2[Mes],0))*Compilado[[#This Row],[USD]],0)</f>
        <v>2041449.8639174176</v>
      </c>
      <c r="G954" s="150">
        <v>45809</v>
      </c>
    </row>
    <row r="955" spans="1:7">
      <c r="A955" t="s">
        <v>133</v>
      </c>
      <c r="B955" t="s">
        <v>90</v>
      </c>
      <c r="C955" s="2">
        <v>0</v>
      </c>
      <c r="D955" t="s">
        <v>8</v>
      </c>
      <c r="E955" t="str">
        <f>+INDEX(Check!$B$5:$B$33,MATCH(Compilado[[#This Row],[Items]],Check!$C$5:$C$33,0))</f>
        <v>SECADO</v>
      </c>
      <c r="F955" s="69">
        <f>+IFERROR(INDEX(Tabla2[TC],MATCH(Compilado[[#This Row],[Mes]],Tabla2[Mes],0))*Compilado[[#This Row],[USD]],0)</f>
        <v>0</v>
      </c>
      <c r="G955" s="150">
        <v>45839</v>
      </c>
    </row>
    <row r="956" spans="1:7">
      <c r="A956" t="s">
        <v>133</v>
      </c>
      <c r="B956" t="s">
        <v>91</v>
      </c>
      <c r="C956" s="2">
        <v>0</v>
      </c>
      <c r="D956" t="s">
        <v>8</v>
      </c>
      <c r="E956" t="str">
        <f>+INDEX(Check!$B$5:$B$33,MATCH(Compilado[[#This Row],[Items]],Check!$C$5:$C$33,0))</f>
        <v>SECADO</v>
      </c>
      <c r="F956" s="69">
        <f>+IFERROR(INDEX(Tabla2[TC],MATCH(Compilado[[#This Row],[Mes]],Tabla2[Mes],0))*Compilado[[#This Row],[USD]],0)</f>
        <v>0</v>
      </c>
      <c r="G956" s="150">
        <v>45870</v>
      </c>
    </row>
    <row r="957" spans="1:7">
      <c r="A957" t="s">
        <v>133</v>
      </c>
      <c r="B957" t="s">
        <v>92</v>
      </c>
      <c r="C957" s="2">
        <v>147.77043267088436</v>
      </c>
      <c r="D957" t="s">
        <v>8</v>
      </c>
      <c r="E957" t="str">
        <f>+INDEX(Check!$B$5:$B$33,MATCH(Compilado[[#This Row],[Items]],Check!$C$5:$C$33,0))</f>
        <v>SECADO</v>
      </c>
      <c r="F957" s="69">
        <f>+IFERROR(INDEX(Tabla2[TC],MATCH(Compilado[[#This Row],[Mes]],Tabla2[Mes],0))*Compilado[[#This Row],[USD]],0)</f>
        <v>173299.35890594547</v>
      </c>
      <c r="G957" s="150">
        <v>45901</v>
      </c>
    </row>
    <row r="958" spans="1:7">
      <c r="A958" t="s">
        <v>133</v>
      </c>
      <c r="B958" t="s">
        <v>93</v>
      </c>
      <c r="C958" s="2">
        <v>0</v>
      </c>
      <c r="D958" t="s">
        <v>8</v>
      </c>
      <c r="E958" t="str">
        <f>+INDEX(Check!$B$5:$B$33,MATCH(Compilado[[#This Row],[Items]],Check!$C$5:$C$33,0))</f>
        <v>SECADO</v>
      </c>
      <c r="F958" s="69">
        <f>+IFERROR(INDEX(Tabla2[TC],MATCH(Compilado[[#This Row],[Mes]],Tabla2[Mes],0))*Compilado[[#This Row],[USD]],0)</f>
        <v>0</v>
      </c>
      <c r="G958" s="150">
        <v>45931</v>
      </c>
    </row>
    <row r="959" spans="1:7">
      <c r="A959" t="s">
        <v>133</v>
      </c>
      <c r="B959" t="s">
        <v>94</v>
      </c>
      <c r="C959" s="2">
        <v>0</v>
      </c>
      <c r="D959" t="s">
        <v>8</v>
      </c>
      <c r="E959" t="str">
        <f>+INDEX(Check!$B$5:$B$33,MATCH(Compilado[[#This Row],[Items]],Check!$C$5:$C$33,0))</f>
        <v>SECADO</v>
      </c>
      <c r="F959" s="69">
        <f>+IFERROR(INDEX(Tabla2[TC],MATCH(Compilado[[#This Row],[Mes]],Tabla2[Mes],0))*Compilado[[#This Row],[USD]],0)</f>
        <v>0</v>
      </c>
      <c r="G959" s="150">
        <v>45962</v>
      </c>
    </row>
    <row r="960" spans="1:7">
      <c r="A960" t="s">
        <v>133</v>
      </c>
      <c r="B960" t="s">
        <v>95</v>
      </c>
      <c r="C960" s="2">
        <v>50.266529708531259</v>
      </c>
      <c r="D960" t="s">
        <v>8</v>
      </c>
      <c r="E960" t="str">
        <f>+INDEX(Check!$B$5:$B$33,MATCH(Compilado[[#This Row],[Items]],Check!$C$5:$C$33,0))</f>
        <v>SECADO</v>
      </c>
      <c r="F960" s="69">
        <f>+IFERROR(INDEX(Tabla2[TC],MATCH(Compilado[[#This Row],[Mes]],Tabla2[Mes],0))*Compilado[[#This Row],[USD]],0)</f>
        <v>60736.874016341855</v>
      </c>
      <c r="G960" s="150">
        <v>45992</v>
      </c>
    </row>
    <row r="961" spans="1:7">
      <c r="A961" t="s">
        <v>133</v>
      </c>
      <c r="B961" t="s">
        <v>96</v>
      </c>
      <c r="C961" s="2">
        <v>1254.4196528678133</v>
      </c>
      <c r="D961" t="s">
        <v>8</v>
      </c>
      <c r="E961" t="str">
        <f>+INDEX(Check!$B$5:$B$33,MATCH(Compilado[[#This Row],[Items]],Check!$C$5:$C$33,0))</f>
        <v>SECADO</v>
      </c>
      <c r="F961" s="69">
        <f>+IFERROR(INDEX(Tabla2[TC],MATCH(Compilado[[#This Row],[Mes]],Tabla2[Mes],0))*Compilado[[#This Row],[USD]],0)</f>
        <v>1530868.0378425643</v>
      </c>
      <c r="G961" s="150">
        <v>46023</v>
      </c>
    </row>
    <row r="962" spans="1:7">
      <c r="A962" t="s">
        <v>133</v>
      </c>
      <c r="B962" t="s">
        <v>97</v>
      </c>
      <c r="C962" s="2">
        <v>4153.946884138858</v>
      </c>
      <c r="D962" t="s">
        <v>8</v>
      </c>
      <c r="E962" t="str">
        <f>+INDEX(Check!$B$5:$B$33,MATCH(Compilado[[#This Row],[Items]],Check!$C$5:$C$33,0))</f>
        <v>SECADO</v>
      </c>
      <c r="F962" s="69">
        <f>+IFERROR(INDEX(Tabla2[TC],MATCH(Compilado[[#This Row],[Mes]],Tabla2[Mes],0))*Compilado[[#This Row],[USD]],0)</f>
        <v>5120085.5680941194</v>
      </c>
      <c r="G962" s="150">
        <v>46054</v>
      </c>
    </row>
    <row r="963" spans="1:7">
      <c r="A963" t="s">
        <v>133</v>
      </c>
      <c r="B963" t="s">
        <v>98</v>
      </c>
      <c r="C963" s="2">
        <v>3887.3655916534585</v>
      </c>
      <c r="D963" t="s">
        <v>8</v>
      </c>
      <c r="E963" t="str">
        <f>+INDEX(Check!$B$5:$B$33,MATCH(Compilado[[#This Row],[Items]],Check!$C$5:$C$33,0))</f>
        <v>SECADO</v>
      </c>
      <c r="F963" s="69">
        <f>+IFERROR(INDEX(Tabla2[TC],MATCH(Compilado[[#This Row],[Mes]],Tabla2[Mes],0))*Compilado[[#This Row],[USD]],0)</f>
        <v>4839416.9374496611</v>
      </c>
      <c r="G963" s="150">
        <v>46082</v>
      </c>
    </row>
    <row r="964" spans="1:7">
      <c r="A964" t="s">
        <v>133</v>
      </c>
      <c r="B964" t="s">
        <v>99</v>
      </c>
      <c r="C964" s="2">
        <v>2435.2410938939111</v>
      </c>
      <c r="D964" t="s">
        <v>8</v>
      </c>
      <c r="E964" t="str">
        <f>+INDEX(Check!$B$5:$B$33,MATCH(Compilado[[#This Row],[Items]],Check!$C$5:$C$33,0))</f>
        <v>SECADO</v>
      </c>
      <c r="F964" s="69">
        <f>+IFERROR(INDEX(Tabla2[TC],MATCH(Compilado[[#This Row],[Mes]],Tabla2[Mes],0))*Compilado[[#This Row],[USD]],0)</f>
        <v>3061970.4233854758</v>
      </c>
      <c r="G964" s="150">
        <v>46113</v>
      </c>
    </row>
    <row r="965" spans="1:7">
      <c r="A965" t="s">
        <v>353</v>
      </c>
      <c r="B965" t="s">
        <v>96</v>
      </c>
      <c r="C965" s="2">
        <v>2700</v>
      </c>
      <c r="D965" t="s">
        <v>12</v>
      </c>
      <c r="E965" t="str">
        <f>+INDEX(Check!$B$5:$B$33,MATCH(Compilado[[#This Row],[Items]],Check!$C$5:$C$33,0))</f>
        <v>SECADO</v>
      </c>
      <c r="F965" s="69">
        <f>+IFERROR(INDEX(Tabla2[TC],MATCH(Compilado[[#This Row],[Mes]],Tabla2[Mes],0))*Compilado[[#This Row],[USD]],0)</f>
        <v>3295024.669555685</v>
      </c>
      <c r="G965" s="150">
        <v>46023</v>
      </c>
    </row>
    <row r="966" spans="1:7">
      <c r="A966" t="s">
        <v>353</v>
      </c>
      <c r="B966" t="s">
        <v>97</v>
      </c>
      <c r="C966" s="2">
        <v>2700</v>
      </c>
      <c r="D966" t="s">
        <v>12</v>
      </c>
      <c r="E966" t="str">
        <f>+INDEX(Check!$B$5:$B$33,MATCH(Compilado[[#This Row],[Items]],Check!$C$5:$C$33,0))</f>
        <v>SECADO</v>
      </c>
      <c r="F966" s="69">
        <f>+IFERROR(INDEX(Tabla2[TC],MATCH(Compilado[[#This Row],[Mes]],Tabla2[Mes],0))*Compilado[[#This Row],[USD]],0)</f>
        <v>3327974.9162512417</v>
      </c>
      <c r="G966" s="150">
        <v>46054</v>
      </c>
    </row>
    <row r="967" spans="1:7">
      <c r="A967" t="s">
        <v>353</v>
      </c>
      <c r="B967" t="s">
        <v>98</v>
      </c>
      <c r="C967" s="2">
        <v>1350</v>
      </c>
      <c r="D967" t="s">
        <v>12</v>
      </c>
      <c r="E967" t="str">
        <f>+INDEX(Check!$B$5:$B$33,MATCH(Compilado[[#This Row],[Items]],Check!$C$5:$C$33,0))</f>
        <v>SECADO</v>
      </c>
      <c r="F967" s="69">
        <f>+IFERROR(INDEX(Tabla2[TC],MATCH(Compilado[[#This Row],[Mes]],Tabla2[Mes],0))*Compilado[[#This Row],[USD]],0)</f>
        <v>1680627.332706877</v>
      </c>
      <c r="G967" s="150">
        <v>46082</v>
      </c>
    </row>
    <row r="968" spans="1:7">
      <c r="A968" t="s">
        <v>354</v>
      </c>
      <c r="B968" t="s">
        <v>88</v>
      </c>
      <c r="C968" s="2">
        <v>67.916524969850187</v>
      </c>
      <c r="D968" t="s">
        <v>12</v>
      </c>
      <c r="E968" t="str">
        <f>+INDEX(Check!$B$5:$B$33,MATCH(Compilado[[#This Row],[Items]],Check!$C$5:$C$33,0))</f>
        <v>SECADO</v>
      </c>
      <c r="F968" s="69">
        <f>+IFERROR(INDEX(Tabla2[TC],MATCH(Compilado[[#This Row],[Mes]],Tabla2[Mes],0))*Compilado[[#This Row],[USD]],0)</f>
        <v>76541.92364102116</v>
      </c>
      <c r="G968" s="150">
        <v>45778</v>
      </c>
    </row>
    <row r="969" spans="1:7">
      <c r="A969" t="s">
        <v>354</v>
      </c>
      <c r="B969" t="s">
        <v>89</v>
      </c>
      <c r="C969" s="2">
        <v>58.473739091687655</v>
      </c>
      <c r="D969" t="s">
        <v>12</v>
      </c>
      <c r="E969" t="str">
        <f>+INDEX(Check!$B$5:$B$33,MATCH(Compilado[[#This Row],[Items]],Check!$C$5:$C$33,0))</f>
        <v>SECADO</v>
      </c>
      <c r="F969" s="69">
        <f>+IFERROR(INDEX(Tabla2[TC],MATCH(Compilado[[#This Row],[Mes]],Tabla2[Mes],0))*Compilado[[#This Row],[USD]],0)</f>
        <v>66558.902995895303</v>
      </c>
      <c r="G969" s="150">
        <v>45809</v>
      </c>
    </row>
    <row r="970" spans="1:7">
      <c r="A970" t="s">
        <v>354</v>
      </c>
      <c r="B970" t="s">
        <v>90</v>
      </c>
      <c r="C970" s="2">
        <v>0</v>
      </c>
      <c r="D970" t="s">
        <v>12</v>
      </c>
      <c r="E970" t="str">
        <f>+INDEX(Check!$B$5:$B$33,MATCH(Compilado[[#This Row],[Items]],Check!$C$5:$C$33,0))</f>
        <v>SECADO</v>
      </c>
      <c r="F970" s="69">
        <f>+IFERROR(INDEX(Tabla2[TC],MATCH(Compilado[[#This Row],[Mes]],Tabla2[Mes],0))*Compilado[[#This Row],[USD]],0)</f>
        <v>0</v>
      </c>
      <c r="G970" s="150">
        <v>45839</v>
      </c>
    </row>
    <row r="971" spans="1:7">
      <c r="A971" t="s">
        <v>354</v>
      </c>
      <c r="B971" t="s">
        <v>91</v>
      </c>
      <c r="C971" s="2">
        <v>0</v>
      </c>
      <c r="D971" t="s">
        <v>12</v>
      </c>
      <c r="E971" t="str">
        <f>+INDEX(Check!$B$5:$B$33,MATCH(Compilado[[#This Row],[Items]],Check!$C$5:$C$33,0))</f>
        <v>SECADO</v>
      </c>
      <c r="F971" s="69">
        <f>+IFERROR(INDEX(Tabla2[TC],MATCH(Compilado[[#This Row],[Mes]],Tabla2[Mes],0))*Compilado[[#This Row],[USD]],0)</f>
        <v>0</v>
      </c>
      <c r="G971" s="150">
        <v>45870</v>
      </c>
    </row>
    <row r="972" spans="1:7">
      <c r="A972" t="s">
        <v>354</v>
      </c>
      <c r="B972" t="s">
        <v>92</v>
      </c>
      <c r="C972" s="2">
        <v>4.7213929390812686</v>
      </c>
      <c r="D972" t="s">
        <v>12</v>
      </c>
      <c r="E972" t="str">
        <f>+INDEX(Check!$B$5:$B$33,MATCH(Compilado[[#This Row],[Items]],Check!$C$5:$C$33,0))</f>
        <v>SECADO</v>
      </c>
      <c r="F972" s="69">
        <f>+IFERROR(INDEX(Tabla2[TC],MATCH(Compilado[[#This Row],[Mes]],Tabla2[Mes],0))*Compilado[[#This Row],[USD]],0)</f>
        <v>5537.0641791932485</v>
      </c>
      <c r="G972" s="150">
        <v>45901</v>
      </c>
    </row>
    <row r="973" spans="1:7">
      <c r="A973" t="s">
        <v>354</v>
      </c>
      <c r="B973" t="s">
        <v>93</v>
      </c>
      <c r="C973" s="2">
        <v>0</v>
      </c>
      <c r="D973" t="s">
        <v>12</v>
      </c>
      <c r="E973" t="str">
        <f>+INDEX(Check!$B$5:$B$33,MATCH(Compilado[[#This Row],[Items]],Check!$C$5:$C$33,0))</f>
        <v>SECADO</v>
      </c>
      <c r="F973" s="69">
        <f>+IFERROR(INDEX(Tabla2[TC],MATCH(Compilado[[#This Row],[Mes]],Tabla2[Mes],0))*Compilado[[#This Row],[USD]],0)</f>
        <v>0</v>
      </c>
      <c r="G973" s="150">
        <v>45931</v>
      </c>
    </row>
    <row r="974" spans="1:7">
      <c r="A974" t="s">
        <v>354</v>
      </c>
      <c r="B974" t="s">
        <v>94</v>
      </c>
      <c r="C974" s="2">
        <v>0</v>
      </c>
      <c r="D974" t="s">
        <v>12</v>
      </c>
      <c r="E974" t="str">
        <f>+INDEX(Check!$B$5:$B$33,MATCH(Compilado[[#This Row],[Items]],Check!$C$5:$C$33,0))</f>
        <v>SECADO</v>
      </c>
      <c r="F974" s="69">
        <f>+IFERROR(INDEX(Tabla2[TC],MATCH(Compilado[[#This Row],[Mes]],Tabla2[Mes],0))*Compilado[[#This Row],[USD]],0)</f>
        <v>0</v>
      </c>
      <c r="G974" s="150">
        <v>45962</v>
      </c>
    </row>
    <row r="975" spans="1:7">
      <c r="A975" t="s">
        <v>354</v>
      </c>
      <c r="B975" t="s">
        <v>95</v>
      </c>
      <c r="C975" s="2">
        <v>1.5737976463604229</v>
      </c>
      <c r="D975" t="s">
        <v>12</v>
      </c>
      <c r="E975" t="str">
        <f>+INDEX(Check!$B$5:$B$33,MATCH(Compilado[[#This Row],[Items]],Check!$C$5:$C$33,0))</f>
        <v>SECADO</v>
      </c>
      <c r="F975" s="69">
        <f>+IFERROR(INDEX(Tabla2[TC],MATCH(Compilado[[#This Row],[Mes]],Tabla2[Mes],0))*Compilado[[#This Row],[USD]],0)</f>
        <v>1901.6142536289942</v>
      </c>
      <c r="G975" s="150">
        <v>45992</v>
      </c>
    </row>
    <row r="976" spans="1:7">
      <c r="A976" t="s">
        <v>354</v>
      </c>
      <c r="B976" t="s">
        <v>96</v>
      </c>
      <c r="C976" s="2">
        <v>39.008765252872607</v>
      </c>
      <c r="D976" t="s">
        <v>12</v>
      </c>
      <c r="E976" t="str">
        <f>+INDEX(Check!$B$5:$B$33,MATCH(Compilado[[#This Row],[Items]],Check!$C$5:$C$33,0))</f>
        <v>SECADO</v>
      </c>
      <c r="F976" s="69">
        <f>+IFERROR(INDEX(Tabla2[TC],MATCH(Compilado[[#This Row],[Mes]],Tabla2[Mes],0))*Compilado[[#This Row],[USD]],0)</f>
        <v>47605.497717452541</v>
      </c>
      <c r="G976" s="150">
        <v>46023</v>
      </c>
    </row>
    <row r="977" spans="1:7">
      <c r="A977" t="s">
        <v>354</v>
      </c>
      <c r="B977" t="s">
        <v>97</v>
      </c>
      <c r="C977" s="2">
        <v>128.31455414812154</v>
      </c>
      <c r="D977" t="s">
        <v>12</v>
      </c>
      <c r="E977" t="str">
        <f>+INDEX(Check!$B$5:$B$33,MATCH(Compilado[[#This Row],[Items]],Check!$C$5:$C$33,0))</f>
        <v>SECADO</v>
      </c>
      <c r="F977" s="69">
        <f>+IFERROR(INDEX(Tabla2[TC],MATCH(Compilado[[#This Row],[Mes]],Tabla2[Mes],0))*Compilado[[#This Row],[USD]],0)</f>
        <v>158158.3768870038</v>
      </c>
      <c r="G977" s="150">
        <v>46054</v>
      </c>
    </row>
    <row r="978" spans="1:7">
      <c r="A978" t="s">
        <v>354</v>
      </c>
      <c r="B978" t="s">
        <v>98</v>
      </c>
      <c r="C978" s="2">
        <v>119.26239494232708</v>
      </c>
      <c r="D978" t="s">
        <v>12</v>
      </c>
      <c r="E978" t="str">
        <f>+INDEX(Check!$B$5:$B$33,MATCH(Compilado[[#This Row],[Items]],Check!$C$5:$C$33,0))</f>
        <v>SECADO</v>
      </c>
      <c r="F978" s="69">
        <f>+IFERROR(INDEX(Tabla2[TC],MATCH(Compilado[[#This Row],[Mes]],Tabla2[Mes],0))*Compilado[[#This Row],[USD]],0)</f>
        <v>148470.84496604244</v>
      </c>
      <c r="G978" s="150">
        <v>46082</v>
      </c>
    </row>
    <row r="979" spans="1:7">
      <c r="A979" t="s">
        <v>354</v>
      </c>
      <c r="B979" t="s">
        <v>99</v>
      </c>
      <c r="C979" s="2">
        <v>74.21171555529186</v>
      </c>
      <c r="D979" t="s">
        <v>12</v>
      </c>
      <c r="E979" t="str">
        <f>+INDEX(Check!$B$5:$B$33,MATCH(Compilado[[#This Row],[Items]],Check!$C$5:$C$33,0))</f>
        <v>SECADO</v>
      </c>
      <c r="F979" s="69">
        <f>+IFERROR(INDEX(Tabla2[TC],MATCH(Compilado[[#This Row],[Mes]],Tabla2[Mes],0))*Compilado[[#This Row],[USD]],0)</f>
        <v>93310.711070358913</v>
      </c>
      <c r="G979" s="150">
        <v>46113</v>
      </c>
    </row>
    <row r="980" spans="1:7">
      <c r="A980" t="s">
        <v>355</v>
      </c>
      <c r="B980" t="s">
        <v>88</v>
      </c>
      <c r="C980" s="2">
        <v>0</v>
      </c>
      <c r="D980" t="s">
        <v>12</v>
      </c>
      <c r="E980" t="str">
        <f>+INDEX(Check!$B$5:$B$33,MATCH(Compilado[[#This Row],[Items]],Check!$C$5:$C$33,0))</f>
        <v>SECADO</v>
      </c>
      <c r="F980" s="69">
        <f>+IFERROR(INDEX(Tabla2[TC],MATCH(Compilado[[#This Row],[Mes]],Tabla2[Mes],0))*Compilado[[#This Row],[USD]],0)</f>
        <v>0</v>
      </c>
      <c r="G980" s="150">
        <v>45778</v>
      </c>
    </row>
    <row r="981" spans="1:7">
      <c r="A981" t="s">
        <v>355</v>
      </c>
      <c r="B981" t="s">
        <v>89</v>
      </c>
      <c r="C981" s="2">
        <v>0</v>
      </c>
      <c r="D981" t="s">
        <v>12</v>
      </c>
      <c r="E981" t="str">
        <f>+INDEX(Check!$B$5:$B$33,MATCH(Compilado[[#This Row],[Items]],Check!$C$5:$C$33,0))</f>
        <v>SECADO</v>
      </c>
      <c r="F981" s="69">
        <f>+IFERROR(INDEX(Tabla2[TC],MATCH(Compilado[[#This Row],[Mes]],Tabla2[Mes],0))*Compilado[[#This Row],[USD]],0)</f>
        <v>0</v>
      </c>
      <c r="G981" s="150">
        <v>45809</v>
      </c>
    </row>
    <row r="982" spans="1:7">
      <c r="A982" t="s">
        <v>355</v>
      </c>
      <c r="B982" t="s">
        <v>90</v>
      </c>
      <c r="C982" s="2">
        <v>0</v>
      </c>
      <c r="D982" t="s">
        <v>12</v>
      </c>
      <c r="E982" t="str">
        <f>+INDEX(Check!$B$5:$B$33,MATCH(Compilado[[#This Row],[Items]],Check!$C$5:$C$33,0))</f>
        <v>SECADO</v>
      </c>
      <c r="F982" s="69">
        <f>+IFERROR(INDEX(Tabla2[TC],MATCH(Compilado[[#This Row],[Mes]],Tabla2[Mes],0))*Compilado[[#This Row],[USD]],0)</f>
        <v>0</v>
      </c>
      <c r="G982" s="150">
        <v>45839</v>
      </c>
    </row>
    <row r="983" spans="1:7">
      <c r="A983" t="s">
        <v>355</v>
      </c>
      <c r="B983" t="s">
        <v>91</v>
      </c>
      <c r="C983" s="2">
        <v>0</v>
      </c>
      <c r="D983" t="s">
        <v>12</v>
      </c>
      <c r="E983" t="str">
        <f>+INDEX(Check!$B$5:$B$33,MATCH(Compilado[[#This Row],[Items]],Check!$C$5:$C$33,0))</f>
        <v>SECADO</v>
      </c>
      <c r="F983" s="69">
        <f>+IFERROR(INDEX(Tabla2[TC],MATCH(Compilado[[#This Row],[Mes]],Tabla2[Mes],0))*Compilado[[#This Row],[USD]],0)</f>
        <v>0</v>
      </c>
      <c r="G983" s="150">
        <v>45870</v>
      </c>
    </row>
    <row r="984" spans="1:7">
      <c r="A984" t="s">
        <v>355</v>
      </c>
      <c r="B984" t="s">
        <v>92</v>
      </c>
      <c r="C984" s="2">
        <v>0</v>
      </c>
      <c r="D984" t="s">
        <v>12</v>
      </c>
      <c r="E984" t="str">
        <f>+INDEX(Check!$B$5:$B$33,MATCH(Compilado[[#This Row],[Items]],Check!$C$5:$C$33,0))</f>
        <v>SECADO</v>
      </c>
      <c r="F984" s="69">
        <f>+IFERROR(INDEX(Tabla2[TC],MATCH(Compilado[[#This Row],[Mes]],Tabla2[Mes],0))*Compilado[[#This Row],[USD]],0)</f>
        <v>0</v>
      </c>
      <c r="G984" s="150">
        <v>45901</v>
      </c>
    </row>
    <row r="985" spans="1:7">
      <c r="A985" t="s">
        <v>355</v>
      </c>
      <c r="B985" t="s">
        <v>93</v>
      </c>
      <c r="C985" s="2">
        <v>0</v>
      </c>
      <c r="D985" t="s">
        <v>12</v>
      </c>
      <c r="E985" t="str">
        <f>+INDEX(Check!$B$5:$B$33,MATCH(Compilado[[#This Row],[Items]],Check!$C$5:$C$33,0))</f>
        <v>SECADO</v>
      </c>
      <c r="F985" s="69">
        <f>+IFERROR(INDEX(Tabla2[TC],MATCH(Compilado[[#This Row],[Mes]],Tabla2[Mes],0))*Compilado[[#This Row],[USD]],0)</f>
        <v>0</v>
      </c>
      <c r="G985" s="150">
        <v>45931</v>
      </c>
    </row>
    <row r="986" spans="1:7">
      <c r="A986" t="s">
        <v>355</v>
      </c>
      <c r="B986" t="s">
        <v>94</v>
      </c>
      <c r="C986" s="2">
        <v>0</v>
      </c>
      <c r="D986" t="s">
        <v>12</v>
      </c>
      <c r="E986" t="str">
        <f>+INDEX(Check!$B$5:$B$33,MATCH(Compilado[[#This Row],[Items]],Check!$C$5:$C$33,0))</f>
        <v>SECADO</v>
      </c>
      <c r="F986" s="69">
        <f>+IFERROR(INDEX(Tabla2[TC],MATCH(Compilado[[#This Row],[Mes]],Tabla2[Mes],0))*Compilado[[#This Row],[USD]],0)</f>
        <v>0</v>
      </c>
      <c r="G986" s="150">
        <v>45962</v>
      </c>
    </row>
    <row r="987" spans="1:7">
      <c r="A987" t="s">
        <v>355</v>
      </c>
      <c r="B987" t="s">
        <v>95</v>
      </c>
      <c r="C987" s="2">
        <v>0</v>
      </c>
      <c r="D987" t="s">
        <v>12</v>
      </c>
      <c r="E987" t="str">
        <f>+INDEX(Check!$B$5:$B$33,MATCH(Compilado[[#This Row],[Items]],Check!$C$5:$C$33,0))</f>
        <v>SECADO</v>
      </c>
      <c r="F987" s="69">
        <f>+IFERROR(INDEX(Tabla2[TC],MATCH(Compilado[[#This Row],[Mes]],Tabla2[Mes],0))*Compilado[[#This Row],[USD]],0)</f>
        <v>0</v>
      </c>
      <c r="G987" s="150">
        <v>45992</v>
      </c>
    </row>
    <row r="988" spans="1:7">
      <c r="A988" t="s">
        <v>355</v>
      </c>
      <c r="B988" t="s">
        <v>96</v>
      </c>
      <c r="C988" s="2">
        <v>0</v>
      </c>
      <c r="D988" t="s">
        <v>12</v>
      </c>
      <c r="E988" t="str">
        <f>+INDEX(Check!$B$5:$B$33,MATCH(Compilado[[#This Row],[Items]],Check!$C$5:$C$33,0))</f>
        <v>SECADO</v>
      </c>
      <c r="F988" s="69">
        <f>+IFERROR(INDEX(Tabla2[TC],MATCH(Compilado[[#This Row],[Mes]],Tabla2[Mes],0))*Compilado[[#This Row],[USD]],0)</f>
        <v>0</v>
      </c>
      <c r="G988" s="150">
        <v>46023</v>
      </c>
    </row>
    <row r="989" spans="1:7">
      <c r="A989" t="s">
        <v>355</v>
      </c>
      <c r="B989" t="s">
        <v>97</v>
      </c>
      <c r="C989" s="2">
        <v>0</v>
      </c>
      <c r="D989" t="s">
        <v>12</v>
      </c>
      <c r="E989" t="str">
        <f>+INDEX(Check!$B$5:$B$33,MATCH(Compilado[[#This Row],[Items]],Check!$C$5:$C$33,0))</f>
        <v>SECADO</v>
      </c>
      <c r="F989" s="69">
        <f>+IFERROR(INDEX(Tabla2[TC],MATCH(Compilado[[#This Row],[Mes]],Tabla2[Mes],0))*Compilado[[#This Row],[USD]],0)</f>
        <v>0</v>
      </c>
      <c r="G989" s="150">
        <v>46054</v>
      </c>
    </row>
    <row r="990" spans="1:7">
      <c r="A990" t="s">
        <v>355</v>
      </c>
      <c r="B990" t="s">
        <v>98</v>
      </c>
      <c r="C990" s="2">
        <v>0</v>
      </c>
      <c r="D990" t="s">
        <v>12</v>
      </c>
      <c r="E990" t="str">
        <f>+INDEX(Check!$B$5:$B$33,MATCH(Compilado[[#This Row],[Items]],Check!$C$5:$C$33,0))</f>
        <v>SECADO</v>
      </c>
      <c r="F990" s="69">
        <f>+IFERROR(INDEX(Tabla2[TC],MATCH(Compilado[[#This Row],[Mes]],Tabla2[Mes],0))*Compilado[[#This Row],[USD]],0)</f>
        <v>0</v>
      </c>
      <c r="G990" s="150">
        <v>46082</v>
      </c>
    </row>
    <row r="991" spans="1:7">
      <c r="A991" t="s">
        <v>355</v>
      </c>
      <c r="B991" t="s">
        <v>99</v>
      </c>
      <c r="C991" s="2">
        <v>0</v>
      </c>
      <c r="D991" t="s">
        <v>12</v>
      </c>
      <c r="E991" t="str">
        <f>+INDEX(Check!$B$5:$B$33,MATCH(Compilado[[#This Row],[Items]],Check!$C$5:$C$33,0))</f>
        <v>SECADO</v>
      </c>
      <c r="F991" s="69">
        <f>+IFERROR(INDEX(Tabla2[TC],MATCH(Compilado[[#This Row],[Mes]],Tabla2[Mes],0))*Compilado[[#This Row],[USD]],0)</f>
        <v>0</v>
      </c>
      <c r="G991" s="150">
        <v>46113</v>
      </c>
    </row>
    <row r="992" spans="1:7">
      <c r="A992" t="s">
        <v>133</v>
      </c>
      <c r="B992" t="s">
        <v>88</v>
      </c>
      <c r="C992" s="2">
        <v>743.26731557894834</v>
      </c>
      <c r="D992" t="s">
        <v>12</v>
      </c>
      <c r="E992" t="str">
        <f>+INDEX(Check!$B$5:$B$33,MATCH(Compilado[[#This Row],[Items]],Check!$C$5:$C$33,0))</f>
        <v>SECADO</v>
      </c>
      <c r="F992" s="69">
        <f>+IFERROR(INDEX(Tabla2[TC],MATCH(Compilado[[#This Row],[Mes]],Tabla2[Mes],0))*Compilado[[#This Row],[USD]],0)</f>
        <v>837662.26465747482</v>
      </c>
      <c r="G992" s="150">
        <v>45778</v>
      </c>
    </row>
    <row r="993" spans="1:7">
      <c r="A993" t="s">
        <v>133</v>
      </c>
      <c r="B993" t="s">
        <v>89</v>
      </c>
      <c r="C993" s="2">
        <v>644.30881333178877</v>
      </c>
      <c r="D993" t="s">
        <v>12</v>
      </c>
      <c r="E993" t="str">
        <f>+INDEX(Check!$B$5:$B$33,MATCH(Compilado[[#This Row],[Items]],Check!$C$5:$C$33,0))</f>
        <v>SECADO</v>
      </c>
      <c r="F993" s="69">
        <f>+IFERROR(INDEX(Tabla2[TC],MATCH(Compilado[[#This Row],[Mes]],Tabla2[Mes],0))*Compilado[[#This Row],[USD]],0)</f>
        <v>733397.39295117522</v>
      </c>
      <c r="G993" s="150">
        <v>45809</v>
      </c>
    </row>
    <row r="994" spans="1:7">
      <c r="A994" t="s">
        <v>133</v>
      </c>
      <c r="B994" t="s">
        <v>90</v>
      </c>
      <c r="C994" s="2">
        <v>0</v>
      </c>
      <c r="D994" t="s">
        <v>12</v>
      </c>
      <c r="E994" t="str">
        <f>+INDEX(Check!$B$5:$B$33,MATCH(Compilado[[#This Row],[Items]],Check!$C$5:$C$33,0))</f>
        <v>SECADO</v>
      </c>
      <c r="F994" s="69">
        <f>+IFERROR(INDEX(Tabla2[TC],MATCH(Compilado[[#This Row],[Mes]],Tabla2[Mes],0))*Compilado[[#This Row],[USD]],0)</f>
        <v>0</v>
      </c>
      <c r="G994" s="150">
        <v>45839</v>
      </c>
    </row>
    <row r="995" spans="1:7">
      <c r="A995" t="s">
        <v>133</v>
      </c>
      <c r="B995" t="s">
        <v>91</v>
      </c>
      <c r="C995" s="2">
        <v>0</v>
      </c>
      <c r="D995" t="s">
        <v>12</v>
      </c>
      <c r="E995" t="str">
        <f>+INDEX(Check!$B$5:$B$33,MATCH(Compilado[[#This Row],[Items]],Check!$C$5:$C$33,0))</f>
        <v>SECADO</v>
      </c>
      <c r="F995" s="69">
        <f>+IFERROR(INDEX(Tabla2[TC],MATCH(Compilado[[#This Row],[Mes]],Tabla2[Mes],0))*Compilado[[#This Row],[USD]],0)</f>
        <v>0</v>
      </c>
      <c r="G995" s="150">
        <v>45870</v>
      </c>
    </row>
    <row r="996" spans="1:7">
      <c r="A996" t="s">
        <v>133</v>
      </c>
      <c r="B996" t="s">
        <v>92</v>
      </c>
      <c r="C996" s="2">
        <v>53.087000563476877</v>
      </c>
      <c r="D996" t="s">
        <v>12</v>
      </c>
      <c r="E996" t="str">
        <f>+INDEX(Check!$B$5:$B$33,MATCH(Compilado[[#This Row],[Items]],Check!$C$5:$C$33,0))</f>
        <v>SECADO</v>
      </c>
      <c r="F996" s="69">
        <f>+IFERROR(INDEX(Tabla2[TC],MATCH(Compilado[[#This Row],[Mes]],Tabla2[Mes],0))*Compilado[[#This Row],[USD]],0)</f>
        <v>62258.34896471005</v>
      </c>
      <c r="G996" s="150">
        <v>45901</v>
      </c>
    </row>
    <row r="997" spans="1:7">
      <c r="A997" t="s">
        <v>133</v>
      </c>
      <c r="B997" t="s">
        <v>93</v>
      </c>
      <c r="C997" s="2">
        <v>0</v>
      </c>
      <c r="D997" t="s">
        <v>12</v>
      </c>
      <c r="E997" t="str">
        <f>+INDEX(Check!$B$5:$B$33,MATCH(Compilado[[#This Row],[Items]],Check!$C$5:$C$33,0))</f>
        <v>SECADO</v>
      </c>
      <c r="F997" s="69">
        <f>+IFERROR(INDEX(Tabla2[TC],MATCH(Compilado[[#This Row],[Mes]],Tabla2[Mes],0))*Compilado[[#This Row],[USD]],0)</f>
        <v>0</v>
      </c>
      <c r="G997" s="150">
        <v>45931</v>
      </c>
    </row>
    <row r="998" spans="1:7">
      <c r="A998" t="s">
        <v>133</v>
      </c>
      <c r="B998" t="s">
        <v>94</v>
      </c>
      <c r="C998" s="2">
        <v>0</v>
      </c>
      <c r="D998" t="s">
        <v>12</v>
      </c>
      <c r="E998" t="str">
        <f>+INDEX(Check!$B$5:$B$33,MATCH(Compilado[[#This Row],[Items]],Check!$C$5:$C$33,0))</f>
        <v>SECADO</v>
      </c>
      <c r="F998" s="69">
        <f>+IFERROR(INDEX(Tabla2[TC],MATCH(Compilado[[#This Row],[Mes]],Tabla2[Mes],0))*Compilado[[#This Row],[USD]],0)</f>
        <v>0</v>
      </c>
      <c r="G998" s="150">
        <v>45962</v>
      </c>
    </row>
    <row r="999" spans="1:7">
      <c r="A999" t="s">
        <v>133</v>
      </c>
      <c r="B999" t="s">
        <v>95</v>
      </c>
      <c r="C999" s="2">
        <v>18.058411569411401</v>
      </c>
      <c r="D999" t="s">
        <v>12</v>
      </c>
      <c r="E999" t="str">
        <f>+INDEX(Check!$B$5:$B$33,MATCH(Compilado[[#This Row],[Items]],Check!$C$5:$C$33,0))</f>
        <v>SECADO</v>
      </c>
      <c r="F999" s="69">
        <f>+IFERROR(INDEX(Tabla2[TC],MATCH(Compilado[[#This Row],[Mes]],Tabla2[Mes],0))*Compilado[[#This Row],[USD]],0)</f>
        <v>21819.916250165152</v>
      </c>
      <c r="G999" s="150">
        <v>45992</v>
      </c>
    </row>
    <row r="1000" spans="1:7">
      <c r="A1000" t="s">
        <v>133</v>
      </c>
      <c r="B1000" t="s">
        <v>96</v>
      </c>
      <c r="C1000" s="2">
        <v>450.65427240744066</v>
      </c>
      <c r="D1000" t="s">
        <v>12</v>
      </c>
      <c r="E1000" t="str">
        <f>+INDEX(Check!$B$5:$B$33,MATCH(Compilado[[#This Row],[Items]],Check!$C$5:$C$33,0))</f>
        <v>SECADO</v>
      </c>
      <c r="F1000" s="69">
        <f>+IFERROR(INDEX(Tabla2[TC],MATCH(Compilado[[#This Row],[Mes]],Tabla2[Mes],0))*Compilado[[#This Row],[USD]],0)</f>
        <v>549969.23889747588</v>
      </c>
      <c r="G1000" s="150">
        <v>46023</v>
      </c>
    </row>
    <row r="1001" spans="1:7">
      <c r="A1001" t="s">
        <v>133</v>
      </c>
      <c r="B1001" t="s">
        <v>97</v>
      </c>
      <c r="C1001" s="2">
        <v>1492.318704040598</v>
      </c>
      <c r="D1001" t="s">
        <v>12</v>
      </c>
      <c r="E1001" t="str">
        <f>+INDEX(Check!$B$5:$B$33,MATCH(Compilado[[#This Row],[Items]],Check!$C$5:$C$33,0))</f>
        <v>SECADO</v>
      </c>
      <c r="F1001" s="69">
        <f>+IFERROR(INDEX(Tabla2[TC],MATCH(Compilado[[#This Row],[Mes]],Tabla2[Mes],0))*Compilado[[#This Row],[USD]],0)</f>
        <v>1839407.1163332115</v>
      </c>
      <c r="G1001" s="150">
        <v>46054</v>
      </c>
    </row>
    <row r="1002" spans="1:7">
      <c r="A1002" t="s">
        <v>133</v>
      </c>
      <c r="B1002" t="s">
        <v>98</v>
      </c>
      <c r="C1002" s="2">
        <v>1396.5485220861046</v>
      </c>
      <c r="D1002" t="s">
        <v>12</v>
      </c>
      <c r="E1002" t="str">
        <f>+INDEX(Check!$B$5:$B$33,MATCH(Compilado[[#This Row],[Items]],Check!$C$5:$C$33,0))</f>
        <v>SECADO</v>
      </c>
      <c r="F1002" s="69">
        <f>+IFERROR(INDEX(Tabla2[TC],MATCH(Compilado[[#This Row],[Mes]],Tabla2[Mes],0))*Compilado[[#This Row],[USD]],0)</f>
        <v>1738576.0130883711</v>
      </c>
      <c r="G1002" s="150">
        <v>46082</v>
      </c>
    </row>
    <row r="1003" spans="1:7">
      <c r="A1003" t="s">
        <v>133</v>
      </c>
      <c r="B1003" t="s">
        <v>99</v>
      </c>
      <c r="C1003" s="2">
        <v>874.86815181546422</v>
      </c>
      <c r="D1003" t="s">
        <v>12</v>
      </c>
      <c r="E1003" t="str">
        <f>+INDEX(Check!$B$5:$B$33,MATCH(Compilado[[#This Row],[Items]],Check!$C$5:$C$33,0))</f>
        <v>SECADO</v>
      </c>
      <c r="F1003" s="69">
        <f>+IFERROR(INDEX(Tabla2[TC],MATCH(Compilado[[#This Row],[Mes]],Tabla2[Mes],0))*Compilado[[#This Row],[USD]],0)</f>
        <v>1100022.6679558349</v>
      </c>
      <c r="G1003" s="150">
        <v>46113</v>
      </c>
    </row>
    <row r="1004" spans="1:7">
      <c r="A1004" t="s">
        <v>353</v>
      </c>
      <c r="B1004" t="s">
        <v>96</v>
      </c>
      <c r="C1004" s="2">
        <v>1800</v>
      </c>
      <c r="D1004" t="s">
        <v>4</v>
      </c>
      <c r="E1004" t="str">
        <f>+INDEX(Check!$B$5:$B$33,MATCH(Compilado[[#This Row],[Items]],Check!$C$5:$C$33,0))</f>
        <v>SECADO</v>
      </c>
      <c r="F1004" s="69">
        <f>+IFERROR(INDEX(Tabla2[TC],MATCH(Compilado[[#This Row],[Mes]],Tabla2[Mes],0))*Compilado[[#This Row],[USD]],0)</f>
        <v>2196683.1130371233</v>
      </c>
      <c r="G1004" s="150">
        <v>46023</v>
      </c>
    </row>
    <row r="1005" spans="1:7">
      <c r="A1005" t="s">
        <v>353</v>
      </c>
      <c r="B1005" t="s">
        <v>97</v>
      </c>
      <c r="C1005" s="2">
        <v>1800</v>
      </c>
      <c r="D1005" t="s">
        <v>4</v>
      </c>
      <c r="E1005" t="str">
        <f>+INDEX(Check!$B$5:$B$33,MATCH(Compilado[[#This Row],[Items]],Check!$C$5:$C$33,0))</f>
        <v>SECADO</v>
      </c>
      <c r="F1005" s="69">
        <f>+IFERROR(INDEX(Tabla2[TC],MATCH(Compilado[[#This Row],[Mes]],Tabla2[Mes],0))*Compilado[[#This Row],[USD]],0)</f>
        <v>2218649.9441674948</v>
      </c>
      <c r="G1005" s="150">
        <v>46054</v>
      </c>
    </row>
    <row r="1006" spans="1:7">
      <c r="A1006" t="s">
        <v>353</v>
      </c>
      <c r="B1006" t="s">
        <v>98</v>
      </c>
      <c r="C1006" s="2">
        <v>900</v>
      </c>
      <c r="D1006" t="s">
        <v>4</v>
      </c>
      <c r="E1006" t="str">
        <f>+INDEX(Check!$B$5:$B$33,MATCH(Compilado[[#This Row],[Items]],Check!$C$5:$C$33,0))</f>
        <v>SECADO</v>
      </c>
      <c r="F1006" s="69">
        <f>+IFERROR(INDEX(Tabla2[TC],MATCH(Compilado[[#This Row],[Mes]],Tabla2[Mes],0))*Compilado[[#This Row],[USD]],0)</f>
        <v>1120418.2218045846</v>
      </c>
      <c r="G1006" s="150">
        <v>46082</v>
      </c>
    </row>
    <row r="1007" spans="1:7">
      <c r="A1007" t="s">
        <v>354</v>
      </c>
      <c r="B1007" t="s">
        <v>88</v>
      </c>
      <c r="C1007" s="2">
        <v>32.011257614146125</v>
      </c>
      <c r="D1007" t="s">
        <v>4</v>
      </c>
      <c r="E1007" t="str">
        <f>+INDEX(Check!$B$5:$B$33,MATCH(Compilado[[#This Row],[Items]],Check!$C$5:$C$33,0))</f>
        <v>SECADO</v>
      </c>
      <c r="F1007" s="69">
        <f>+IFERROR(INDEX(Tabla2[TC],MATCH(Compilado[[#This Row],[Mes]],Tabla2[Mes],0))*Compilado[[#This Row],[USD]],0)</f>
        <v>36076.687331142683</v>
      </c>
      <c r="G1007" s="150">
        <v>45778</v>
      </c>
    </row>
    <row r="1008" spans="1:7">
      <c r="A1008" t="s">
        <v>354</v>
      </c>
      <c r="B1008" t="s">
        <v>89</v>
      </c>
      <c r="C1008" s="2">
        <v>27.560566836382257</v>
      </c>
      <c r="D1008" t="s">
        <v>4</v>
      </c>
      <c r="E1008" t="str">
        <f>+INDEX(Check!$B$5:$B$33,MATCH(Compilado[[#This Row],[Items]],Check!$C$5:$C$33,0))</f>
        <v>SECADO</v>
      </c>
      <c r="F1008" s="69">
        <f>+IFERROR(INDEX(Tabla2[TC],MATCH(Compilado[[#This Row],[Mes]],Tabla2[Mes],0))*Compilado[[#This Row],[USD]],0)</f>
        <v>31371.366412848831</v>
      </c>
      <c r="G1008" s="150">
        <v>45809</v>
      </c>
    </row>
    <row r="1009" spans="1:7">
      <c r="A1009" t="s">
        <v>354</v>
      </c>
      <c r="B1009" t="s">
        <v>90</v>
      </c>
      <c r="C1009" s="2">
        <v>0</v>
      </c>
      <c r="D1009" t="s">
        <v>4</v>
      </c>
      <c r="E1009" t="str">
        <f>+INDEX(Check!$B$5:$B$33,MATCH(Compilado[[#This Row],[Items]],Check!$C$5:$C$33,0))</f>
        <v>SECADO</v>
      </c>
      <c r="F1009" s="69">
        <f>+IFERROR(INDEX(Tabla2[TC],MATCH(Compilado[[#This Row],[Mes]],Tabla2[Mes],0))*Compilado[[#This Row],[USD]],0)</f>
        <v>0</v>
      </c>
      <c r="G1009" s="150">
        <v>45839</v>
      </c>
    </row>
    <row r="1010" spans="1:7">
      <c r="A1010" t="s">
        <v>354</v>
      </c>
      <c r="B1010" t="s">
        <v>91</v>
      </c>
      <c r="C1010" s="2">
        <v>0</v>
      </c>
      <c r="D1010" t="s">
        <v>4</v>
      </c>
      <c r="E1010" t="str">
        <f>+INDEX(Check!$B$5:$B$33,MATCH(Compilado[[#This Row],[Items]],Check!$C$5:$C$33,0))</f>
        <v>SECADO</v>
      </c>
      <c r="F1010" s="69">
        <f>+IFERROR(INDEX(Tabla2[TC],MATCH(Compilado[[#This Row],[Mes]],Tabla2[Mes],0))*Compilado[[#This Row],[USD]],0)</f>
        <v>0</v>
      </c>
      <c r="G1010" s="150">
        <v>45870</v>
      </c>
    </row>
    <row r="1011" spans="1:7">
      <c r="A1011" t="s">
        <v>354</v>
      </c>
      <c r="B1011" t="s">
        <v>92</v>
      </c>
      <c r="C1011" s="2">
        <v>2.2253453888819359</v>
      </c>
      <c r="D1011" t="s">
        <v>4</v>
      </c>
      <c r="E1011" t="str">
        <f>+INDEX(Check!$B$5:$B$33,MATCH(Compilado[[#This Row],[Items]],Check!$C$5:$C$33,0))</f>
        <v>SECADO</v>
      </c>
      <c r="F1011" s="69">
        <f>+IFERROR(INDEX(Tabla2[TC],MATCH(Compilado[[#This Row],[Mes]],Tabla2[Mes],0))*Compilado[[#This Row],[USD]],0)</f>
        <v>2609.7976588893575</v>
      </c>
      <c r="G1011" s="150">
        <v>45901</v>
      </c>
    </row>
    <row r="1012" spans="1:7">
      <c r="A1012" t="s">
        <v>354</v>
      </c>
      <c r="B1012" t="s">
        <v>93</v>
      </c>
      <c r="C1012" s="2">
        <v>0</v>
      </c>
      <c r="D1012" t="s">
        <v>4</v>
      </c>
      <c r="E1012" t="str">
        <f>+INDEX(Check!$B$5:$B$33,MATCH(Compilado[[#This Row],[Items]],Check!$C$5:$C$33,0))</f>
        <v>SECADO</v>
      </c>
      <c r="F1012" s="69">
        <f>+IFERROR(INDEX(Tabla2[TC],MATCH(Compilado[[#This Row],[Mes]],Tabla2[Mes],0))*Compilado[[#This Row],[USD]],0)</f>
        <v>0</v>
      </c>
      <c r="G1012" s="150">
        <v>45931</v>
      </c>
    </row>
    <row r="1013" spans="1:7">
      <c r="A1013" t="s">
        <v>354</v>
      </c>
      <c r="B1013" t="s">
        <v>94</v>
      </c>
      <c r="C1013" s="2">
        <v>0</v>
      </c>
      <c r="D1013" t="s">
        <v>4</v>
      </c>
      <c r="E1013" t="str">
        <f>+INDEX(Check!$B$5:$B$33,MATCH(Compilado[[#This Row],[Items]],Check!$C$5:$C$33,0))</f>
        <v>SECADO</v>
      </c>
      <c r="F1013" s="69">
        <f>+IFERROR(INDEX(Tabla2[TC],MATCH(Compilado[[#This Row],[Mes]],Tabla2[Mes],0))*Compilado[[#This Row],[USD]],0)</f>
        <v>0</v>
      </c>
      <c r="G1013" s="150">
        <v>45962</v>
      </c>
    </row>
    <row r="1014" spans="1:7">
      <c r="A1014" t="s">
        <v>354</v>
      </c>
      <c r="B1014" t="s">
        <v>95</v>
      </c>
      <c r="C1014" s="2">
        <v>0.74178179629397867</v>
      </c>
      <c r="D1014" t="s">
        <v>4</v>
      </c>
      <c r="E1014" t="str">
        <f>+INDEX(Check!$B$5:$B$33,MATCH(Compilado[[#This Row],[Items]],Check!$C$5:$C$33,0))</f>
        <v>SECADO</v>
      </c>
      <c r="F1014" s="69">
        <f>+IFERROR(INDEX(Tabla2[TC],MATCH(Compilado[[#This Row],[Mes]],Tabla2[Mes],0))*Compilado[[#This Row],[USD]],0)</f>
        <v>896.29237925045459</v>
      </c>
      <c r="G1014" s="150">
        <v>45992</v>
      </c>
    </row>
    <row r="1015" spans="1:7">
      <c r="A1015" t="s">
        <v>354</v>
      </c>
      <c r="B1015" t="s">
        <v>96</v>
      </c>
      <c r="C1015" s="2">
        <v>18.386094316129903</v>
      </c>
      <c r="D1015" t="s">
        <v>4</v>
      </c>
      <c r="E1015" t="str">
        <f>+INDEX(Check!$B$5:$B$33,MATCH(Compilado[[#This Row],[Items]],Check!$C$5:$C$33,0))</f>
        <v>SECADO</v>
      </c>
      <c r="F1015" s="69">
        <f>+IFERROR(INDEX(Tabla2[TC],MATCH(Compilado[[#This Row],[Mes]],Tabla2[Mes],0))*Compilado[[#This Row],[USD]],0)</f>
        <v>22438.012721639108</v>
      </c>
      <c r="G1015" s="150">
        <v>46023</v>
      </c>
    </row>
    <row r="1016" spans="1:7">
      <c r="A1016" t="s">
        <v>354</v>
      </c>
      <c r="B1016" t="s">
        <v>97</v>
      </c>
      <c r="C1016" s="2">
        <v>60.478804684180261</v>
      </c>
      <c r="D1016" t="s">
        <v>4</v>
      </c>
      <c r="E1016" t="str">
        <f>+INDEX(Check!$B$5:$B$33,MATCH(Compilado[[#This Row],[Items]],Check!$C$5:$C$33,0))</f>
        <v>SECADO</v>
      </c>
      <c r="F1016" s="69">
        <f>+IFERROR(INDEX(Tabla2[TC],MATCH(Compilado[[#This Row],[Mes]],Tabla2[Mes],0))*Compilado[[#This Row],[USD]],0)</f>
        <v>74545.164797707417</v>
      </c>
      <c r="G1016" s="150">
        <v>46054</v>
      </c>
    </row>
    <row r="1017" spans="1:7">
      <c r="A1017" t="s">
        <v>354</v>
      </c>
      <c r="B1017" t="s">
        <v>98</v>
      </c>
      <c r="C1017" s="2">
        <v>56.212228907083485</v>
      </c>
      <c r="D1017" t="s">
        <v>4</v>
      </c>
      <c r="E1017" t="str">
        <f>+INDEX(Check!$B$5:$B$33,MATCH(Compilado[[#This Row],[Items]],Check!$C$5:$C$33,0))</f>
        <v>SECADO</v>
      </c>
      <c r="F1017" s="69">
        <f>+IFERROR(INDEX(Tabla2[TC],MATCH(Compilado[[#This Row],[Mes]],Tabla2[Mes],0))*Compilado[[#This Row],[USD]],0)</f>
        <v>69979.117284163061</v>
      </c>
      <c r="G1017" s="150">
        <v>46082</v>
      </c>
    </row>
    <row r="1018" spans="1:7">
      <c r="A1018" t="s">
        <v>354</v>
      </c>
      <c r="B1018" t="s">
        <v>99</v>
      </c>
      <c r="C1018" s="2">
        <v>34.978384799322036</v>
      </c>
      <c r="D1018" t="s">
        <v>4</v>
      </c>
      <c r="E1018" t="str">
        <f>+INDEX(Check!$B$5:$B$33,MATCH(Compilado[[#This Row],[Items]],Check!$C$5:$C$33,0))</f>
        <v>SECADO</v>
      </c>
      <c r="F1018" s="69">
        <f>+IFERROR(INDEX(Tabla2[TC],MATCH(Compilado[[#This Row],[Mes]],Tabla2[Mes],0))*Compilado[[#This Row],[USD]],0)</f>
        <v>43980.359883819379</v>
      </c>
      <c r="G1018" s="150">
        <v>46113</v>
      </c>
    </row>
    <row r="1019" spans="1:7">
      <c r="A1019" t="s">
        <v>355</v>
      </c>
      <c r="B1019" t="s">
        <v>88</v>
      </c>
      <c r="C1019" s="2">
        <v>0</v>
      </c>
      <c r="D1019" t="s">
        <v>4</v>
      </c>
      <c r="E1019" t="str">
        <f>+INDEX(Check!$B$5:$B$33,MATCH(Compilado[[#This Row],[Items]],Check!$C$5:$C$33,0))</f>
        <v>SECADO</v>
      </c>
      <c r="F1019" s="69">
        <f>+IFERROR(INDEX(Tabla2[TC],MATCH(Compilado[[#This Row],[Mes]],Tabla2[Mes],0))*Compilado[[#This Row],[USD]],0)</f>
        <v>0</v>
      </c>
      <c r="G1019" s="150">
        <v>45778</v>
      </c>
    </row>
    <row r="1020" spans="1:7">
      <c r="A1020" t="s">
        <v>355</v>
      </c>
      <c r="B1020" t="s">
        <v>89</v>
      </c>
      <c r="C1020" s="2">
        <v>0</v>
      </c>
      <c r="D1020" t="s">
        <v>4</v>
      </c>
      <c r="E1020" t="str">
        <f>+INDEX(Check!$B$5:$B$33,MATCH(Compilado[[#This Row],[Items]],Check!$C$5:$C$33,0))</f>
        <v>SECADO</v>
      </c>
      <c r="F1020" s="69">
        <f>+IFERROR(INDEX(Tabla2[TC],MATCH(Compilado[[#This Row],[Mes]],Tabla2[Mes],0))*Compilado[[#This Row],[USD]],0)</f>
        <v>0</v>
      </c>
      <c r="G1020" s="150">
        <v>45809</v>
      </c>
    </row>
    <row r="1021" spans="1:7">
      <c r="A1021" t="s">
        <v>355</v>
      </c>
      <c r="B1021" t="s">
        <v>90</v>
      </c>
      <c r="C1021" s="2">
        <v>0</v>
      </c>
      <c r="D1021" t="s">
        <v>4</v>
      </c>
      <c r="E1021" t="str">
        <f>+INDEX(Check!$B$5:$B$33,MATCH(Compilado[[#This Row],[Items]],Check!$C$5:$C$33,0))</f>
        <v>SECADO</v>
      </c>
      <c r="F1021" s="69">
        <f>+IFERROR(INDEX(Tabla2[TC],MATCH(Compilado[[#This Row],[Mes]],Tabla2[Mes],0))*Compilado[[#This Row],[USD]],0)</f>
        <v>0</v>
      </c>
      <c r="G1021" s="150">
        <v>45839</v>
      </c>
    </row>
    <row r="1022" spans="1:7">
      <c r="A1022" t="s">
        <v>355</v>
      </c>
      <c r="B1022" t="s">
        <v>91</v>
      </c>
      <c r="C1022" s="2">
        <v>0</v>
      </c>
      <c r="D1022" t="s">
        <v>4</v>
      </c>
      <c r="E1022" t="str">
        <f>+INDEX(Check!$B$5:$B$33,MATCH(Compilado[[#This Row],[Items]],Check!$C$5:$C$33,0))</f>
        <v>SECADO</v>
      </c>
      <c r="F1022" s="69">
        <f>+IFERROR(INDEX(Tabla2[TC],MATCH(Compilado[[#This Row],[Mes]],Tabla2[Mes],0))*Compilado[[#This Row],[USD]],0)</f>
        <v>0</v>
      </c>
      <c r="G1022" s="150">
        <v>45870</v>
      </c>
    </row>
    <row r="1023" spans="1:7">
      <c r="A1023" t="s">
        <v>355</v>
      </c>
      <c r="B1023" t="s">
        <v>92</v>
      </c>
      <c r="C1023" s="2">
        <v>0</v>
      </c>
      <c r="D1023" t="s">
        <v>4</v>
      </c>
      <c r="E1023" t="str">
        <f>+INDEX(Check!$B$5:$B$33,MATCH(Compilado[[#This Row],[Items]],Check!$C$5:$C$33,0))</f>
        <v>SECADO</v>
      </c>
      <c r="F1023" s="69">
        <f>+IFERROR(INDEX(Tabla2[TC],MATCH(Compilado[[#This Row],[Mes]],Tabla2[Mes],0))*Compilado[[#This Row],[USD]],0)</f>
        <v>0</v>
      </c>
      <c r="G1023" s="150">
        <v>45901</v>
      </c>
    </row>
    <row r="1024" spans="1:7">
      <c r="A1024" t="s">
        <v>355</v>
      </c>
      <c r="B1024" t="s">
        <v>93</v>
      </c>
      <c r="C1024" s="2">
        <v>0</v>
      </c>
      <c r="D1024" t="s">
        <v>4</v>
      </c>
      <c r="E1024" t="str">
        <f>+INDEX(Check!$B$5:$B$33,MATCH(Compilado[[#This Row],[Items]],Check!$C$5:$C$33,0))</f>
        <v>SECADO</v>
      </c>
      <c r="F1024" s="69">
        <f>+IFERROR(INDEX(Tabla2[TC],MATCH(Compilado[[#This Row],[Mes]],Tabla2[Mes],0))*Compilado[[#This Row],[USD]],0)</f>
        <v>0</v>
      </c>
      <c r="G1024" s="150">
        <v>45931</v>
      </c>
    </row>
    <row r="1025" spans="1:7">
      <c r="A1025" t="s">
        <v>355</v>
      </c>
      <c r="B1025" t="s">
        <v>94</v>
      </c>
      <c r="C1025" s="2">
        <v>0</v>
      </c>
      <c r="D1025" t="s">
        <v>4</v>
      </c>
      <c r="E1025" t="str">
        <f>+INDEX(Check!$B$5:$B$33,MATCH(Compilado[[#This Row],[Items]],Check!$C$5:$C$33,0))</f>
        <v>SECADO</v>
      </c>
      <c r="F1025" s="69">
        <f>+IFERROR(INDEX(Tabla2[TC],MATCH(Compilado[[#This Row],[Mes]],Tabla2[Mes],0))*Compilado[[#This Row],[USD]],0)</f>
        <v>0</v>
      </c>
      <c r="G1025" s="150">
        <v>45962</v>
      </c>
    </row>
    <row r="1026" spans="1:7">
      <c r="A1026" t="s">
        <v>355</v>
      </c>
      <c r="B1026" t="s">
        <v>95</v>
      </c>
      <c r="C1026" s="2">
        <v>0</v>
      </c>
      <c r="D1026" t="s">
        <v>4</v>
      </c>
      <c r="E1026" t="str">
        <f>+INDEX(Check!$B$5:$B$33,MATCH(Compilado[[#This Row],[Items]],Check!$C$5:$C$33,0))</f>
        <v>SECADO</v>
      </c>
      <c r="F1026" s="69">
        <f>+IFERROR(INDEX(Tabla2[TC],MATCH(Compilado[[#This Row],[Mes]],Tabla2[Mes],0))*Compilado[[#This Row],[USD]],0)</f>
        <v>0</v>
      </c>
      <c r="G1026" s="150">
        <v>45992</v>
      </c>
    </row>
    <row r="1027" spans="1:7">
      <c r="A1027" t="s">
        <v>355</v>
      </c>
      <c r="B1027" t="s">
        <v>96</v>
      </c>
      <c r="C1027" s="2">
        <v>0</v>
      </c>
      <c r="D1027" t="s">
        <v>4</v>
      </c>
      <c r="E1027" t="str">
        <f>+INDEX(Check!$B$5:$B$33,MATCH(Compilado[[#This Row],[Items]],Check!$C$5:$C$33,0))</f>
        <v>SECADO</v>
      </c>
      <c r="F1027" s="69">
        <f>+IFERROR(INDEX(Tabla2[TC],MATCH(Compilado[[#This Row],[Mes]],Tabla2[Mes],0))*Compilado[[#This Row],[USD]],0)</f>
        <v>0</v>
      </c>
      <c r="G1027" s="150">
        <v>46023</v>
      </c>
    </row>
    <row r="1028" spans="1:7">
      <c r="A1028" t="s">
        <v>355</v>
      </c>
      <c r="B1028" t="s">
        <v>97</v>
      </c>
      <c r="C1028" s="2">
        <v>0</v>
      </c>
      <c r="D1028" t="s">
        <v>4</v>
      </c>
      <c r="E1028" t="str">
        <f>+INDEX(Check!$B$5:$B$33,MATCH(Compilado[[#This Row],[Items]],Check!$C$5:$C$33,0))</f>
        <v>SECADO</v>
      </c>
      <c r="F1028" s="69">
        <f>+IFERROR(INDEX(Tabla2[TC],MATCH(Compilado[[#This Row],[Mes]],Tabla2[Mes],0))*Compilado[[#This Row],[USD]],0)</f>
        <v>0</v>
      </c>
      <c r="G1028" s="150">
        <v>46054</v>
      </c>
    </row>
    <row r="1029" spans="1:7">
      <c r="A1029" t="s">
        <v>355</v>
      </c>
      <c r="B1029" t="s">
        <v>98</v>
      </c>
      <c r="C1029" s="2">
        <v>0</v>
      </c>
      <c r="D1029" t="s">
        <v>4</v>
      </c>
      <c r="E1029" t="str">
        <f>+INDEX(Check!$B$5:$B$33,MATCH(Compilado[[#This Row],[Items]],Check!$C$5:$C$33,0))</f>
        <v>SECADO</v>
      </c>
      <c r="F1029" s="69">
        <f>+IFERROR(INDEX(Tabla2[TC],MATCH(Compilado[[#This Row],[Mes]],Tabla2[Mes],0))*Compilado[[#This Row],[USD]],0)</f>
        <v>0</v>
      </c>
      <c r="G1029" s="150">
        <v>46082</v>
      </c>
    </row>
    <row r="1030" spans="1:7">
      <c r="A1030" t="s">
        <v>355</v>
      </c>
      <c r="B1030" t="s">
        <v>99</v>
      </c>
      <c r="C1030" s="2">
        <v>0</v>
      </c>
      <c r="D1030" t="s">
        <v>4</v>
      </c>
      <c r="E1030" t="str">
        <f>+INDEX(Check!$B$5:$B$33,MATCH(Compilado[[#This Row],[Items]],Check!$C$5:$C$33,0))</f>
        <v>SECADO</v>
      </c>
      <c r="F1030" s="69">
        <f>+IFERROR(INDEX(Tabla2[TC],MATCH(Compilado[[#This Row],[Mes]],Tabla2[Mes],0))*Compilado[[#This Row],[USD]],0)</f>
        <v>0</v>
      </c>
      <c r="G1030" s="150">
        <v>46113</v>
      </c>
    </row>
    <row r="1031" spans="1:7">
      <c r="A1031" t="s">
        <v>133</v>
      </c>
      <c r="B1031" t="s">
        <v>88</v>
      </c>
      <c r="C1031" s="2">
        <v>763.91014446199324</v>
      </c>
      <c r="D1031" t="s">
        <v>4</v>
      </c>
      <c r="E1031" t="str">
        <f>+INDEX(Check!$B$5:$B$33,MATCH(Compilado[[#This Row],[Items]],Check!$C$5:$C$33,0))</f>
        <v>SECADO</v>
      </c>
      <c r="F1031" s="69">
        <f>+IFERROR(INDEX(Tabla2[TC],MATCH(Compilado[[#This Row],[Mes]],Tabla2[Mes],0))*Compilado[[#This Row],[USD]],0)</f>
        <v>860926.73280866642</v>
      </c>
      <c r="G1031" s="150">
        <v>45778</v>
      </c>
    </row>
    <row r="1032" spans="1:7">
      <c r="A1032" t="s">
        <v>133</v>
      </c>
      <c r="B1032" t="s">
        <v>89</v>
      </c>
      <c r="C1032" s="2">
        <v>662.20325898097758</v>
      </c>
      <c r="D1032" t="s">
        <v>4</v>
      </c>
      <c r="E1032" t="str">
        <f>+INDEX(Check!$B$5:$B$33,MATCH(Compilado[[#This Row],[Items]],Check!$C$5:$C$33,0))</f>
        <v>SECADO</v>
      </c>
      <c r="F1032" s="69">
        <f>+IFERROR(INDEX(Tabla2[TC],MATCH(Compilado[[#This Row],[Mes]],Tabla2[Mes],0))*Compilado[[#This Row],[USD]],0)</f>
        <v>753766.10360027733</v>
      </c>
      <c r="G1032" s="150">
        <v>45809</v>
      </c>
    </row>
    <row r="1033" spans="1:7">
      <c r="A1033" t="s">
        <v>133</v>
      </c>
      <c r="B1033" t="s">
        <v>90</v>
      </c>
      <c r="C1033" s="2">
        <v>0</v>
      </c>
      <c r="D1033" t="s">
        <v>4</v>
      </c>
      <c r="E1033" t="str">
        <f>+INDEX(Check!$B$5:$B$33,MATCH(Compilado[[#This Row],[Items]],Check!$C$5:$C$33,0))</f>
        <v>SECADO</v>
      </c>
      <c r="F1033" s="69">
        <f>+IFERROR(INDEX(Tabla2[TC],MATCH(Compilado[[#This Row],[Mes]],Tabla2[Mes],0))*Compilado[[#This Row],[USD]],0)</f>
        <v>0</v>
      </c>
      <c r="G1033" s="150">
        <v>45839</v>
      </c>
    </row>
    <row r="1034" spans="1:7">
      <c r="A1034" t="s">
        <v>133</v>
      </c>
      <c r="B1034" t="s">
        <v>91</v>
      </c>
      <c r="C1034" s="2">
        <v>0</v>
      </c>
      <c r="D1034" t="s">
        <v>4</v>
      </c>
      <c r="E1034" t="str">
        <f>+INDEX(Check!$B$5:$B$33,MATCH(Compilado[[#This Row],[Items]],Check!$C$5:$C$33,0))</f>
        <v>SECADO</v>
      </c>
      <c r="F1034" s="69">
        <f>+IFERROR(INDEX(Tabla2[TC],MATCH(Compilado[[#This Row],[Mes]],Tabla2[Mes],0))*Compilado[[#This Row],[USD]],0)</f>
        <v>0</v>
      </c>
      <c r="G1034" s="150">
        <v>45870</v>
      </c>
    </row>
    <row r="1035" spans="1:7">
      <c r="A1035" t="s">
        <v>133</v>
      </c>
      <c r="B1035" t="s">
        <v>92</v>
      </c>
      <c r="C1035" s="2">
        <v>54.56139052463422</v>
      </c>
      <c r="D1035" t="s">
        <v>4</v>
      </c>
      <c r="E1035" t="str">
        <f>+INDEX(Check!$B$5:$B$33,MATCH(Compilado[[#This Row],[Items]],Check!$C$5:$C$33,0))</f>
        <v>SECADO</v>
      </c>
      <c r="F1035" s="69">
        <f>+IFERROR(INDEX(Tabla2[TC],MATCH(Compilado[[#This Row],[Mes]],Tabla2[Mes],0))*Compilado[[#This Row],[USD]],0)</f>
        <v>63987.4555960414</v>
      </c>
      <c r="G1035" s="150">
        <v>45901</v>
      </c>
    </row>
    <row r="1036" spans="1:7">
      <c r="A1036" t="s">
        <v>133</v>
      </c>
      <c r="B1036" t="s">
        <v>93</v>
      </c>
      <c r="C1036" s="2">
        <v>0</v>
      </c>
      <c r="D1036" t="s">
        <v>4</v>
      </c>
      <c r="E1036" t="str">
        <f>+INDEX(Check!$B$5:$B$33,MATCH(Compilado[[#This Row],[Items]],Check!$C$5:$C$33,0))</f>
        <v>SECADO</v>
      </c>
      <c r="F1036" s="69">
        <f>+IFERROR(INDEX(Tabla2[TC],MATCH(Compilado[[#This Row],[Mes]],Tabla2[Mes],0))*Compilado[[#This Row],[USD]],0)</f>
        <v>0</v>
      </c>
      <c r="G1036" s="150">
        <v>45931</v>
      </c>
    </row>
    <row r="1037" spans="1:7">
      <c r="A1037" t="s">
        <v>133</v>
      </c>
      <c r="B1037" t="s">
        <v>94</v>
      </c>
      <c r="C1037" s="2">
        <v>0</v>
      </c>
      <c r="D1037" t="s">
        <v>4</v>
      </c>
      <c r="E1037" t="str">
        <f>+INDEX(Check!$B$5:$B$33,MATCH(Compilado[[#This Row],[Items]],Check!$C$5:$C$33,0))</f>
        <v>SECADO</v>
      </c>
      <c r="F1037" s="69">
        <f>+IFERROR(INDEX(Tabla2[TC],MATCH(Compilado[[#This Row],[Mes]],Tabla2[Mes],0))*Compilado[[#This Row],[USD]],0)</f>
        <v>0</v>
      </c>
      <c r="G1037" s="150">
        <v>45962</v>
      </c>
    </row>
    <row r="1038" spans="1:7">
      <c r="A1038" t="s">
        <v>133</v>
      </c>
      <c r="B1038" t="s">
        <v>95</v>
      </c>
      <c r="C1038" s="2">
        <v>18.559949430842309</v>
      </c>
      <c r="D1038" t="s">
        <v>4</v>
      </c>
      <c r="E1038" t="str">
        <f>+INDEX(Check!$B$5:$B$33,MATCH(Compilado[[#This Row],[Items]],Check!$C$5:$C$33,0))</f>
        <v>SECADO</v>
      </c>
      <c r="F1038" s="69">
        <f>+IFERROR(INDEX(Tabla2[TC],MATCH(Compilado[[#This Row],[Mes]],Tabla2[Mes],0))*Compilado[[#This Row],[USD]],0)</f>
        <v>22425.922713726221</v>
      </c>
      <c r="G1038" s="150">
        <v>45992</v>
      </c>
    </row>
    <row r="1039" spans="1:7">
      <c r="A1039" t="s">
        <v>133</v>
      </c>
      <c r="B1039" t="s">
        <v>96</v>
      </c>
      <c r="C1039" s="2">
        <v>463.1703333665771</v>
      </c>
      <c r="D1039" t="s">
        <v>4</v>
      </c>
      <c r="E1039" t="str">
        <f>+INDEX(Check!$B$5:$B$33,MATCH(Compilado[[#This Row],[Items]],Check!$C$5:$C$33,0))</f>
        <v>SECADO</v>
      </c>
      <c r="F1039" s="69">
        <f>+IFERROR(INDEX(Tabla2[TC],MATCH(Compilado[[#This Row],[Mes]],Tabla2[Mes],0))*Compilado[[#This Row],[USD]],0)</f>
        <v>565243.58320340817</v>
      </c>
      <c r="G1039" s="150">
        <v>46023</v>
      </c>
    </row>
    <row r="1040" spans="1:7">
      <c r="A1040" t="s">
        <v>133</v>
      </c>
      <c r="B1040" t="s">
        <v>97</v>
      </c>
      <c r="C1040" s="2">
        <v>1533.7650033743475</v>
      </c>
      <c r="D1040" t="s">
        <v>4</v>
      </c>
      <c r="E1040" t="str">
        <f>+INDEX(Check!$B$5:$B$33,MATCH(Compilado[[#This Row],[Items]],Check!$C$5:$C$33,0))</f>
        <v>SECADO</v>
      </c>
      <c r="F1040" s="69">
        <f>+IFERROR(INDEX(Tabla2[TC],MATCH(Compilado[[#This Row],[Mes]],Tabla2[Mes],0))*Compilado[[#This Row],[USD]],0)</f>
        <v>1890493.1328347519</v>
      </c>
      <c r="G1040" s="150">
        <v>46054</v>
      </c>
    </row>
    <row r="1041" spans="1:7">
      <c r="A1041" t="s">
        <v>133</v>
      </c>
      <c r="B1041" t="s">
        <v>98</v>
      </c>
      <c r="C1041" s="2">
        <v>1435.3349876874306</v>
      </c>
      <c r="D1041" t="s">
        <v>4</v>
      </c>
      <c r="E1041" t="str">
        <f>+INDEX(Check!$B$5:$B$33,MATCH(Compilado[[#This Row],[Items]],Check!$C$5:$C$33,0))</f>
        <v>SECADO</v>
      </c>
      <c r="F1041" s="69">
        <f>+IFERROR(INDEX(Tabla2[TC],MATCH(Compilado[[#This Row],[Mes]],Tabla2[Mes],0))*Compilado[[#This Row],[USD]],0)</f>
        <v>1786861.6384429515</v>
      </c>
      <c r="G1041" s="150">
        <v>46082</v>
      </c>
    </row>
    <row r="1042" spans="1:7">
      <c r="A1042" t="s">
        <v>133</v>
      </c>
      <c r="B1042" t="s">
        <v>99</v>
      </c>
      <c r="C1042" s="2">
        <v>899.16594236082869</v>
      </c>
      <c r="D1042" t="s">
        <v>4</v>
      </c>
      <c r="E1042" t="str">
        <f>+INDEX(Check!$B$5:$B$33,MATCH(Compilado[[#This Row],[Items]],Check!$C$5:$C$33,0))</f>
        <v>SECADO</v>
      </c>
      <c r="F1042" s="69">
        <f>+IFERROR(INDEX(Tabla2[TC],MATCH(Compilado[[#This Row],[Mes]],Tabla2[Mes],0))*Compilado[[#This Row],[USD]],0)</f>
        <v>1130573.6947884834</v>
      </c>
      <c r="G1042" s="150">
        <v>46113</v>
      </c>
    </row>
    <row r="1043" spans="1:7">
      <c r="A1043" t="s">
        <v>353</v>
      </c>
      <c r="B1043" t="s">
        <v>95</v>
      </c>
      <c r="C1043" s="2">
        <v>2077.5</v>
      </c>
      <c r="D1043" t="s">
        <v>373</v>
      </c>
      <c r="E1043" t="str">
        <f>+INDEX(Check!$B$5:$B$33,MATCH(Compilado[[#This Row],[Items]],Check!$C$5:$C$33,0))</f>
        <v>SECADO</v>
      </c>
      <c r="F1043" s="69">
        <f>+IFERROR(INDEX(Tabla2[TC],MATCH(Compilado[[#This Row],[Mes]],Tabla2[Mes],0))*Compilado[[#This Row],[USD]],0)</f>
        <v>2510236.0656406074</v>
      </c>
      <c r="G1043" s="150">
        <v>45992</v>
      </c>
    </row>
    <row r="1044" spans="1:7">
      <c r="A1044" t="s">
        <v>353</v>
      </c>
      <c r="B1044" t="s">
        <v>96</v>
      </c>
      <c r="C1044" s="2">
        <v>2077.5</v>
      </c>
      <c r="D1044" t="s">
        <v>373</v>
      </c>
      <c r="E1044" t="str">
        <f>+INDEX(Check!$B$5:$B$33,MATCH(Compilado[[#This Row],[Items]],Check!$C$5:$C$33,0))</f>
        <v>SECADO</v>
      </c>
      <c r="F1044" s="69">
        <f>+IFERROR(INDEX(Tabla2[TC],MATCH(Compilado[[#This Row],[Mes]],Tabla2[Mes],0))*Compilado[[#This Row],[USD]],0)</f>
        <v>2535338.4262970132</v>
      </c>
      <c r="G1044" s="150">
        <v>46023</v>
      </c>
    </row>
    <row r="1045" spans="1:7">
      <c r="A1045" t="s">
        <v>353</v>
      </c>
      <c r="B1045" t="s">
        <v>97</v>
      </c>
      <c r="C1045" s="2">
        <v>2077.5</v>
      </c>
      <c r="D1045" t="s">
        <v>373</v>
      </c>
      <c r="E1045" t="str">
        <f>+INDEX(Check!$B$5:$B$33,MATCH(Compilado[[#This Row],[Items]],Check!$C$5:$C$33,0))</f>
        <v>SECADO</v>
      </c>
      <c r="F1045" s="69">
        <f>+IFERROR(INDEX(Tabla2[TC],MATCH(Compilado[[#This Row],[Mes]],Tabla2[Mes],0))*Compilado[[#This Row],[USD]],0)</f>
        <v>2560691.8105599834</v>
      </c>
      <c r="G1045" s="150">
        <v>46054</v>
      </c>
    </row>
    <row r="1046" spans="1:7">
      <c r="A1046" t="s">
        <v>353</v>
      </c>
      <c r="B1046" t="s">
        <v>98</v>
      </c>
      <c r="C1046" s="2">
        <v>1038.75</v>
      </c>
      <c r="D1046" t="s">
        <v>373</v>
      </c>
      <c r="E1046" t="str">
        <f>+INDEX(Check!$B$5:$B$33,MATCH(Compilado[[#This Row],[Items]],Check!$C$5:$C$33,0))</f>
        <v>SECADO</v>
      </c>
      <c r="F1046" s="69">
        <f>+IFERROR(INDEX(Tabla2[TC],MATCH(Compilado[[#This Row],[Mes]],Tabla2[Mes],0))*Compilado[[#This Row],[USD]],0)</f>
        <v>1293149.3643327914</v>
      </c>
      <c r="G1046" s="150">
        <v>46082</v>
      </c>
    </row>
    <row r="1047" spans="1:7">
      <c r="A1047" t="s">
        <v>354</v>
      </c>
      <c r="B1047" t="s">
        <v>88</v>
      </c>
      <c r="C1047" s="2">
        <v>3.4400018083147157</v>
      </c>
      <c r="D1047" t="s">
        <v>373</v>
      </c>
      <c r="E1047" t="str">
        <f>+INDEX(Check!$B$5:$B$33,MATCH(Compilado[[#This Row],[Items]],Check!$C$5:$C$33,0))</f>
        <v>SECADO</v>
      </c>
      <c r="F1047" s="69">
        <f>+IFERROR(INDEX(Tabla2[TC],MATCH(Compilado[[#This Row],[Mes]],Tabla2[Mes],0))*Compilado[[#This Row],[USD]],0)</f>
        <v>3876.8820379706845</v>
      </c>
      <c r="G1047" s="150">
        <v>45778</v>
      </c>
    </row>
    <row r="1048" spans="1:7">
      <c r="A1048" t="s">
        <v>354</v>
      </c>
      <c r="B1048" t="s">
        <v>89</v>
      </c>
      <c r="C1048" s="2">
        <v>2.9615095386841213</v>
      </c>
      <c r="D1048" t="s">
        <v>373</v>
      </c>
      <c r="E1048" t="str">
        <f>+INDEX(Check!$B$5:$B$33,MATCH(Compilado[[#This Row],[Items]],Check!$C$5:$C$33,0))</f>
        <v>SECADO</v>
      </c>
      <c r="F1048" s="69">
        <f>+IFERROR(INDEX(Tabla2[TC],MATCH(Compilado[[#This Row],[Mes]],Tabla2[Mes],0))*Compilado[[#This Row],[USD]],0)</f>
        <v>3370.9974625979748</v>
      </c>
      <c r="G1048" s="150">
        <v>45809</v>
      </c>
    </row>
    <row r="1049" spans="1:7">
      <c r="A1049" t="s">
        <v>354</v>
      </c>
      <c r="B1049" t="s">
        <v>90</v>
      </c>
      <c r="C1049" s="2">
        <v>0</v>
      </c>
      <c r="D1049" t="s">
        <v>373</v>
      </c>
      <c r="E1049" t="str">
        <f>+INDEX(Check!$B$5:$B$33,MATCH(Compilado[[#This Row],[Items]],Check!$C$5:$C$33,0))</f>
        <v>SECADO</v>
      </c>
      <c r="F1049" s="69">
        <f>+IFERROR(INDEX(Tabla2[TC],MATCH(Compilado[[#This Row],[Mes]],Tabla2[Mes],0))*Compilado[[#This Row],[USD]],0)</f>
        <v>0</v>
      </c>
      <c r="G1049" s="150">
        <v>45839</v>
      </c>
    </row>
    <row r="1050" spans="1:7">
      <c r="A1050" t="s">
        <v>354</v>
      </c>
      <c r="B1050" t="s">
        <v>91</v>
      </c>
      <c r="C1050" s="2">
        <v>0</v>
      </c>
      <c r="D1050" t="s">
        <v>373</v>
      </c>
      <c r="E1050" t="str">
        <f>+INDEX(Check!$B$5:$B$33,MATCH(Compilado[[#This Row],[Items]],Check!$C$5:$C$33,0))</f>
        <v>SECADO</v>
      </c>
      <c r="F1050" s="69">
        <f>+IFERROR(INDEX(Tabla2[TC],MATCH(Compilado[[#This Row],[Mes]],Tabla2[Mes],0))*Compilado[[#This Row],[USD]],0)</f>
        <v>0</v>
      </c>
      <c r="G1050" s="150">
        <v>45870</v>
      </c>
    </row>
    <row r="1051" spans="1:7">
      <c r="A1051" t="s">
        <v>354</v>
      </c>
      <c r="B1051" t="s">
        <v>92</v>
      </c>
      <c r="C1051" s="2">
        <v>0.23907347686274391</v>
      </c>
      <c r="D1051" t="s">
        <v>373</v>
      </c>
      <c r="E1051" t="str">
        <f>+INDEX(Check!$B$5:$B$33,MATCH(Compilado[[#This Row],[Items]],Check!$C$5:$C$33,0))</f>
        <v>SECADO</v>
      </c>
      <c r="F1051" s="69">
        <f>+IFERROR(INDEX(Tabla2[TC],MATCH(Compilado[[#This Row],[Mes]],Tabla2[Mes],0))*Compilado[[#This Row],[USD]],0)</f>
        <v>280.37598268393128</v>
      </c>
      <c r="G1051" s="150">
        <v>45901</v>
      </c>
    </row>
    <row r="1052" spans="1:7">
      <c r="A1052" t="s">
        <v>354</v>
      </c>
      <c r="B1052" t="s">
        <v>93</v>
      </c>
      <c r="C1052" s="2">
        <v>0</v>
      </c>
      <c r="D1052" t="s">
        <v>373</v>
      </c>
      <c r="E1052" t="str">
        <f>+INDEX(Check!$B$5:$B$33,MATCH(Compilado[[#This Row],[Items]],Check!$C$5:$C$33,0))</f>
        <v>SECADO</v>
      </c>
      <c r="F1052" s="69">
        <f>+IFERROR(INDEX(Tabla2[TC],MATCH(Compilado[[#This Row],[Mes]],Tabla2[Mes],0))*Compilado[[#This Row],[USD]],0)</f>
        <v>0</v>
      </c>
      <c r="G1052" s="150">
        <v>45931</v>
      </c>
    </row>
    <row r="1053" spans="1:7">
      <c r="A1053" t="s">
        <v>354</v>
      </c>
      <c r="B1053" t="s">
        <v>94</v>
      </c>
      <c r="C1053" s="2">
        <v>0</v>
      </c>
      <c r="D1053" t="s">
        <v>373</v>
      </c>
      <c r="E1053" t="str">
        <f>+INDEX(Check!$B$5:$B$33,MATCH(Compilado[[#This Row],[Items]],Check!$C$5:$C$33,0))</f>
        <v>SECADO</v>
      </c>
      <c r="F1053" s="69">
        <f>+IFERROR(INDEX(Tabla2[TC],MATCH(Compilado[[#This Row],[Mes]],Tabla2[Mes],0))*Compilado[[#This Row],[USD]],0)</f>
        <v>0</v>
      </c>
      <c r="G1053" s="150">
        <v>45962</v>
      </c>
    </row>
    <row r="1054" spans="1:7">
      <c r="A1054" t="s">
        <v>354</v>
      </c>
      <c r="B1054" t="s">
        <v>95</v>
      </c>
      <c r="C1054" s="2">
        <v>7.967494688514154E-2</v>
      </c>
      <c r="D1054" t="s">
        <v>373</v>
      </c>
      <c r="E1054" t="str">
        <f>+INDEX(Check!$B$5:$B$33,MATCH(Compilado[[#This Row],[Items]],Check!$C$5:$C$33,0))</f>
        <v>SECADO</v>
      </c>
      <c r="F1054" s="69">
        <f>+IFERROR(INDEX(Tabla2[TC],MATCH(Compilado[[#This Row],[Mes]],Tabla2[Mes],0))*Compilado[[#This Row],[USD]],0)</f>
        <v>96.27096279137524</v>
      </c>
      <c r="G1054" s="150">
        <v>45992</v>
      </c>
    </row>
    <row r="1055" spans="1:7">
      <c r="A1055" t="s">
        <v>354</v>
      </c>
      <c r="B1055" t="s">
        <v>96</v>
      </c>
      <c r="C1055" s="2">
        <v>1.974723156433418</v>
      </c>
      <c r="D1055" t="s">
        <v>373</v>
      </c>
      <c r="E1055" t="str">
        <f>+INDEX(Check!$B$5:$B$33,MATCH(Compilado[[#This Row],[Items]],Check!$C$5:$C$33,0))</f>
        <v>SECADO</v>
      </c>
      <c r="F1055" s="69">
        <f>+IFERROR(INDEX(Tabla2[TC],MATCH(Compilado[[#This Row],[Mes]],Tabla2[Mes],0))*Compilado[[#This Row],[USD]],0)</f>
        <v>2409.9116725892527</v>
      </c>
      <c r="G1055" s="150">
        <v>46023</v>
      </c>
    </row>
    <row r="1056" spans="1:7">
      <c r="A1056" t="s">
        <v>354</v>
      </c>
      <c r="B1056" t="s">
        <v>97</v>
      </c>
      <c r="C1056" s="2">
        <v>6.4951822626317899</v>
      </c>
      <c r="D1056" t="s">
        <v>373</v>
      </c>
      <c r="E1056" t="str">
        <f>+INDEX(Check!$B$5:$B$33,MATCH(Compilado[[#This Row],[Items]],Check!$C$5:$C$33,0))</f>
        <v>SECADO</v>
      </c>
      <c r="F1056" s="69">
        <f>+IFERROR(INDEX(Tabla2[TC],MATCH(Compilado[[#This Row],[Mes]],Tabla2[Mes],0))*Compilado[[#This Row],[USD]],0)</f>
        <v>8005.8532024142896</v>
      </c>
      <c r="G1056" s="150">
        <v>46054</v>
      </c>
    </row>
    <row r="1057" spans="1:7">
      <c r="A1057" t="s">
        <v>354</v>
      </c>
      <c r="B1057" t="s">
        <v>98</v>
      </c>
      <c r="C1057" s="2">
        <v>6.0365755266359029</v>
      </c>
      <c r="D1057" t="s">
        <v>373</v>
      </c>
      <c r="E1057" t="str">
        <f>+INDEX(Check!$B$5:$B$33,MATCH(Compilado[[#This Row],[Items]],Check!$C$5:$C$33,0))</f>
        <v>SECADO</v>
      </c>
      <c r="F1057" s="69">
        <f>+IFERROR(INDEX(Tabla2[TC],MATCH(Compilado[[#This Row],[Mes]],Tabla2[Mes],0))*Compilado[[#This Row],[USD]],0)</f>
        <v>7514.9880192694136</v>
      </c>
      <c r="G1057" s="150">
        <v>46082</v>
      </c>
    </row>
    <row r="1058" spans="1:7">
      <c r="A1058" t="s">
        <v>354</v>
      </c>
      <c r="B1058" t="s">
        <v>99</v>
      </c>
      <c r="C1058" s="2">
        <v>3.756051613201882</v>
      </c>
      <c r="D1058" t="s">
        <v>373</v>
      </c>
      <c r="E1058" t="str">
        <f>+INDEX(Check!$B$5:$B$33,MATCH(Compilado[[#This Row],[Items]],Check!$C$5:$C$33,0))</f>
        <v>SECADO</v>
      </c>
      <c r="F1058" s="69">
        <f>+IFERROR(INDEX(Tabla2[TC],MATCH(Compilado[[#This Row],[Mes]],Tabla2[Mes],0))*Compilado[[#This Row],[USD]],0)</f>
        <v>4722.7023957384372</v>
      </c>
      <c r="G1058" s="150">
        <v>46113</v>
      </c>
    </row>
    <row r="1059" spans="1:7">
      <c r="A1059" t="s">
        <v>355</v>
      </c>
      <c r="B1059" t="s">
        <v>88</v>
      </c>
      <c r="C1059" s="2">
        <v>0</v>
      </c>
      <c r="D1059" t="s">
        <v>373</v>
      </c>
      <c r="E1059" t="str">
        <f>+INDEX(Check!$B$5:$B$33,MATCH(Compilado[[#This Row],[Items]],Check!$C$5:$C$33,0))</f>
        <v>SECADO</v>
      </c>
      <c r="F1059" s="69">
        <f>+IFERROR(INDEX(Tabla2[TC],MATCH(Compilado[[#This Row],[Mes]],Tabla2[Mes],0))*Compilado[[#This Row],[USD]],0)</f>
        <v>0</v>
      </c>
      <c r="G1059" s="150">
        <v>45778</v>
      </c>
    </row>
    <row r="1060" spans="1:7">
      <c r="A1060" t="s">
        <v>355</v>
      </c>
      <c r="B1060" t="s">
        <v>89</v>
      </c>
      <c r="C1060" s="2">
        <v>0</v>
      </c>
      <c r="D1060" t="s">
        <v>373</v>
      </c>
      <c r="E1060" t="str">
        <f>+INDEX(Check!$B$5:$B$33,MATCH(Compilado[[#This Row],[Items]],Check!$C$5:$C$33,0))</f>
        <v>SECADO</v>
      </c>
      <c r="F1060" s="69">
        <f>+IFERROR(INDEX(Tabla2[TC],MATCH(Compilado[[#This Row],[Mes]],Tabla2[Mes],0))*Compilado[[#This Row],[USD]],0)</f>
        <v>0</v>
      </c>
      <c r="G1060" s="150">
        <v>45809</v>
      </c>
    </row>
    <row r="1061" spans="1:7">
      <c r="A1061" t="s">
        <v>355</v>
      </c>
      <c r="B1061" t="s">
        <v>90</v>
      </c>
      <c r="C1061" s="2">
        <v>0</v>
      </c>
      <c r="D1061" t="s">
        <v>373</v>
      </c>
      <c r="E1061" t="str">
        <f>+INDEX(Check!$B$5:$B$33,MATCH(Compilado[[#This Row],[Items]],Check!$C$5:$C$33,0))</f>
        <v>SECADO</v>
      </c>
      <c r="F1061" s="69">
        <f>+IFERROR(INDEX(Tabla2[TC],MATCH(Compilado[[#This Row],[Mes]],Tabla2[Mes],0))*Compilado[[#This Row],[USD]],0)</f>
        <v>0</v>
      </c>
      <c r="G1061" s="150">
        <v>45839</v>
      </c>
    </row>
    <row r="1062" spans="1:7">
      <c r="A1062" t="s">
        <v>355</v>
      </c>
      <c r="B1062" t="s">
        <v>91</v>
      </c>
      <c r="C1062" s="2">
        <v>0</v>
      </c>
      <c r="D1062" t="s">
        <v>373</v>
      </c>
      <c r="E1062" t="str">
        <f>+INDEX(Check!$B$5:$B$33,MATCH(Compilado[[#This Row],[Items]],Check!$C$5:$C$33,0))</f>
        <v>SECADO</v>
      </c>
      <c r="F1062" s="69">
        <f>+IFERROR(INDEX(Tabla2[TC],MATCH(Compilado[[#This Row],[Mes]],Tabla2[Mes],0))*Compilado[[#This Row],[USD]],0)</f>
        <v>0</v>
      </c>
      <c r="G1062" s="150">
        <v>45870</v>
      </c>
    </row>
    <row r="1063" spans="1:7">
      <c r="A1063" t="s">
        <v>355</v>
      </c>
      <c r="B1063" t="s">
        <v>92</v>
      </c>
      <c r="C1063" s="2">
        <v>0</v>
      </c>
      <c r="D1063" t="s">
        <v>373</v>
      </c>
      <c r="E1063" t="str">
        <f>+INDEX(Check!$B$5:$B$33,MATCH(Compilado[[#This Row],[Items]],Check!$C$5:$C$33,0))</f>
        <v>SECADO</v>
      </c>
      <c r="F1063" s="69">
        <f>+IFERROR(INDEX(Tabla2[TC],MATCH(Compilado[[#This Row],[Mes]],Tabla2[Mes],0))*Compilado[[#This Row],[USD]],0)</f>
        <v>0</v>
      </c>
      <c r="G1063" s="150">
        <v>45901</v>
      </c>
    </row>
    <row r="1064" spans="1:7">
      <c r="A1064" t="s">
        <v>355</v>
      </c>
      <c r="B1064" t="s">
        <v>93</v>
      </c>
      <c r="C1064" s="2">
        <v>0</v>
      </c>
      <c r="D1064" t="s">
        <v>373</v>
      </c>
      <c r="E1064" t="str">
        <f>+INDEX(Check!$B$5:$B$33,MATCH(Compilado[[#This Row],[Items]],Check!$C$5:$C$33,0))</f>
        <v>SECADO</v>
      </c>
      <c r="F1064" s="69">
        <f>+IFERROR(INDEX(Tabla2[TC],MATCH(Compilado[[#This Row],[Mes]],Tabla2[Mes],0))*Compilado[[#This Row],[USD]],0)</f>
        <v>0</v>
      </c>
      <c r="G1064" s="150">
        <v>45931</v>
      </c>
    </row>
    <row r="1065" spans="1:7">
      <c r="A1065" t="s">
        <v>355</v>
      </c>
      <c r="B1065" t="s">
        <v>94</v>
      </c>
      <c r="C1065" s="2">
        <v>0</v>
      </c>
      <c r="D1065" t="s">
        <v>373</v>
      </c>
      <c r="E1065" t="str">
        <f>+INDEX(Check!$B$5:$B$33,MATCH(Compilado[[#This Row],[Items]],Check!$C$5:$C$33,0))</f>
        <v>SECADO</v>
      </c>
      <c r="F1065" s="69">
        <f>+IFERROR(INDEX(Tabla2[TC],MATCH(Compilado[[#This Row],[Mes]],Tabla2[Mes],0))*Compilado[[#This Row],[USD]],0)</f>
        <v>0</v>
      </c>
      <c r="G1065" s="150">
        <v>45962</v>
      </c>
    </row>
    <row r="1066" spans="1:7">
      <c r="A1066" t="s">
        <v>355</v>
      </c>
      <c r="B1066" t="s">
        <v>95</v>
      </c>
      <c r="C1066" s="2">
        <v>0</v>
      </c>
      <c r="D1066" t="s">
        <v>373</v>
      </c>
      <c r="E1066" t="str">
        <f>+INDEX(Check!$B$5:$B$33,MATCH(Compilado[[#This Row],[Items]],Check!$C$5:$C$33,0))</f>
        <v>SECADO</v>
      </c>
      <c r="F1066" s="69">
        <f>+IFERROR(INDEX(Tabla2[TC],MATCH(Compilado[[#This Row],[Mes]],Tabla2[Mes],0))*Compilado[[#This Row],[USD]],0)</f>
        <v>0</v>
      </c>
      <c r="G1066" s="150">
        <v>45992</v>
      </c>
    </row>
    <row r="1067" spans="1:7">
      <c r="A1067" t="s">
        <v>355</v>
      </c>
      <c r="B1067" t="s">
        <v>96</v>
      </c>
      <c r="C1067" s="2">
        <v>0</v>
      </c>
      <c r="D1067" t="s">
        <v>373</v>
      </c>
      <c r="E1067" t="str">
        <f>+INDEX(Check!$B$5:$B$33,MATCH(Compilado[[#This Row],[Items]],Check!$C$5:$C$33,0))</f>
        <v>SECADO</v>
      </c>
      <c r="F1067" s="69">
        <f>+IFERROR(INDEX(Tabla2[TC],MATCH(Compilado[[#This Row],[Mes]],Tabla2[Mes],0))*Compilado[[#This Row],[USD]],0)</f>
        <v>0</v>
      </c>
      <c r="G1067" s="150">
        <v>46023</v>
      </c>
    </row>
    <row r="1068" spans="1:7">
      <c r="A1068" t="s">
        <v>355</v>
      </c>
      <c r="B1068" t="s">
        <v>97</v>
      </c>
      <c r="C1068" s="2">
        <v>0</v>
      </c>
      <c r="D1068" t="s">
        <v>373</v>
      </c>
      <c r="E1068" t="str">
        <f>+INDEX(Check!$B$5:$B$33,MATCH(Compilado[[#This Row],[Items]],Check!$C$5:$C$33,0))</f>
        <v>SECADO</v>
      </c>
      <c r="F1068" s="69">
        <f>+IFERROR(INDEX(Tabla2[TC],MATCH(Compilado[[#This Row],[Mes]],Tabla2[Mes],0))*Compilado[[#This Row],[USD]],0)</f>
        <v>0</v>
      </c>
      <c r="G1068" s="150">
        <v>46054</v>
      </c>
    </row>
    <row r="1069" spans="1:7">
      <c r="A1069" t="s">
        <v>355</v>
      </c>
      <c r="B1069" t="s">
        <v>98</v>
      </c>
      <c r="C1069" s="2">
        <v>0</v>
      </c>
      <c r="D1069" t="s">
        <v>373</v>
      </c>
      <c r="E1069" t="str">
        <f>+INDEX(Check!$B$5:$B$33,MATCH(Compilado[[#This Row],[Items]],Check!$C$5:$C$33,0))</f>
        <v>SECADO</v>
      </c>
      <c r="F1069" s="69">
        <f>+IFERROR(INDEX(Tabla2[TC],MATCH(Compilado[[#This Row],[Mes]],Tabla2[Mes],0))*Compilado[[#This Row],[USD]],0)</f>
        <v>0</v>
      </c>
      <c r="G1069" s="150">
        <v>46082</v>
      </c>
    </row>
    <row r="1070" spans="1:7">
      <c r="A1070" t="s">
        <v>355</v>
      </c>
      <c r="B1070" t="s">
        <v>99</v>
      </c>
      <c r="C1070" s="2">
        <v>0</v>
      </c>
      <c r="D1070" t="s">
        <v>373</v>
      </c>
      <c r="E1070" t="str">
        <f>+INDEX(Check!$B$5:$B$33,MATCH(Compilado[[#This Row],[Items]],Check!$C$5:$C$33,0))</f>
        <v>SECADO</v>
      </c>
      <c r="F1070" s="69">
        <f>+IFERROR(INDEX(Tabla2[TC],MATCH(Compilado[[#This Row],[Mes]],Tabla2[Mes],0))*Compilado[[#This Row],[USD]],0)</f>
        <v>0</v>
      </c>
      <c r="G1070" s="150">
        <v>46113</v>
      </c>
    </row>
    <row r="1071" spans="1:7">
      <c r="A1071" t="s">
        <v>133</v>
      </c>
      <c r="B1071" t="s">
        <v>88</v>
      </c>
      <c r="C1071" s="2">
        <v>606.81040989613746</v>
      </c>
      <c r="D1071" t="s">
        <v>373</v>
      </c>
      <c r="E1071" t="str">
        <f>+INDEX(Check!$B$5:$B$33,MATCH(Compilado[[#This Row],[Items]],Check!$C$5:$C$33,0))</f>
        <v>SECADO</v>
      </c>
      <c r="F1071" s="69">
        <f>+IFERROR(INDEX(Tabla2[TC],MATCH(Compilado[[#This Row],[Mes]],Tabla2[Mes],0))*Compilado[[#This Row],[USD]],0)</f>
        <v>683875.33195294696</v>
      </c>
      <c r="G1071" s="150">
        <v>45778</v>
      </c>
    </row>
    <row r="1072" spans="1:7">
      <c r="A1072" t="s">
        <v>133</v>
      </c>
      <c r="B1072" t="s">
        <v>89</v>
      </c>
      <c r="C1072" s="2">
        <v>526.01976021644168</v>
      </c>
      <c r="D1072" t="s">
        <v>373</v>
      </c>
      <c r="E1072" t="str">
        <f>+INDEX(Check!$B$5:$B$33,MATCH(Compilado[[#This Row],[Items]],Check!$C$5:$C$33,0))</f>
        <v>SECADO</v>
      </c>
      <c r="F1072" s="69">
        <f>+IFERROR(INDEX(Tabla2[TC],MATCH(Compilado[[#This Row],[Mes]],Tabla2[Mes],0))*Compilado[[#This Row],[USD]],0)</f>
        <v>598752.51246156904</v>
      </c>
      <c r="G1072" s="150">
        <v>45809</v>
      </c>
    </row>
    <row r="1073" spans="1:7">
      <c r="A1073" t="s">
        <v>133</v>
      </c>
      <c r="B1073" t="s">
        <v>90</v>
      </c>
      <c r="C1073" s="2">
        <v>0</v>
      </c>
      <c r="D1073" t="s">
        <v>373</v>
      </c>
      <c r="E1073" t="str">
        <f>+INDEX(Check!$B$5:$B$33,MATCH(Compilado[[#This Row],[Items]],Check!$C$5:$C$33,0))</f>
        <v>SECADO</v>
      </c>
      <c r="F1073" s="69">
        <f>+IFERROR(INDEX(Tabla2[TC],MATCH(Compilado[[#This Row],[Mes]],Tabla2[Mes],0))*Compilado[[#This Row],[USD]],0)</f>
        <v>0</v>
      </c>
      <c r="G1073" s="150">
        <v>45839</v>
      </c>
    </row>
    <row r="1074" spans="1:7">
      <c r="A1074" t="s">
        <v>133</v>
      </c>
      <c r="B1074" t="s">
        <v>91</v>
      </c>
      <c r="C1074" s="2">
        <v>0</v>
      </c>
      <c r="D1074" t="s">
        <v>373</v>
      </c>
      <c r="E1074" t="str">
        <f>+INDEX(Check!$B$5:$B$33,MATCH(Compilado[[#This Row],[Items]],Check!$C$5:$C$33,0))</f>
        <v>SECADO</v>
      </c>
      <c r="F1074" s="69">
        <f>+IFERROR(INDEX(Tabla2[TC],MATCH(Compilado[[#This Row],[Mes]],Tabla2[Mes],0))*Compilado[[#This Row],[USD]],0)</f>
        <v>0</v>
      </c>
      <c r="G1074" s="150">
        <v>45870</v>
      </c>
    </row>
    <row r="1075" spans="1:7">
      <c r="A1075" t="s">
        <v>133</v>
      </c>
      <c r="B1075" t="s">
        <v>92</v>
      </c>
      <c r="C1075" s="2">
        <v>43.340725331084755</v>
      </c>
      <c r="D1075" t="s">
        <v>373</v>
      </c>
      <c r="E1075" t="str">
        <f>+INDEX(Check!$B$5:$B$33,MATCH(Compilado[[#This Row],[Items]],Check!$C$5:$C$33,0))</f>
        <v>SECADO</v>
      </c>
      <c r="F1075" s="69">
        <f>+IFERROR(INDEX(Tabla2[TC],MATCH(Compilado[[#This Row],[Mes]],Tabla2[Mes],0))*Compilado[[#This Row],[USD]],0)</f>
        <v>50828.300212966475</v>
      </c>
      <c r="G1075" s="150">
        <v>45901</v>
      </c>
    </row>
    <row r="1076" spans="1:7">
      <c r="A1076" t="s">
        <v>133</v>
      </c>
      <c r="B1076" t="s">
        <v>93</v>
      </c>
      <c r="C1076" s="2">
        <v>0</v>
      </c>
      <c r="D1076" t="s">
        <v>373</v>
      </c>
      <c r="E1076" t="str">
        <f>+INDEX(Check!$B$5:$B$33,MATCH(Compilado[[#This Row],[Items]],Check!$C$5:$C$33,0))</f>
        <v>SECADO</v>
      </c>
      <c r="F1076" s="69">
        <f>+IFERROR(INDEX(Tabla2[TC],MATCH(Compilado[[#This Row],[Mes]],Tabla2[Mes],0))*Compilado[[#This Row],[USD]],0)</f>
        <v>0</v>
      </c>
      <c r="G1076" s="150">
        <v>45931</v>
      </c>
    </row>
    <row r="1077" spans="1:7">
      <c r="A1077" t="s">
        <v>133</v>
      </c>
      <c r="B1077" t="s">
        <v>94</v>
      </c>
      <c r="C1077" s="2">
        <v>0</v>
      </c>
      <c r="D1077" t="s">
        <v>373</v>
      </c>
      <c r="E1077" t="str">
        <f>+INDEX(Check!$B$5:$B$33,MATCH(Compilado[[#This Row],[Items]],Check!$C$5:$C$33,0))</f>
        <v>SECADO</v>
      </c>
      <c r="F1077" s="69">
        <f>+IFERROR(INDEX(Tabla2[TC],MATCH(Compilado[[#This Row],[Mes]],Tabla2[Mes],0))*Compilado[[#This Row],[USD]],0)</f>
        <v>0</v>
      </c>
      <c r="G1077" s="150">
        <v>45962</v>
      </c>
    </row>
    <row r="1078" spans="1:7">
      <c r="A1078" t="s">
        <v>133</v>
      </c>
      <c r="B1078" t="s">
        <v>95</v>
      </c>
      <c r="C1078" s="2">
        <v>14.743056632286075</v>
      </c>
      <c r="D1078" t="s">
        <v>373</v>
      </c>
      <c r="E1078" t="str">
        <f>+INDEX(Check!$B$5:$B$33,MATCH(Compilado[[#This Row],[Items]],Check!$C$5:$C$33,0))</f>
        <v>SECADO</v>
      </c>
      <c r="F1078" s="69">
        <f>+IFERROR(INDEX(Tabla2[TC],MATCH(Compilado[[#This Row],[Mes]],Tabla2[Mes],0))*Compilado[[#This Row],[USD]],0)</f>
        <v>17813.984344715504</v>
      </c>
      <c r="G1078" s="150">
        <v>45992</v>
      </c>
    </row>
    <row r="1079" spans="1:7">
      <c r="A1079" t="s">
        <v>133</v>
      </c>
      <c r="B1079" t="s">
        <v>96</v>
      </c>
      <c r="C1079" s="2">
        <v>367.91837610671593</v>
      </c>
      <c r="D1079" t="s">
        <v>373</v>
      </c>
      <c r="E1079" t="str">
        <f>+INDEX(Check!$B$5:$B$33,MATCH(Compilado[[#This Row],[Items]],Check!$C$5:$C$33,0))</f>
        <v>SECADO</v>
      </c>
      <c r="F1079" s="69">
        <f>+IFERROR(INDEX(Tabla2[TC],MATCH(Compilado[[#This Row],[Mes]],Tabla2[Mes],0))*Compilado[[#This Row],[USD]],0)</f>
        <v>449000.04653870221</v>
      </c>
      <c r="G1079" s="150">
        <v>46023</v>
      </c>
    </row>
    <row r="1080" spans="1:7">
      <c r="A1080" t="s">
        <v>133</v>
      </c>
      <c r="B1080" t="s">
        <v>97</v>
      </c>
      <c r="C1080" s="2">
        <v>1218.342991160845</v>
      </c>
      <c r="D1080" t="s">
        <v>373</v>
      </c>
      <c r="E1080" t="str">
        <f>+INDEX(Check!$B$5:$B$33,MATCH(Compilado[[#This Row],[Items]],Check!$C$5:$C$33,0))</f>
        <v>SECADO</v>
      </c>
      <c r="F1080" s="69">
        <f>+IFERROR(INDEX(Tabla2[TC],MATCH(Compilado[[#This Row],[Mes]],Tabla2[Mes],0))*Compilado[[#This Row],[USD]],0)</f>
        <v>1501709.227397704</v>
      </c>
      <c r="G1080" s="150">
        <v>46054</v>
      </c>
    </row>
    <row r="1081" spans="1:7">
      <c r="A1081" t="s">
        <v>133</v>
      </c>
      <c r="B1081" t="s">
        <v>98</v>
      </c>
      <c r="C1081" s="2">
        <v>1140.1553160814328</v>
      </c>
      <c r="D1081" t="s">
        <v>373</v>
      </c>
      <c r="E1081" t="str">
        <f>+INDEX(Check!$B$5:$B$33,MATCH(Compilado[[#This Row],[Items]],Check!$C$5:$C$33,0))</f>
        <v>SECADO</v>
      </c>
      <c r="F1081" s="69">
        <f>+IFERROR(INDEX(Tabla2[TC],MATCH(Compilado[[#This Row],[Mes]],Tabla2[Mes],0))*Compilado[[#This Row],[USD]],0)</f>
        <v>1419389.7686944481</v>
      </c>
      <c r="G1081" s="150">
        <v>46082</v>
      </c>
    </row>
    <row r="1082" spans="1:7">
      <c r="A1082" t="s">
        <v>133</v>
      </c>
      <c r="B1082" t="s">
        <v>99</v>
      </c>
      <c r="C1082" s="2">
        <v>714.25056730054621</v>
      </c>
      <c r="D1082" t="s">
        <v>373</v>
      </c>
      <c r="E1082" t="str">
        <f>+INDEX(Check!$B$5:$B$33,MATCH(Compilado[[#This Row],[Items]],Check!$C$5:$C$33,0))</f>
        <v>SECADO</v>
      </c>
      <c r="F1082" s="69">
        <f>+IFERROR(INDEX(Tabla2[TC],MATCH(Compilado[[#This Row],[Mes]],Tabla2[Mes],0))*Compilado[[#This Row],[USD]],0)</f>
        <v>898068.82671463536</v>
      </c>
      <c r="G1082" s="150">
        <v>46113</v>
      </c>
    </row>
    <row r="1083" spans="1:7">
      <c r="A1083" t="s">
        <v>353</v>
      </c>
      <c r="B1083" t="s">
        <v>95</v>
      </c>
      <c r="C1083" s="2">
        <v>872.4</v>
      </c>
      <c r="D1083" t="s">
        <v>15</v>
      </c>
      <c r="E1083" t="str">
        <f>+INDEX(Check!$B$5:$B$33,MATCH(Compilado[[#This Row],[Items]],Check!$C$5:$C$33,0))</f>
        <v>SECADO</v>
      </c>
      <c r="F1083" s="69">
        <f>+IFERROR(INDEX(Tabla2[TC],MATCH(Compilado[[#This Row],[Mes]],Tabla2[Mes],0))*Compilado[[#This Row],[USD]],0)</f>
        <v>1054117.9030877813</v>
      </c>
      <c r="G1083" s="150">
        <v>45992</v>
      </c>
    </row>
    <row r="1084" spans="1:7">
      <c r="A1084" t="s">
        <v>353</v>
      </c>
      <c r="B1084" t="s">
        <v>96</v>
      </c>
      <c r="C1084" s="2">
        <v>872.4</v>
      </c>
      <c r="D1084" t="s">
        <v>15</v>
      </c>
      <c r="E1084" t="str">
        <f>+INDEX(Check!$B$5:$B$33,MATCH(Compilado[[#This Row],[Items]],Check!$C$5:$C$33,0))</f>
        <v>SECADO</v>
      </c>
      <c r="F1084" s="69">
        <f>+IFERROR(INDEX(Tabla2[TC],MATCH(Compilado[[#This Row],[Mes]],Tabla2[Mes],0))*Compilado[[#This Row],[USD]],0)</f>
        <v>1064659.082118659</v>
      </c>
      <c r="G1084" s="150">
        <v>46023</v>
      </c>
    </row>
    <row r="1085" spans="1:7">
      <c r="A1085" t="s">
        <v>353</v>
      </c>
      <c r="B1085" t="s">
        <v>97</v>
      </c>
      <c r="C1085" s="2">
        <v>872.4</v>
      </c>
      <c r="D1085" t="s">
        <v>15</v>
      </c>
      <c r="E1085" t="str">
        <f>+INDEX(Check!$B$5:$B$33,MATCH(Compilado[[#This Row],[Items]],Check!$C$5:$C$33,0))</f>
        <v>SECADO</v>
      </c>
      <c r="F1085" s="69">
        <f>+IFERROR(INDEX(Tabla2[TC],MATCH(Compilado[[#This Row],[Mes]],Tabla2[Mes],0))*Compilado[[#This Row],[USD]],0)</f>
        <v>1075305.6729398456</v>
      </c>
      <c r="G1085" s="150">
        <v>46054</v>
      </c>
    </row>
    <row r="1086" spans="1:7">
      <c r="A1086" t="s">
        <v>353</v>
      </c>
      <c r="B1086" t="s">
        <v>98</v>
      </c>
      <c r="C1086" s="2">
        <v>436.2</v>
      </c>
      <c r="D1086" t="s">
        <v>15</v>
      </c>
      <c r="E1086" t="str">
        <f>+INDEX(Check!$B$5:$B$33,MATCH(Compilado[[#This Row],[Items]],Check!$C$5:$C$33,0))</f>
        <v>SECADO</v>
      </c>
      <c r="F1086" s="69">
        <f>+IFERROR(INDEX(Tabla2[TC],MATCH(Compilado[[#This Row],[Mes]],Tabla2[Mes],0))*Compilado[[#This Row],[USD]],0)</f>
        <v>543029.36483462201</v>
      </c>
      <c r="G1086" s="150">
        <v>46082</v>
      </c>
    </row>
    <row r="1087" spans="1:7">
      <c r="A1087" t="s">
        <v>354</v>
      </c>
      <c r="B1087" t="s">
        <v>88</v>
      </c>
      <c r="C1087" s="2">
        <v>199.10570148476123</v>
      </c>
      <c r="D1087" t="s">
        <v>15</v>
      </c>
      <c r="E1087" t="str">
        <f>+INDEX(Check!$B$5:$B$33,MATCH(Compilado[[#This Row],[Items]],Check!$C$5:$C$33,0))</f>
        <v>SECADO</v>
      </c>
      <c r="F1087" s="69">
        <f>+IFERROR(INDEX(Tabla2[TC],MATCH(Compilado[[#This Row],[Mes]],Tabla2[Mes],0))*Compilado[[#This Row],[USD]],0)</f>
        <v>224392.1255733259</v>
      </c>
      <c r="G1087" s="150">
        <v>45778</v>
      </c>
    </row>
    <row r="1088" spans="1:7">
      <c r="A1088" t="s">
        <v>354</v>
      </c>
      <c r="B1088" t="s">
        <v>89</v>
      </c>
      <c r="C1088" s="2">
        <v>171.42300560070981</v>
      </c>
      <c r="D1088" t="s">
        <v>15</v>
      </c>
      <c r="E1088" t="str">
        <f>+INDEX(Check!$B$5:$B$33,MATCH(Compilado[[#This Row],[Items]],Check!$C$5:$C$33,0))</f>
        <v>SECADO</v>
      </c>
      <c r="F1088" s="69">
        <f>+IFERROR(INDEX(Tabla2[TC],MATCH(Compilado[[#This Row],[Mes]],Tabla2[Mes],0))*Compilado[[#This Row],[USD]],0)</f>
        <v>195125.66458511996</v>
      </c>
      <c r="G1088" s="150">
        <v>45809</v>
      </c>
    </row>
    <row r="1089" spans="1:7">
      <c r="A1089" t="s">
        <v>354</v>
      </c>
      <c r="B1089" t="s">
        <v>90</v>
      </c>
      <c r="C1089" s="2">
        <v>0</v>
      </c>
      <c r="D1089" t="s">
        <v>15</v>
      </c>
      <c r="E1089" t="str">
        <f>+INDEX(Check!$B$5:$B$33,MATCH(Compilado[[#This Row],[Items]],Check!$C$5:$C$33,0))</f>
        <v>SECADO</v>
      </c>
      <c r="F1089" s="69">
        <f>+IFERROR(INDEX(Tabla2[TC],MATCH(Compilado[[#This Row],[Mes]],Tabla2[Mes],0))*Compilado[[#This Row],[USD]],0)</f>
        <v>0</v>
      </c>
      <c r="G1089" s="150">
        <v>45839</v>
      </c>
    </row>
    <row r="1090" spans="1:7">
      <c r="A1090" t="s">
        <v>354</v>
      </c>
      <c r="B1090" t="s">
        <v>91</v>
      </c>
      <c r="C1090" s="2">
        <v>0</v>
      </c>
      <c r="D1090" t="s">
        <v>15</v>
      </c>
      <c r="E1090" t="str">
        <f>+INDEX(Check!$B$5:$B$33,MATCH(Compilado[[#This Row],[Items]],Check!$C$5:$C$33,0))</f>
        <v>SECADO</v>
      </c>
      <c r="F1090" s="69">
        <f>+IFERROR(INDEX(Tabla2[TC],MATCH(Compilado[[#This Row],[Mes]],Tabla2[Mes],0))*Compilado[[#This Row],[USD]],0)</f>
        <v>0</v>
      </c>
      <c r="G1090" s="150">
        <v>45870</v>
      </c>
    </row>
    <row r="1091" spans="1:7">
      <c r="A1091" t="s">
        <v>354</v>
      </c>
      <c r="B1091" t="s">
        <v>92</v>
      </c>
      <c r="C1091" s="2">
        <v>13.841347942025722</v>
      </c>
      <c r="D1091" t="s">
        <v>15</v>
      </c>
      <c r="E1091" t="str">
        <f>+INDEX(Check!$B$5:$B$33,MATCH(Compilado[[#This Row],[Items]],Check!$C$5:$C$33,0))</f>
        <v>SECADO</v>
      </c>
      <c r="F1091" s="69">
        <f>+IFERROR(INDEX(Tabla2[TC],MATCH(Compilado[[#This Row],[Mes]],Tabla2[Mes],0))*Compilado[[#This Row],[USD]],0)</f>
        <v>16232.589168156423</v>
      </c>
      <c r="G1091" s="150">
        <v>45901</v>
      </c>
    </row>
    <row r="1092" spans="1:7">
      <c r="A1092" t="s">
        <v>354</v>
      </c>
      <c r="B1092" t="s">
        <v>93</v>
      </c>
      <c r="C1092" s="2">
        <v>0</v>
      </c>
      <c r="D1092" t="s">
        <v>15</v>
      </c>
      <c r="E1092" t="str">
        <f>+INDEX(Check!$B$5:$B$33,MATCH(Compilado[[#This Row],[Items]],Check!$C$5:$C$33,0))</f>
        <v>SECADO</v>
      </c>
      <c r="F1092" s="69">
        <f>+IFERROR(INDEX(Tabla2[TC],MATCH(Compilado[[#This Row],[Mes]],Tabla2[Mes],0))*Compilado[[#This Row],[USD]],0)</f>
        <v>0</v>
      </c>
      <c r="G1092" s="150">
        <v>45931</v>
      </c>
    </row>
    <row r="1093" spans="1:7">
      <c r="A1093" t="s">
        <v>354</v>
      </c>
      <c r="B1093" t="s">
        <v>94</v>
      </c>
      <c r="C1093" s="2">
        <v>0</v>
      </c>
      <c r="D1093" t="s">
        <v>15</v>
      </c>
      <c r="E1093" t="str">
        <f>+INDEX(Check!$B$5:$B$33,MATCH(Compilado[[#This Row],[Items]],Check!$C$5:$C$33,0))</f>
        <v>SECADO</v>
      </c>
      <c r="F1093" s="69">
        <f>+IFERROR(INDEX(Tabla2[TC],MATCH(Compilado[[#This Row],[Mes]],Tabla2[Mes],0))*Compilado[[#This Row],[USD]],0)</f>
        <v>0</v>
      </c>
      <c r="G1093" s="150">
        <v>45962</v>
      </c>
    </row>
    <row r="1094" spans="1:7">
      <c r="A1094" t="s">
        <v>354</v>
      </c>
      <c r="B1094" t="s">
        <v>95</v>
      </c>
      <c r="C1094" s="2">
        <v>4.6137826473419068</v>
      </c>
      <c r="D1094" t="s">
        <v>15</v>
      </c>
      <c r="E1094" t="str">
        <f>+INDEX(Check!$B$5:$B$33,MATCH(Compilado[[#This Row],[Items]],Check!$C$5:$C$33,0))</f>
        <v>SECADO</v>
      </c>
      <c r="F1094" s="69">
        <f>+IFERROR(INDEX(Tabla2[TC],MATCH(Compilado[[#This Row],[Mes]],Tabla2[Mes],0))*Compilado[[#This Row],[USD]],0)</f>
        <v>5574.8176175135759</v>
      </c>
      <c r="G1094" s="150">
        <v>45992</v>
      </c>
    </row>
    <row r="1095" spans="1:7">
      <c r="A1095" t="s">
        <v>354</v>
      </c>
      <c r="B1095" t="s">
        <v>96</v>
      </c>
      <c r="C1095" s="2">
        <v>114.3590248938014</v>
      </c>
      <c r="D1095" t="s">
        <v>15</v>
      </c>
      <c r="E1095" t="str">
        <f>+INDEX(Check!$B$5:$B$33,MATCH(Compilado[[#This Row],[Items]],Check!$C$5:$C$33,0))</f>
        <v>SECADO</v>
      </c>
      <c r="F1095" s="69">
        <f>+IFERROR(INDEX(Tabla2[TC],MATCH(Compilado[[#This Row],[Mes]],Tabla2[Mes],0))*Compilado[[#This Row],[USD]],0)</f>
        <v>139561.41044866975</v>
      </c>
      <c r="G1095" s="150">
        <v>46023</v>
      </c>
    </row>
    <row r="1096" spans="1:7">
      <c r="A1096" t="s">
        <v>354</v>
      </c>
      <c r="B1096" t="s">
        <v>97</v>
      </c>
      <c r="C1096" s="2">
        <v>376.17000171471631</v>
      </c>
      <c r="D1096" t="s">
        <v>15</v>
      </c>
      <c r="E1096" t="str">
        <f>+INDEX(Check!$B$5:$B$33,MATCH(Compilado[[#This Row],[Items]],Check!$C$5:$C$33,0))</f>
        <v>SECADO</v>
      </c>
      <c r="F1096" s="69">
        <f>+IFERROR(INDEX(Tabla2[TC],MATCH(Compilado[[#This Row],[Mes]],Tabla2[Mes],0))*Compilado[[#This Row],[USD]],0)</f>
        <v>463660.86294546758</v>
      </c>
      <c r="G1096" s="150">
        <v>46054</v>
      </c>
    </row>
    <row r="1097" spans="1:7">
      <c r="A1097" t="s">
        <v>354</v>
      </c>
      <c r="B1097" t="s">
        <v>98</v>
      </c>
      <c r="C1097" s="2">
        <v>349.63247628299632</v>
      </c>
      <c r="D1097" t="s">
        <v>15</v>
      </c>
      <c r="E1097" t="str">
        <f>+INDEX(Check!$B$5:$B$33,MATCH(Compilado[[#This Row],[Items]],Check!$C$5:$C$33,0))</f>
        <v>SECADO</v>
      </c>
      <c r="F1097" s="69">
        <f>+IFERROR(INDEX(Tabla2[TC],MATCH(Compilado[[#This Row],[Mes]],Tabla2[Mes],0))*Compilado[[#This Row],[USD]],0)</f>
        <v>435260.66373569815</v>
      </c>
      <c r="G1097" s="150">
        <v>46082</v>
      </c>
    </row>
    <row r="1098" spans="1:7">
      <c r="A1098" t="s">
        <v>354</v>
      </c>
      <c r="B1098" t="s">
        <v>99</v>
      </c>
      <c r="C1098" s="2">
        <v>217.56083207412885</v>
      </c>
      <c r="D1098" t="s">
        <v>15</v>
      </c>
      <c r="E1098" t="str">
        <f>+INDEX(Check!$B$5:$B$33,MATCH(Compilado[[#This Row],[Items]],Check!$C$5:$C$33,0))</f>
        <v>SECADO</v>
      </c>
      <c r="F1098" s="69">
        <f>+IFERROR(INDEX(Tabla2[TC],MATCH(Compilado[[#This Row],[Mes]],Tabla2[Mes],0))*Compilado[[#This Row],[USD]],0)</f>
        <v>273551.90201432171</v>
      </c>
      <c r="G1098" s="150">
        <v>46113</v>
      </c>
    </row>
    <row r="1099" spans="1:7">
      <c r="A1099" t="s">
        <v>355</v>
      </c>
      <c r="B1099" t="s">
        <v>88</v>
      </c>
      <c r="C1099" s="2">
        <v>0</v>
      </c>
      <c r="D1099" t="s">
        <v>15</v>
      </c>
      <c r="E1099" t="str">
        <f>+INDEX(Check!$B$5:$B$33,MATCH(Compilado[[#This Row],[Items]],Check!$C$5:$C$33,0))</f>
        <v>SECADO</v>
      </c>
      <c r="F1099" s="69">
        <f>+IFERROR(INDEX(Tabla2[TC],MATCH(Compilado[[#This Row],[Mes]],Tabla2[Mes],0))*Compilado[[#This Row],[USD]],0)</f>
        <v>0</v>
      </c>
      <c r="G1099" s="150">
        <v>45778</v>
      </c>
    </row>
    <row r="1100" spans="1:7">
      <c r="A1100" t="s">
        <v>355</v>
      </c>
      <c r="B1100" t="s">
        <v>89</v>
      </c>
      <c r="C1100" s="2">
        <v>0</v>
      </c>
      <c r="D1100" t="s">
        <v>15</v>
      </c>
      <c r="E1100" t="str">
        <f>+INDEX(Check!$B$5:$B$33,MATCH(Compilado[[#This Row],[Items]],Check!$C$5:$C$33,0))</f>
        <v>SECADO</v>
      </c>
      <c r="F1100" s="69">
        <f>+IFERROR(INDEX(Tabla2[TC],MATCH(Compilado[[#This Row],[Mes]],Tabla2[Mes],0))*Compilado[[#This Row],[USD]],0)</f>
        <v>0</v>
      </c>
      <c r="G1100" s="150">
        <v>45809</v>
      </c>
    </row>
    <row r="1101" spans="1:7">
      <c r="A1101" t="s">
        <v>355</v>
      </c>
      <c r="B1101" t="s">
        <v>90</v>
      </c>
      <c r="C1101" s="2">
        <v>0</v>
      </c>
      <c r="D1101" t="s">
        <v>15</v>
      </c>
      <c r="E1101" t="str">
        <f>+INDEX(Check!$B$5:$B$33,MATCH(Compilado[[#This Row],[Items]],Check!$C$5:$C$33,0))</f>
        <v>SECADO</v>
      </c>
      <c r="F1101" s="69">
        <f>+IFERROR(INDEX(Tabla2[TC],MATCH(Compilado[[#This Row],[Mes]],Tabla2[Mes],0))*Compilado[[#This Row],[USD]],0)</f>
        <v>0</v>
      </c>
      <c r="G1101" s="150">
        <v>45839</v>
      </c>
    </row>
    <row r="1102" spans="1:7">
      <c r="A1102" t="s">
        <v>355</v>
      </c>
      <c r="B1102" t="s">
        <v>91</v>
      </c>
      <c r="C1102" s="2">
        <v>0</v>
      </c>
      <c r="D1102" t="s">
        <v>15</v>
      </c>
      <c r="E1102" t="str">
        <f>+INDEX(Check!$B$5:$B$33,MATCH(Compilado[[#This Row],[Items]],Check!$C$5:$C$33,0))</f>
        <v>SECADO</v>
      </c>
      <c r="F1102" s="69">
        <f>+IFERROR(INDEX(Tabla2[TC],MATCH(Compilado[[#This Row],[Mes]],Tabla2[Mes],0))*Compilado[[#This Row],[USD]],0)</f>
        <v>0</v>
      </c>
      <c r="G1102" s="150">
        <v>45870</v>
      </c>
    </row>
    <row r="1103" spans="1:7">
      <c r="A1103" t="s">
        <v>355</v>
      </c>
      <c r="B1103" t="s">
        <v>92</v>
      </c>
      <c r="C1103" s="2">
        <v>0</v>
      </c>
      <c r="D1103" t="s">
        <v>15</v>
      </c>
      <c r="E1103" t="str">
        <f>+INDEX(Check!$B$5:$B$33,MATCH(Compilado[[#This Row],[Items]],Check!$C$5:$C$33,0))</f>
        <v>SECADO</v>
      </c>
      <c r="F1103" s="69">
        <f>+IFERROR(INDEX(Tabla2[TC],MATCH(Compilado[[#This Row],[Mes]],Tabla2[Mes],0))*Compilado[[#This Row],[USD]],0)</f>
        <v>0</v>
      </c>
      <c r="G1103" s="150">
        <v>45901</v>
      </c>
    </row>
    <row r="1104" spans="1:7">
      <c r="A1104" t="s">
        <v>355</v>
      </c>
      <c r="B1104" t="s">
        <v>93</v>
      </c>
      <c r="C1104" s="2">
        <v>0</v>
      </c>
      <c r="D1104" t="s">
        <v>15</v>
      </c>
      <c r="E1104" t="str">
        <f>+INDEX(Check!$B$5:$B$33,MATCH(Compilado[[#This Row],[Items]],Check!$C$5:$C$33,0))</f>
        <v>SECADO</v>
      </c>
      <c r="F1104" s="69">
        <f>+IFERROR(INDEX(Tabla2[TC],MATCH(Compilado[[#This Row],[Mes]],Tabla2[Mes],0))*Compilado[[#This Row],[USD]],0)</f>
        <v>0</v>
      </c>
      <c r="G1104" s="150">
        <v>45931</v>
      </c>
    </row>
    <row r="1105" spans="1:7">
      <c r="A1105" t="s">
        <v>355</v>
      </c>
      <c r="B1105" t="s">
        <v>94</v>
      </c>
      <c r="C1105" s="2">
        <v>0</v>
      </c>
      <c r="D1105" t="s">
        <v>15</v>
      </c>
      <c r="E1105" t="str">
        <f>+INDEX(Check!$B$5:$B$33,MATCH(Compilado[[#This Row],[Items]],Check!$C$5:$C$33,0))</f>
        <v>SECADO</v>
      </c>
      <c r="F1105" s="69">
        <f>+IFERROR(INDEX(Tabla2[TC],MATCH(Compilado[[#This Row],[Mes]],Tabla2[Mes],0))*Compilado[[#This Row],[USD]],0)</f>
        <v>0</v>
      </c>
      <c r="G1105" s="150">
        <v>45962</v>
      </c>
    </row>
    <row r="1106" spans="1:7">
      <c r="A1106" t="s">
        <v>355</v>
      </c>
      <c r="B1106" t="s">
        <v>95</v>
      </c>
      <c r="C1106" s="2">
        <v>0</v>
      </c>
      <c r="D1106" t="s">
        <v>15</v>
      </c>
      <c r="E1106" t="str">
        <f>+INDEX(Check!$B$5:$B$33,MATCH(Compilado[[#This Row],[Items]],Check!$C$5:$C$33,0))</f>
        <v>SECADO</v>
      </c>
      <c r="F1106" s="69">
        <f>+IFERROR(INDEX(Tabla2[TC],MATCH(Compilado[[#This Row],[Mes]],Tabla2[Mes],0))*Compilado[[#This Row],[USD]],0)</f>
        <v>0</v>
      </c>
      <c r="G1106" s="150">
        <v>45992</v>
      </c>
    </row>
    <row r="1107" spans="1:7">
      <c r="A1107" t="s">
        <v>355</v>
      </c>
      <c r="B1107" t="s">
        <v>96</v>
      </c>
      <c r="C1107" s="2">
        <v>0</v>
      </c>
      <c r="D1107" t="s">
        <v>15</v>
      </c>
      <c r="E1107" t="str">
        <f>+INDEX(Check!$B$5:$B$33,MATCH(Compilado[[#This Row],[Items]],Check!$C$5:$C$33,0))</f>
        <v>SECADO</v>
      </c>
      <c r="F1107" s="69">
        <f>+IFERROR(INDEX(Tabla2[TC],MATCH(Compilado[[#This Row],[Mes]],Tabla2[Mes],0))*Compilado[[#This Row],[USD]],0)</f>
        <v>0</v>
      </c>
      <c r="G1107" s="150">
        <v>46023</v>
      </c>
    </row>
    <row r="1108" spans="1:7">
      <c r="A1108" t="s">
        <v>355</v>
      </c>
      <c r="B1108" t="s">
        <v>97</v>
      </c>
      <c r="C1108" s="2">
        <v>0</v>
      </c>
      <c r="D1108" t="s">
        <v>15</v>
      </c>
      <c r="E1108" t="str">
        <f>+INDEX(Check!$B$5:$B$33,MATCH(Compilado[[#This Row],[Items]],Check!$C$5:$C$33,0))</f>
        <v>SECADO</v>
      </c>
      <c r="F1108" s="69">
        <f>+IFERROR(INDEX(Tabla2[TC],MATCH(Compilado[[#This Row],[Mes]],Tabla2[Mes],0))*Compilado[[#This Row],[USD]],0)</f>
        <v>0</v>
      </c>
      <c r="G1108" s="150">
        <v>46054</v>
      </c>
    </row>
    <row r="1109" spans="1:7">
      <c r="A1109" t="s">
        <v>355</v>
      </c>
      <c r="B1109" t="s">
        <v>98</v>
      </c>
      <c r="C1109" s="2">
        <v>0</v>
      </c>
      <c r="D1109" t="s">
        <v>15</v>
      </c>
      <c r="E1109" t="str">
        <f>+INDEX(Check!$B$5:$B$33,MATCH(Compilado[[#This Row],[Items]],Check!$C$5:$C$33,0))</f>
        <v>SECADO</v>
      </c>
      <c r="F1109" s="69">
        <f>+IFERROR(INDEX(Tabla2[TC],MATCH(Compilado[[#This Row],[Mes]],Tabla2[Mes],0))*Compilado[[#This Row],[USD]],0)</f>
        <v>0</v>
      </c>
      <c r="G1109" s="150">
        <v>46082</v>
      </c>
    </row>
    <row r="1110" spans="1:7">
      <c r="A1110" t="s">
        <v>355</v>
      </c>
      <c r="B1110" t="s">
        <v>99</v>
      </c>
      <c r="C1110" s="2">
        <v>0</v>
      </c>
      <c r="D1110" t="s">
        <v>15</v>
      </c>
      <c r="E1110" t="str">
        <f>+INDEX(Check!$B$5:$B$33,MATCH(Compilado[[#This Row],[Items]],Check!$C$5:$C$33,0))</f>
        <v>SECADO</v>
      </c>
      <c r="F1110" s="69">
        <f>+IFERROR(INDEX(Tabla2[TC],MATCH(Compilado[[#This Row],[Mes]],Tabla2[Mes],0))*Compilado[[#This Row],[USD]],0)</f>
        <v>0</v>
      </c>
      <c r="G1110" s="150">
        <v>46113</v>
      </c>
    </row>
    <row r="1111" spans="1:7">
      <c r="A1111" t="s">
        <v>133</v>
      </c>
      <c r="B1111" t="s">
        <v>88</v>
      </c>
      <c r="C1111" s="2">
        <v>1685.5844719337149</v>
      </c>
      <c r="D1111" t="s">
        <v>15</v>
      </c>
      <c r="E1111" t="str">
        <f>+INDEX(Check!$B$5:$B$33,MATCH(Compilado[[#This Row],[Items]],Check!$C$5:$C$33,0))</f>
        <v>SECADO</v>
      </c>
      <c r="F1111" s="69">
        <f>+IFERROR(INDEX(Tabla2[TC],MATCH(Compilado[[#This Row],[Mes]],Tabla2[Mes],0))*Compilado[[#This Row],[USD]],0)</f>
        <v>1899653.6998692967</v>
      </c>
      <c r="G1111" s="150">
        <v>45778</v>
      </c>
    </row>
    <row r="1112" spans="1:7">
      <c r="A1112" t="s">
        <v>133</v>
      </c>
      <c r="B1112" t="s">
        <v>89</v>
      </c>
      <c r="C1112" s="2">
        <v>1461.1660006012266</v>
      </c>
      <c r="D1112" t="s">
        <v>15</v>
      </c>
      <c r="E1112" t="str">
        <f>+INDEX(Check!$B$5:$B$33,MATCH(Compilado[[#This Row],[Items]],Check!$C$5:$C$33,0))</f>
        <v>SECADO</v>
      </c>
      <c r="F1112" s="69">
        <f>+IFERROR(INDEX(Tabla2[TC],MATCH(Compilado[[#This Row],[Mes]],Tabla2[Mes],0))*Compilado[[#This Row],[USD]],0)</f>
        <v>1663201.4235043582</v>
      </c>
      <c r="G1112" s="150">
        <v>45809</v>
      </c>
    </row>
    <row r="1113" spans="1:7">
      <c r="A1113" t="s">
        <v>133</v>
      </c>
      <c r="B1113" t="s">
        <v>90</v>
      </c>
      <c r="C1113" s="2">
        <v>0</v>
      </c>
      <c r="D1113" t="s">
        <v>15</v>
      </c>
      <c r="E1113" t="str">
        <f>+INDEX(Check!$B$5:$B$33,MATCH(Compilado[[#This Row],[Items]],Check!$C$5:$C$33,0))</f>
        <v>SECADO</v>
      </c>
      <c r="F1113" s="69">
        <f>+IFERROR(INDEX(Tabla2[TC],MATCH(Compilado[[#This Row],[Mes]],Tabla2[Mes],0))*Compilado[[#This Row],[USD]],0)</f>
        <v>0</v>
      </c>
      <c r="G1113" s="150">
        <v>45839</v>
      </c>
    </row>
    <row r="1114" spans="1:7">
      <c r="A1114" t="s">
        <v>133</v>
      </c>
      <c r="B1114" t="s">
        <v>91</v>
      </c>
      <c r="C1114" s="2">
        <v>0</v>
      </c>
      <c r="D1114" t="s">
        <v>15</v>
      </c>
      <c r="E1114" t="str">
        <f>+INDEX(Check!$B$5:$B$33,MATCH(Compilado[[#This Row],[Items]],Check!$C$5:$C$33,0))</f>
        <v>SECADO</v>
      </c>
      <c r="F1114" s="69">
        <f>+IFERROR(INDEX(Tabla2[TC],MATCH(Compilado[[#This Row],[Mes]],Tabla2[Mes],0))*Compilado[[#This Row],[USD]],0)</f>
        <v>0</v>
      </c>
      <c r="G1114" s="150">
        <v>45870</v>
      </c>
    </row>
    <row r="1115" spans="1:7">
      <c r="A1115" t="s">
        <v>133</v>
      </c>
      <c r="B1115" t="s">
        <v>92</v>
      </c>
      <c r="C1115" s="2">
        <v>120.39090369745765</v>
      </c>
      <c r="D1115" t="s">
        <v>15</v>
      </c>
      <c r="E1115" t="str">
        <f>+INDEX(Check!$B$5:$B$33,MATCH(Compilado[[#This Row],[Items]],Check!$C$5:$C$33,0))</f>
        <v>SECADO</v>
      </c>
      <c r="F1115" s="69">
        <f>+IFERROR(INDEX(Tabla2[TC],MATCH(Compilado[[#This Row],[Mes]],Tabla2[Mes],0))*Compilado[[#This Row],[USD]],0)</f>
        <v>141189.72281379576</v>
      </c>
      <c r="G1115" s="150">
        <v>45901</v>
      </c>
    </row>
    <row r="1116" spans="1:7">
      <c r="A1116" t="s">
        <v>133</v>
      </c>
      <c r="B1116" t="s">
        <v>93</v>
      </c>
      <c r="C1116" s="2">
        <v>0</v>
      </c>
      <c r="D1116" t="s">
        <v>15</v>
      </c>
      <c r="E1116" t="str">
        <f>+INDEX(Check!$B$5:$B$33,MATCH(Compilado[[#This Row],[Items]],Check!$C$5:$C$33,0))</f>
        <v>SECADO</v>
      </c>
      <c r="F1116" s="69">
        <f>+IFERROR(INDEX(Tabla2[TC],MATCH(Compilado[[#This Row],[Mes]],Tabla2[Mes],0))*Compilado[[#This Row],[USD]],0)</f>
        <v>0</v>
      </c>
      <c r="G1116" s="150">
        <v>45931</v>
      </c>
    </row>
    <row r="1117" spans="1:7">
      <c r="A1117" t="s">
        <v>133</v>
      </c>
      <c r="B1117" t="s">
        <v>94</v>
      </c>
      <c r="C1117" s="2">
        <v>0</v>
      </c>
      <c r="D1117" t="s">
        <v>15</v>
      </c>
      <c r="E1117" t="str">
        <f>+INDEX(Check!$B$5:$B$33,MATCH(Compilado[[#This Row],[Items]],Check!$C$5:$C$33,0))</f>
        <v>SECADO</v>
      </c>
      <c r="F1117" s="69">
        <f>+IFERROR(INDEX(Tabla2[TC],MATCH(Compilado[[#This Row],[Mes]],Tabla2[Mes],0))*Compilado[[#This Row],[USD]],0)</f>
        <v>0</v>
      </c>
      <c r="G1117" s="150">
        <v>45962</v>
      </c>
    </row>
    <row r="1118" spans="1:7">
      <c r="A1118" t="s">
        <v>133</v>
      </c>
      <c r="B1118" t="s">
        <v>95</v>
      </c>
      <c r="C1118" s="2">
        <v>40.952935089683542</v>
      </c>
      <c r="D1118" t="s">
        <v>15</v>
      </c>
      <c r="E1118" t="str">
        <f>+INDEX(Check!$B$5:$B$33,MATCH(Compilado[[#This Row],[Items]],Check!$C$5:$C$33,0))</f>
        <v>SECADO</v>
      </c>
      <c r="F1118" s="69">
        <f>+IFERROR(INDEX(Tabla2[TC],MATCH(Compilado[[#This Row],[Mes]],Tabla2[Mes],0))*Compilado[[#This Row],[USD]],0)</f>
        <v>49483.289846431951</v>
      </c>
      <c r="G1118" s="150">
        <v>45992</v>
      </c>
    </row>
    <row r="1119" spans="1:7">
      <c r="A1119" t="s">
        <v>133</v>
      </c>
      <c r="B1119" t="s">
        <v>96</v>
      </c>
      <c r="C1119" s="2">
        <v>1021.995489185322</v>
      </c>
      <c r="D1119" t="s">
        <v>15</v>
      </c>
      <c r="E1119" t="str">
        <f>+INDEX(Check!$B$5:$B$33,MATCH(Compilado[[#This Row],[Items]],Check!$C$5:$C$33,0))</f>
        <v>SECADO</v>
      </c>
      <c r="F1119" s="69">
        <f>+IFERROR(INDEX(Tabla2[TC],MATCH(Compilado[[#This Row],[Mes]],Tabla2[Mes],0))*Compilado[[#This Row],[USD]],0)</f>
        <v>1247222.351496395</v>
      </c>
      <c r="G1119" s="150">
        <v>46023</v>
      </c>
    </row>
    <row r="1120" spans="1:7">
      <c r="A1120" t="s">
        <v>133</v>
      </c>
      <c r="B1120" t="s">
        <v>97</v>
      </c>
      <c r="C1120" s="2">
        <v>3384.2860865579028</v>
      </c>
      <c r="D1120" t="s">
        <v>15</v>
      </c>
      <c r="E1120" t="str">
        <f>+INDEX(Check!$B$5:$B$33,MATCH(Compilado[[#This Row],[Items]],Check!$C$5:$C$33,0))</f>
        <v>SECADO</v>
      </c>
      <c r="F1120" s="69">
        <f>+IFERROR(INDEX(Tabla2[TC],MATCH(Compilado[[#This Row],[Mes]],Tabla2[Mes],0))*Compilado[[#This Row],[USD]],0)</f>
        <v>4171414.5205491777</v>
      </c>
      <c r="G1120" s="150">
        <v>46054</v>
      </c>
    </row>
    <row r="1121" spans="1:7">
      <c r="A1121" t="s">
        <v>133</v>
      </c>
      <c r="B1121" t="s">
        <v>98</v>
      </c>
      <c r="C1121" s="2">
        <v>3167.0981002262024</v>
      </c>
      <c r="D1121" t="s">
        <v>15</v>
      </c>
      <c r="E1121" t="str">
        <f>+INDEX(Check!$B$5:$B$33,MATCH(Compilado[[#This Row],[Items]],Check!$C$5:$C$33,0))</f>
        <v>SECADO</v>
      </c>
      <c r="F1121" s="69">
        <f>+IFERROR(INDEX(Tabla2[TC],MATCH(Compilado[[#This Row],[Mes]],Tabla2[Mes],0))*Compilado[[#This Row],[USD]],0)</f>
        <v>3942749.3574845777</v>
      </c>
      <c r="G1121" s="150">
        <v>46082</v>
      </c>
    </row>
    <row r="1122" spans="1:7">
      <c r="A1122" t="s">
        <v>133</v>
      </c>
      <c r="B1122" t="s">
        <v>99</v>
      </c>
      <c r="C1122" s="2">
        <v>1984.0293536126285</v>
      </c>
      <c r="D1122" t="s">
        <v>15</v>
      </c>
      <c r="E1122" t="str">
        <f>+INDEX(Check!$B$5:$B$33,MATCH(Compilado[[#This Row],[Items]],Check!$C$5:$C$33,0))</f>
        <v>SECADO</v>
      </c>
      <c r="F1122" s="69">
        <f>+IFERROR(INDEX(Tabla2[TC],MATCH(Compilado[[#This Row],[Mes]],Tabla2[Mes],0))*Compilado[[#This Row],[USD]],0)</f>
        <v>2494635.6297628758</v>
      </c>
      <c r="G1122" s="150">
        <v>46113</v>
      </c>
    </row>
    <row r="1123" spans="1:7">
      <c r="A1123" t="s">
        <v>330</v>
      </c>
      <c r="B1123" t="s">
        <v>88</v>
      </c>
      <c r="C1123" s="2">
        <v>1292.149931440001</v>
      </c>
      <c r="D1123" t="s">
        <v>8</v>
      </c>
      <c r="E1123" t="str">
        <f>+INDEX(Check!$B$5:$B$33,MATCH(Compilado[[#This Row],[Items]],Check!$C$5:$C$33,0))</f>
        <v>ADMINISTRACION</v>
      </c>
      <c r="F1123" s="69">
        <f>+IFERROR(INDEX(Tabla2[TC],MATCH(Compilado[[#This Row],[Mes]],Tabla2[Mes],0))*Compilado[[#This Row],[USD]],0)</f>
        <v>1456252.9727328811</v>
      </c>
      <c r="G1123" s="150">
        <v>45778</v>
      </c>
    </row>
    <row r="1124" spans="1:7">
      <c r="A1124" t="s">
        <v>330</v>
      </c>
      <c r="B1124" t="s">
        <v>89</v>
      </c>
      <c r="C1124" s="2">
        <v>1441.9732523426551</v>
      </c>
      <c r="D1124" t="s">
        <v>8</v>
      </c>
      <c r="E1124" t="str">
        <f>+INDEX(Check!$B$5:$B$33,MATCH(Compilado[[#This Row],[Items]],Check!$C$5:$C$33,0))</f>
        <v>ADMINISTRACION</v>
      </c>
      <c r="F1124" s="69">
        <f>+IFERROR(INDEX(Tabla2[TC],MATCH(Compilado[[#This Row],[Mes]],Tabla2[Mes],0))*Compilado[[#This Row],[USD]],0)</f>
        <v>1641354.8939440739</v>
      </c>
      <c r="G1124" s="150">
        <v>45809</v>
      </c>
    </row>
    <row r="1125" spans="1:7">
      <c r="A1125" t="s">
        <v>330</v>
      </c>
      <c r="B1125" t="s">
        <v>90</v>
      </c>
      <c r="C1125" s="2">
        <v>1257.4353619904343</v>
      </c>
      <c r="D1125" t="s">
        <v>8</v>
      </c>
      <c r="E1125" t="str">
        <f>+INDEX(Check!$B$5:$B$33,MATCH(Compilado[[#This Row],[Items]],Check!$C$5:$C$33,0))</f>
        <v>ADMINISTRACION</v>
      </c>
      <c r="F1125" s="69">
        <f>+IFERROR(INDEX(Tabla2[TC],MATCH(Compilado[[#This Row],[Mes]],Tabla2[Mes],0))*Compilado[[#This Row],[USD]],0)</f>
        <v>1445613.9589877804</v>
      </c>
      <c r="G1125" s="150">
        <v>45839</v>
      </c>
    </row>
    <row r="1126" spans="1:7">
      <c r="A1126" t="s">
        <v>330</v>
      </c>
      <c r="B1126" t="s">
        <v>91</v>
      </c>
      <c r="C1126" s="2">
        <v>1956.1210126373001</v>
      </c>
      <c r="D1126" t="s">
        <v>8</v>
      </c>
      <c r="E1126" t="str">
        <f>+INDEX(Check!$B$5:$B$33,MATCH(Compilado[[#This Row],[Items]],Check!$C$5:$C$33,0))</f>
        <v>ADMINISTRACION</v>
      </c>
      <c r="F1126" s="69">
        <f>+IFERROR(INDEX(Tabla2[TC],MATCH(Compilado[[#This Row],[Mes]],Tabla2[Mes],0))*Compilado[[#This Row],[USD]],0)</f>
        <v>2271348.4017422586</v>
      </c>
      <c r="G1126" s="150">
        <v>45870</v>
      </c>
    </row>
    <row r="1127" spans="1:7">
      <c r="A1127" t="s">
        <v>330</v>
      </c>
      <c r="B1127" t="s">
        <v>92</v>
      </c>
      <c r="C1127" s="2">
        <v>2141.6061953084504</v>
      </c>
      <c r="D1127" t="s">
        <v>8</v>
      </c>
      <c r="E1127" t="str">
        <f>+INDEX(Check!$B$5:$B$33,MATCH(Compilado[[#This Row],[Items]],Check!$C$5:$C$33,0))</f>
        <v>ADMINISTRACION</v>
      </c>
      <c r="F1127" s="69">
        <f>+IFERROR(INDEX(Tabla2[TC],MATCH(Compilado[[#This Row],[Mes]],Tabla2[Mes],0))*Compilado[[#This Row],[USD]],0)</f>
        <v>2511591.6220030268</v>
      </c>
      <c r="G1127" s="150">
        <v>45901</v>
      </c>
    </row>
    <row r="1128" spans="1:7">
      <c r="A1128" t="s">
        <v>330</v>
      </c>
      <c r="B1128" t="s">
        <v>93</v>
      </c>
      <c r="C1128" s="2">
        <v>2409.6580175037352</v>
      </c>
      <c r="D1128" t="s">
        <v>8</v>
      </c>
      <c r="E1128" t="str">
        <f>+INDEX(Check!$B$5:$B$33,MATCH(Compilado[[#This Row],[Items]],Check!$C$5:$C$33,0))</f>
        <v>ADMINISTRACION</v>
      </c>
      <c r="F1128" s="69">
        <f>+IFERROR(INDEX(Tabla2[TC],MATCH(Compilado[[#This Row],[Mes]],Tabla2[Mes],0))*Compilado[[#This Row],[USD]],0)</f>
        <v>2854211.792500427</v>
      </c>
      <c r="G1128" s="150">
        <v>45931</v>
      </c>
    </row>
    <row r="1129" spans="1:7">
      <c r="A1129" t="s">
        <v>330</v>
      </c>
      <c r="B1129" t="s">
        <v>94</v>
      </c>
      <c r="C1129" s="2">
        <v>1583.5300585660143</v>
      </c>
      <c r="D1129" t="s">
        <v>8</v>
      </c>
      <c r="E1129" t="str">
        <f>+INDEX(Check!$B$5:$B$33,MATCH(Compilado[[#This Row],[Items]],Check!$C$5:$C$33,0))</f>
        <v>ADMINISTRACION</v>
      </c>
      <c r="F1129" s="69">
        <f>+IFERROR(INDEX(Tabla2[TC],MATCH(Compilado[[#This Row],[Mes]],Tabla2[Mes],0))*Compilado[[#This Row],[USD]],0)</f>
        <v>1894429.5976639823</v>
      </c>
      <c r="G1129" s="150">
        <v>45962</v>
      </c>
    </row>
    <row r="1130" spans="1:7">
      <c r="A1130" t="s">
        <v>330</v>
      </c>
      <c r="B1130" t="s">
        <v>95</v>
      </c>
      <c r="C1130" s="2">
        <v>2347.2175891799852</v>
      </c>
      <c r="D1130" t="s">
        <v>8</v>
      </c>
      <c r="E1130" t="str">
        <f>+INDEX(Check!$B$5:$B$33,MATCH(Compilado[[#This Row],[Items]],Check!$C$5:$C$33,0))</f>
        <v>ADMINISTRACION</v>
      </c>
      <c r="F1130" s="69">
        <f>+IFERROR(INDEX(Tabla2[TC],MATCH(Compilado[[#This Row],[Mes]],Tabla2[Mes],0))*Compilado[[#This Row],[USD]],0)</f>
        <v>2836134.8959160517</v>
      </c>
      <c r="G1130" s="150">
        <v>45992</v>
      </c>
    </row>
    <row r="1131" spans="1:7">
      <c r="A1131" t="s">
        <v>330</v>
      </c>
      <c r="B1131" t="s">
        <v>96</v>
      </c>
      <c r="C1131" s="2">
        <v>2190.1015349642876</v>
      </c>
      <c r="D1131" t="s">
        <v>8</v>
      </c>
      <c r="E1131" t="str">
        <f>+INDEX(Check!$B$5:$B$33,MATCH(Compilado[[#This Row],[Items]],Check!$C$5:$C$33,0))</f>
        <v>ADMINISTRACION</v>
      </c>
      <c r="F1131" s="69">
        <f>+IFERROR(INDEX(Tabla2[TC],MATCH(Compilado[[#This Row],[Mes]],Tabla2[Mes],0))*Compilado[[#This Row],[USD]],0)</f>
        <v>2672755.0320515186</v>
      </c>
      <c r="G1131" s="150">
        <v>46023</v>
      </c>
    </row>
    <row r="1132" spans="1:7">
      <c r="A1132" t="s">
        <v>330</v>
      </c>
      <c r="B1132" t="s">
        <v>97</v>
      </c>
      <c r="C1132" s="2">
        <v>1820.9434984636007</v>
      </c>
      <c r="D1132" t="s">
        <v>8</v>
      </c>
      <c r="E1132" t="str">
        <f>+INDEX(Check!$B$5:$B$33,MATCH(Compilado[[#This Row],[Items]],Check!$C$5:$C$33,0))</f>
        <v>ADMINISTRACION</v>
      </c>
      <c r="F1132" s="69">
        <f>+IFERROR(INDEX(Tabla2[TC],MATCH(Compilado[[#This Row],[Mes]],Tabla2[Mes],0))*Compilado[[#This Row],[USD]],0)</f>
        <v>2244464.5506657944</v>
      </c>
      <c r="G1132" s="150">
        <v>46054</v>
      </c>
    </row>
    <row r="1133" spans="1:7">
      <c r="A1133" t="s">
        <v>330</v>
      </c>
      <c r="B1133" t="s">
        <v>98</v>
      </c>
      <c r="C1133" s="2">
        <v>1962.6637687313216</v>
      </c>
      <c r="D1133" t="s">
        <v>8</v>
      </c>
      <c r="E1133" t="str">
        <f>+INDEX(Check!$B$5:$B$33,MATCH(Compilado[[#This Row],[Items]],Check!$C$5:$C$33,0))</f>
        <v>ADMINISTRACION</v>
      </c>
      <c r="F1133" s="69">
        <f>+IFERROR(INDEX(Tabla2[TC],MATCH(Compilado[[#This Row],[Mes]],Tabla2[Mes],0))*Compilado[[#This Row],[USD]],0)</f>
        <v>2443338.0552913686</v>
      </c>
      <c r="G1133" s="150">
        <v>46082</v>
      </c>
    </row>
    <row r="1134" spans="1:7">
      <c r="A1134" t="s">
        <v>330</v>
      </c>
      <c r="B1134" t="s">
        <v>99</v>
      </c>
      <c r="C1134" s="2">
        <v>2675.8997788722177</v>
      </c>
      <c r="D1134" t="s">
        <v>8</v>
      </c>
      <c r="E1134" t="str">
        <f>+INDEX(Check!$B$5:$B$33,MATCH(Compilado[[#This Row],[Items]],Check!$C$5:$C$33,0))</f>
        <v>ADMINISTRACION</v>
      </c>
      <c r="F1134" s="69">
        <f>+IFERROR(INDEX(Tabla2[TC],MATCH(Compilado[[#This Row],[Mes]],Tabla2[Mes],0))*Compilado[[#This Row],[USD]],0)</f>
        <v>3364564.6007677829</v>
      </c>
      <c r="G1134" s="150">
        <v>46113</v>
      </c>
    </row>
    <row r="1135" spans="1:7">
      <c r="A1135" t="s">
        <v>330</v>
      </c>
      <c r="B1135" t="s">
        <v>88</v>
      </c>
      <c r="C1135" s="2">
        <v>748.0868024126321</v>
      </c>
      <c r="D1135" t="s">
        <v>12</v>
      </c>
      <c r="E1135" t="str">
        <f>+INDEX(Check!$B$5:$B$33,MATCH(Compilado[[#This Row],[Items]],Check!$C$5:$C$33,0))</f>
        <v>ADMINISTRACION</v>
      </c>
      <c r="F1135" s="69">
        <f>+IFERROR(INDEX(Tabla2[TC],MATCH(Compilado[[#This Row],[Mes]],Tabla2[Mes],0))*Compilado[[#This Row],[USD]],0)</f>
        <v>843093.82631903642</v>
      </c>
      <c r="G1135" s="150">
        <v>45778</v>
      </c>
    </row>
    <row r="1136" spans="1:7">
      <c r="A1136" t="s">
        <v>330</v>
      </c>
      <c r="B1136" t="s">
        <v>89</v>
      </c>
      <c r="C1136" s="2">
        <v>834.82661977732675</v>
      </c>
      <c r="D1136" t="s">
        <v>12</v>
      </c>
      <c r="E1136" t="str">
        <f>+INDEX(Check!$B$5:$B$33,MATCH(Compilado[[#This Row],[Items]],Check!$C$5:$C$33,0))</f>
        <v>ADMINISTRACION</v>
      </c>
      <c r="F1136" s="69">
        <f>+IFERROR(INDEX(Tabla2[TC],MATCH(Compilado[[#This Row],[Mes]],Tabla2[Mes],0))*Compilado[[#This Row],[USD]],0)</f>
        <v>950258.09649393766</v>
      </c>
      <c r="G1136" s="150">
        <v>45809</v>
      </c>
    </row>
    <row r="1137" spans="1:7">
      <c r="A1137" t="s">
        <v>330</v>
      </c>
      <c r="B1137" t="s">
        <v>90</v>
      </c>
      <c r="C1137" s="2">
        <v>727.98889378393574</v>
      </c>
      <c r="D1137" t="s">
        <v>12</v>
      </c>
      <c r="E1137" t="str">
        <f>+INDEX(Check!$B$5:$B$33,MATCH(Compilado[[#This Row],[Items]],Check!$C$5:$C$33,0))</f>
        <v>ADMINISTRACION</v>
      </c>
      <c r="F1137" s="69">
        <f>+IFERROR(INDEX(Tabla2[TC],MATCH(Compilado[[#This Row],[Mes]],Tabla2[Mes],0))*Compilado[[#This Row],[USD]],0)</f>
        <v>836934.39730871504</v>
      </c>
      <c r="G1137" s="150">
        <v>45839</v>
      </c>
    </row>
    <row r="1138" spans="1:7">
      <c r="A1138" t="s">
        <v>330</v>
      </c>
      <c r="B1138" t="s">
        <v>91</v>
      </c>
      <c r="C1138" s="2">
        <v>1132.4911125794897</v>
      </c>
      <c r="D1138" t="s">
        <v>12</v>
      </c>
      <c r="E1138" t="str">
        <f>+INDEX(Check!$B$5:$B$33,MATCH(Compilado[[#This Row],[Items]],Check!$C$5:$C$33,0))</f>
        <v>ADMINISTRACION</v>
      </c>
      <c r="F1138" s="69">
        <f>+IFERROR(INDEX(Tabla2[TC],MATCH(Compilado[[#This Row],[Mes]],Tabla2[Mes],0))*Compilado[[#This Row],[USD]],0)</f>
        <v>1314991.1799560445</v>
      </c>
      <c r="G1138" s="150">
        <v>45870</v>
      </c>
    </row>
    <row r="1139" spans="1:7">
      <c r="A1139" t="s">
        <v>330</v>
      </c>
      <c r="B1139" t="s">
        <v>92</v>
      </c>
      <c r="C1139" s="2">
        <v>1239.8772709680502</v>
      </c>
      <c r="D1139" t="s">
        <v>12</v>
      </c>
      <c r="E1139" t="str">
        <f>+INDEX(Check!$B$5:$B$33,MATCH(Compilado[[#This Row],[Items]],Check!$C$5:$C$33,0))</f>
        <v>ADMINISTRACION</v>
      </c>
      <c r="F1139" s="69">
        <f>+IFERROR(INDEX(Tabla2[TC],MATCH(Compilado[[#This Row],[Mes]],Tabla2[Mes],0))*Compilado[[#This Row],[USD]],0)</f>
        <v>1454079.3601070156</v>
      </c>
      <c r="G1139" s="150">
        <v>45901</v>
      </c>
    </row>
    <row r="1140" spans="1:7">
      <c r="A1140" t="s">
        <v>330</v>
      </c>
      <c r="B1140" t="s">
        <v>93</v>
      </c>
      <c r="C1140" s="2">
        <v>1395.0651680284784</v>
      </c>
      <c r="D1140" t="s">
        <v>12</v>
      </c>
      <c r="E1140" t="str">
        <f>+INDEX(Check!$B$5:$B$33,MATCH(Compilado[[#This Row],[Items]],Check!$C$5:$C$33,0))</f>
        <v>ADMINISTRACION</v>
      </c>
      <c r="F1140" s="69">
        <f>+IFERROR(INDEX(Tabla2[TC],MATCH(Compilado[[#This Row],[Mes]],Tabla2[Mes],0))*Compilado[[#This Row],[USD]],0)</f>
        <v>1652438.4061844579</v>
      </c>
      <c r="G1140" s="150">
        <v>45931</v>
      </c>
    </row>
    <row r="1141" spans="1:7">
      <c r="A1141" t="s">
        <v>330</v>
      </c>
      <c r="B1141" t="s">
        <v>94</v>
      </c>
      <c r="C1141" s="2">
        <v>916.78056022242947</v>
      </c>
      <c r="D1141" t="s">
        <v>12</v>
      </c>
      <c r="E1141" t="str">
        <f>+INDEX(Check!$B$5:$B$33,MATCH(Compilado[[#This Row],[Items]],Check!$C$5:$C$33,0))</f>
        <v>ADMINISTRACION</v>
      </c>
      <c r="F1141" s="69">
        <f>+IFERROR(INDEX(Tabla2[TC],MATCH(Compilado[[#This Row],[Mes]],Tabla2[Mes],0))*Compilado[[#This Row],[USD]],0)</f>
        <v>1096775.0302265161</v>
      </c>
      <c r="G1141" s="150">
        <v>45962</v>
      </c>
    </row>
    <row r="1142" spans="1:7">
      <c r="A1142" t="s">
        <v>330</v>
      </c>
      <c r="B1142" t="s">
        <v>95</v>
      </c>
      <c r="C1142" s="2">
        <v>1358.9154463673599</v>
      </c>
      <c r="D1142" t="s">
        <v>12</v>
      </c>
      <c r="E1142" t="str">
        <f>+INDEX(Check!$B$5:$B$33,MATCH(Compilado[[#This Row],[Items]],Check!$C$5:$C$33,0))</f>
        <v>ADMINISTRACION</v>
      </c>
      <c r="F1142" s="69">
        <f>+IFERROR(INDEX(Tabla2[TC],MATCH(Compilado[[#This Row],[Mes]],Tabla2[Mes],0))*Compilado[[#This Row],[USD]],0)</f>
        <v>1641972.834477714</v>
      </c>
      <c r="G1142" s="150">
        <v>45992</v>
      </c>
    </row>
    <row r="1143" spans="1:7">
      <c r="A1143" t="s">
        <v>330</v>
      </c>
      <c r="B1143" t="s">
        <v>96</v>
      </c>
      <c r="C1143" s="2">
        <v>1267.9535202424825</v>
      </c>
      <c r="D1143" t="s">
        <v>12</v>
      </c>
      <c r="E1143" t="str">
        <f>+INDEX(Check!$B$5:$B$33,MATCH(Compilado[[#This Row],[Items]],Check!$C$5:$C$33,0))</f>
        <v>ADMINISTRACION</v>
      </c>
      <c r="F1143" s="69">
        <f>+IFERROR(INDEX(Tabla2[TC],MATCH(Compilado[[#This Row],[Mes]],Tabla2[Mes],0))*Compilado[[#This Row],[USD]],0)</f>
        <v>1547384.492240353</v>
      </c>
      <c r="G1143" s="150">
        <v>46023</v>
      </c>
    </row>
    <row r="1144" spans="1:7">
      <c r="A1144" t="s">
        <v>330</v>
      </c>
      <c r="B1144" t="s">
        <v>97</v>
      </c>
      <c r="C1144" s="2">
        <v>1054.230446478927</v>
      </c>
      <c r="D1144" t="s">
        <v>12</v>
      </c>
      <c r="E1144" t="str">
        <f>+INDEX(Check!$B$5:$B$33,MATCH(Compilado[[#This Row],[Items]],Check!$C$5:$C$33,0))</f>
        <v>ADMINISTRACION</v>
      </c>
      <c r="F1144" s="69">
        <f>+IFERROR(INDEX(Tabla2[TC],MATCH(Compilado[[#This Row],[Mes]],Tabla2[Mes],0))*Compilado[[#This Row],[USD]],0)</f>
        <v>1299426.8451223024</v>
      </c>
      <c r="G1144" s="150">
        <v>46054</v>
      </c>
    </row>
    <row r="1145" spans="1:7">
      <c r="A1145" t="s">
        <v>330</v>
      </c>
      <c r="B1145" t="s">
        <v>98</v>
      </c>
      <c r="C1145" s="2">
        <v>1136.2790240023439</v>
      </c>
      <c r="D1145" t="s">
        <v>12</v>
      </c>
      <c r="E1145" t="str">
        <f>+INDEX(Check!$B$5:$B$33,MATCH(Compilado[[#This Row],[Items]],Check!$C$5:$C$33,0))</f>
        <v>ADMINISTRACION</v>
      </c>
      <c r="F1145" s="69">
        <f>+IFERROR(INDEX(Tabla2[TC],MATCH(Compilado[[#This Row],[Mes]],Tabla2[Mes],0))*Compilado[[#This Row],[USD]],0)</f>
        <v>1414564.1372739503</v>
      </c>
      <c r="G1145" s="150">
        <v>46082</v>
      </c>
    </row>
    <row r="1146" spans="1:7">
      <c r="A1146" t="s">
        <v>330</v>
      </c>
      <c r="B1146" t="s">
        <v>99</v>
      </c>
      <c r="C1146" s="2">
        <v>1549.2051351365467</v>
      </c>
      <c r="D1146" t="s">
        <v>12</v>
      </c>
      <c r="E1146" t="str">
        <f>+INDEX(Check!$B$5:$B$33,MATCH(Compilado[[#This Row],[Items]],Check!$C$5:$C$33,0))</f>
        <v>ADMINISTRACION</v>
      </c>
      <c r="F1146" s="69">
        <f>+IFERROR(INDEX(Tabla2[TC],MATCH(Compilado[[#This Row],[Mes]],Tabla2[Mes],0))*Compilado[[#This Row],[USD]],0)</f>
        <v>1947905.821497137</v>
      </c>
      <c r="G1146" s="150">
        <v>46113</v>
      </c>
    </row>
    <row r="1147" spans="1:7">
      <c r="A1147" t="s">
        <v>330</v>
      </c>
      <c r="B1147" t="s">
        <v>88</v>
      </c>
      <c r="C1147" s="2">
        <v>544.06312902736875</v>
      </c>
      <c r="D1147" t="s">
        <v>4</v>
      </c>
      <c r="E1147" t="str">
        <f>+INDEX(Check!$B$5:$B$33,MATCH(Compilado[[#This Row],[Items]],Check!$C$5:$C$33,0))</f>
        <v>ADMINISTRACION</v>
      </c>
      <c r="F1147" s="69">
        <f>+IFERROR(INDEX(Tabla2[TC],MATCH(Compilado[[#This Row],[Mes]],Tabla2[Mes],0))*Compilado[[#This Row],[USD]],0)</f>
        <v>613159.14641384454</v>
      </c>
      <c r="G1147" s="150">
        <v>45778</v>
      </c>
    </row>
    <row r="1148" spans="1:7">
      <c r="A1148" t="s">
        <v>330</v>
      </c>
      <c r="B1148" t="s">
        <v>89</v>
      </c>
      <c r="C1148" s="2">
        <v>607.14663256532856</v>
      </c>
      <c r="D1148" t="s">
        <v>4</v>
      </c>
      <c r="E1148" t="str">
        <f>+INDEX(Check!$B$5:$B$33,MATCH(Compilado[[#This Row],[Items]],Check!$C$5:$C$33,0))</f>
        <v>ADMINISTRACION</v>
      </c>
      <c r="F1148" s="69">
        <f>+IFERROR(INDEX(Tabla2[TC],MATCH(Compilado[[#This Row],[Mes]],Tabla2[Mes],0))*Compilado[[#This Row],[USD]],0)</f>
        <v>691096.79745013651</v>
      </c>
      <c r="G1148" s="150">
        <v>45809</v>
      </c>
    </row>
    <row r="1149" spans="1:7">
      <c r="A1149" t="s">
        <v>330</v>
      </c>
      <c r="B1149" t="s">
        <v>90</v>
      </c>
      <c r="C1149" s="2">
        <v>529.44646820649871</v>
      </c>
      <c r="D1149" t="s">
        <v>4</v>
      </c>
      <c r="E1149" t="str">
        <f>+INDEX(Check!$B$5:$B$33,MATCH(Compilado[[#This Row],[Items]],Check!$C$5:$C$33,0))</f>
        <v>ADMINISTRACION</v>
      </c>
      <c r="F1149" s="69">
        <f>+IFERROR(INDEX(Tabla2[TC],MATCH(Compilado[[#This Row],[Mes]],Tabla2[Mes],0))*Compilado[[#This Row],[USD]],0)</f>
        <v>608679.56167906546</v>
      </c>
      <c r="G1149" s="150">
        <v>45839</v>
      </c>
    </row>
    <row r="1150" spans="1:7">
      <c r="A1150" t="s">
        <v>330</v>
      </c>
      <c r="B1150" t="s">
        <v>91</v>
      </c>
      <c r="C1150" s="2">
        <v>823.62990005781035</v>
      </c>
      <c r="D1150" t="s">
        <v>4</v>
      </c>
      <c r="E1150" t="str">
        <f>+INDEX(Check!$B$5:$B$33,MATCH(Compilado[[#This Row],[Items]],Check!$C$5:$C$33,0))</f>
        <v>ADMINISTRACION</v>
      </c>
      <c r="F1150" s="69">
        <f>+IFERROR(INDEX(Tabla2[TC],MATCH(Compilado[[#This Row],[Mes]],Tabla2[Mes],0))*Compilado[[#This Row],[USD]],0)</f>
        <v>956357.22178621381</v>
      </c>
      <c r="G1150" s="150">
        <v>45870</v>
      </c>
    </row>
    <row r="1151" spans="1:7">
      <c r="A1151" t="s">
        <v>330</v>
      </c>
      <c r="B1151" t="s">
        <v>92</v>
      </c>
      <c r="C1151" s="2">
        <v>901.72892434040011</v>
      </c>
      <c r="D1151" t="s">
        <v>4</v>
      </c>
      <c r="E1151" t="str">
        <f>+INDEX(Check!$B$5:$B$33,MATCH(Compilado[[#This Row],[Items]],Check!$C$5:$C$33,0))</f>
        <v>ADMINISTRACION</v>
      </c>
      <c r="F1151" s="69">
        <f>+IFERROR(INDEX(Tabla2[TC],MATCH(Compilado[[#This Row],[Mes]],Tabla2[Mes],0))*Compilado[[#This Row],[USD]],0)</f>
        <v>1057512.2618960112</v>
      </c>
      <c r="G1151" s="150">
        <v>45901</v>
      </c>
    </row>
    <row r="1152" spans="1:7">
      <c r="A1152" t="s">
        <v>330</v>
      </c>
      <c r="B1152" t="s">
        <v>93</v>
      </c>
      <c r="C1152" s="2">
        <v>1014.592849475257</v>
      </c>
      <c r="D1152" t="s">
        <v>4</v>
      </c>
      <c r="E1152" t="str">
        <f>+INDEX(Check!$B$5:$B$33,MATCH(Compilado[[#This Row],[Items]],Check!$C$5:$C$33,0))</f>
        <v>ADMINISTRACION</v>
      </c>
      <c r="F1152" s="69">
        <f>+IFERROR(INDEX(Tabla2[TC],MATCH(Compilado[[#This Row],[Mes]],Tabla2[Mes],0))*Compilado[[#This Row],[USD]],0)</f>
        <v>1201773.3863159695</v>
      </c>
      <c r="G1152" s="150">
        <v>45931</v>
      </c>
    </row>
    <row r="1153" spans="1:7">
      <c r="A1153" t="s">
        <v>330</v>
      </c>
      <c r="B1153" t="s">
        <v>94</v>
      </c>
      <c r="C1153" s="2">
        <v>666.74949834358506</v>
      </c>
      <c r="D1153" t="s">
        <v>4</v>
      </c>
      <c r="E1153" t="str">
        <f>+INDEX(Check!$B$5:$B$33,MATCH(Compilado[[#This Row],[Items]],Check!$C$5:$C$33,0))</f>
        <v>ADMINISTRACION</v>
      </c>
      <c r="F1153" s="69">
        <f>+IFERROR(INDEX(Tabla2[TC],MATCH(Compilado[[#This Row],[Mes]],Tabla2[Mes],0))*Compilado[[#This Row],[USD]],0)</f>
        <v>797654.56743746635</v>
      </c>
      <c r="G1153" s="150">
        <v>45962</v>
      </c>
    </row>
    <row r="1154" spans="1:7">
      <c r="A1154" t="s">
        <v>330</v>
      </c>
      <c r="B1154" t="s">
        <v>95</v>
      </c>
      <c r="C1154" s="2">
        <v>988.30214281262545</v>
      </c>
      <c r="D1154" t="s">
        <v>4</v>
      </c>
      <c r="E1154" t="str">
        <f>+INDEX(Check!$B$5:$B$33,MATCH(Compilado[[#This Row],[Items]],Check!$C$5:$C$33,0))</f>
        <v>ADMINISTRACION</v>
      </c>
      <c r="F1154" s="69">
        <f>+IFERROR(INDEX(Tabla2[TC],MATCH(Compilado[[#This Row],[Mes]],Tabla2[Mes],0))*Compilado[[#This Row],[USD]],0)</f>
        <v>1194162.0614383377</v>
      </c>
      <c r="G1154" s="150">
        <v>45992</v>
      </c>
    </row>
    <row r="1155" spans="1:7">
      <c r="A1155" t="s">
        <v>330</v>
      </c>
      <c r="B1155" t="s">
        <v>96</v>
      </c>
      <c r="C1155" s="2">
        <v>922.14801472180523</v>
      </c>
      <c r="D1155" t="s">
        <v>4</v>
      </c>
      <c r="E1155" t="str">
        <f>+INDEX(Check!$B$5:$B$33,MATCH(Compilado[[#This Row],[Items]],Check!$C$5:$C$33,0))</f>
        <v>ADMINISTRACION</v>
      </c>
      <c r="F1155" s="69">
        <f>+IFERROR(INDEX(Tabla2[TC],MATCH(Compilado[[#This Row],[Mes]],Tabla2[Mes],0))*Compilado[[#This Row],[USD]],0)</f>
        <v>1125370.5398111658</v>
      </c>
      <c r="G1155" s="150">
        <v>46023</v>
      </c>
    </row>
    <row r="1156" spans="1:7">
      <c r="A1156" t="s">
        <v>330</v>
      </c>
      <c r="B1156" t="s">
        <v>97</v>
      </c>
      <c r="C1156" s="2">
        <v>766.71305198467428</v>
      </c>
      <c r="D1156" t="s">
        <v>4</v>
      </c>
      <c r="E1156" t="str">
        <f>+INDEX(Check!$B$5:$B$33,MATCH(Compilado[[#This Row],[Items]],Check!$C$5:$C$33,0))</f>
        <v>ADMINISTRACION</v>
      </c>
      <c r="F1156" s="69">
        <f>+IFERROR(INDEX(Tabla2[TC],MATCH(Compilado[[#This Row],[Mes]],Tabla2[Mes],0))*Compilado[[#This Row],[USD]],0)</f>
        <v>945037.70554349269</v>
      </c>
      <c r="G1156" s="150">
        <v>46054</v>
      </c>
    </row>
    <row r="1157" spans="1:7">
      <c r="A1157" t="s">
        <v>330</v>
      </c>
      <c r="B1157" t="s">
        <v>98</v>
      </c>
      <c r="C1157" s="2">
        <v>826.38474472897724</v>
      </c>
      <c r="D1157" t="s">
        <v>4</v>
      </c>
      <c r="E1157" t="str">
        <f>+INDEX(Check!$B$5:$B$33,MATCH(Compilado[[#This Row],[Items]],Check!$C$5:$C$33,0))</f>
        <v>ADMINISTRACION</v>
      </c>
      <c r="F1157" s="69">
        <f>+IFERROR(INDEX(Tabla2[TC],MATCH(Compilado[[#This Row],[Mes]],Tabla2[Mes],0))*Compilado[[#This Row],[USD]],0)</f>
        <v>1028773.9180174181</v>
      </c>
      <c r="G1157" s="150">
        <v>46082</v>
      </c>
    </row>
    <row r="1158" spans="1:7">
      <c r="A1158" t="s">
        <v>330</v>
      </c>
      <c r="B1158" t="s">
        <v>99</v>
      </c>
      <c r="C1158" s="2">
        <v>1126.6946437356703</v>
      </c>
      <c r="D1158" t="s">
        <v>4</v>
      </c>
      <c r="E1158" t="str">
        <f>+INDEX(Check!$B$5:$B$33,MATCH(Compilado[[#This Row],[Items]],Check!$C$5:$C$33,0))</f>
        <v>ADMINISTRACION</v>
      </c>
      <c r="F1158" s="69">
        <f>+IFERROR(INDEX(Tabla2[TC],MATCH(Compilado[[#This Row],[Mes]],Tabla2[Mes],0))*Compilado[[#This Row],[USD]],0)</f>
        <v>1416658.779270645</v>
      </c>
      <c r="G1158" s="150">
        <v>46113</v>
      </c>
    </row>
    <row r="1159" spans="1:7">
      <c r="A1159" t="s">
        <v>330</v>
      </c>
      <c r="B1159" t="s">
        <v>88</v>
      </c>
      <c r="C1159" s="2">
        <v>2992.3472096505284</v>
      </c>
      <c r="D1159" t="s">
        <v>396</v>
      </c>
      <c r="E1159" t="str">
        <f>+INDEX(Check!$B$5:$B$33,MATCH(Compilado[[#This Row],[Items]],Check!$C$5:$C$33,0))</f>
        <v>ADMINISTRACION</v>
      </c>
      <c r="F1159" s="69">
        <f>+IFERROR(INDEX(Tabla2[TC],MATCH(Compilado[[#This Row],[Mes]],Tabla2[Mes],0))*Compilado[[#This Row],[USD]],0)</f>
        <v>3372375.3052761457</v>
      </c>
      <c r="G1159" s="150">
        <v>45778</v>
      </c>
    </row>
    <row r="1160" spans="1:7">
      <c r="A1160" t="s">
        <v>330</v>
      </c>
      <c r="B1160" t="s">
        <v>89</v>
      </c>
      <c r="C1160" s="2">
        <v>3339.306479109307</v>
      </c>
      <c r="D1160" t="s">
        <v>396</v>
      </c>
      <c r="E1160" t="str">
        <f>+INDEX(Check!$B$5:$B$33,MATCH(Compilado[[#This Row],[Items]],Check!$C$5:$C$33,0))</f>
        <v>ADMINISTRACION</v>
      </c>
      <c r="F1160" s="69">
        <f>+IFERROR(INDEX(Tabla2[TC],MATCH(Compilado[[#This Row],[Mes]],Tabla2[Mes],0))*Compilado[[#This Row],[USD]],0)</f>
        <v>3801032.3859757506</v>
      </c>
      <c r="G1160" s="150">
        <v>45809</v>
      </c>
    </row>
    <row r="1161" spans="1:7">
      <c r="A1161" t="s">
        <v>330</v>
      </c>
      <c r="B1161" t="s">
        <v>90</v>
      </c>
      <c r="C1161" s="2">
        <v>2911.9555751357429</v>
      </c>
      <c r="D1161" t="s">
        <v>396</v>
      </c>
      <c r="E1161" t="str">
        <f>+INDEX(Check!$B$5:$B$33,MATCH(Compilado[[#This Row],[Items]],Check!$C$5:$C$33,0))</f>
        <v>ADMINISTRACION</v>
      </c>
      <c r="F1161" s="69">
        <f>+IFERROR(INDEX(Tabla2[TC],MATCH(Compilado[[#This Row],[Mes]],Tabla2[Mes],0))*Compilado[[#This Row],[USD]],0)</f>
        <v>3347737.5892348601</v>
      </c>
      <c r="G1161" s="150">
        <v>45839</v>
      </c>
    </row>
    <row r="1162" spans="1:7">
      <c r="A1162" t="s">
        <v>330</v>
      </c>
      <c r="B1162" t="s">
        <v>91</v>
      </c>
      <c r="C1162" s="2">
        <v>4529.9644503179579</v>
      </c>
      <c r="D1162" t="s">
        <v>396</v>
      </c>
      <c r="E1162" t="str">
        <f>+INDEX(Check!$B$5:$B$33,MATCH(Compilado[[#This Row],[Items]],Check!$C$5:$C$33,0))</f>
        <v>ADMINISTRACION</v>
      </c>
      <c r="F1162" s="69">
        <f>+IFERROR(INDEX(Tabla2[TC],MATCH(Compilado[[#This Row],[Mes]],Tabla2[Mes],0))*Compilado[[#This Row],[USD]],0)</f>
        <v>5259964.7198241772</v>
      </c>
      <c r="G1162" s="150">
        <v>45870</v>
      </c>
    </row>
    <row r="1163" spans="1:7">
      <c r="A1163" t="s">
        <v>330</v>
      </c>
      <c r="B1163" t="s">
        <v>92</v>
      </c>
      <c r="C1163" s="2">
        <v>4959.5090838722008</v>
      </c>
      <c r="D1163" t="s">
        <v>396</v>
      </c>
      <c r="E1163" t="str">
        <f>+INDEX(Check!$B$5:$B$33,MATCH(Compilado[[#This Row],[Items]],Check!$C$5:$C$33,0))</f>
        <v>ADMINISTRACION</v>
      </c>
      <c r="F1163" s="69">
        <f>+IFERROR(INDEX(Tabla2[TC],MATCH(Compilado[[#This Row],[Mes]],Tabla2[Mes],0))*Compilado[[#This Row],[USD]],0)</f>
        <v>5816317.4404280623</v>
      </c>
      <c r="G1163" s="150">
        <v>45901</v>
      </c>
    </row>
    <row r="1164" spans="1:7">
      <c r="A1164" t="s">
        <v>330</v>
      </c>
      <c r="B1164" t="s">
        <v>93</v>
      </c>
      <c r="C1164" s="2">
        <v>5580.2606721139136</v>
      </c>
      <c r="D1164" t="s">
        <v>396</v>
      </c>
      <c r="E1164" t="str">
        <f>+INDEX(Check!$B$5:$B$33,MATCH(Compilado[[#This Row],[Items]],Check!$C$5:$C$33,0))</f>
        <v>ADMINISTRACION</v>
      </c>
      <c r="F1164" s="69">
        <f>+IFERROR(INDEX(Tabla2[TC],MATCH(Compilado[[#This Row],[Mes]],Tabla2[Mes],0))*Compilado[[#This Row],[USD]],0)</f>
        <v>6609753.6247378318</v>
      </c>
      <c r="G1164" s="150">
        <v>45931</v>
      </c>
    </row>
    <row r="1165" spans="1:7">
      <c r="A1165" t="s">
        <v>330</v>
      </c>
      <c r="B1165" t="s">
        <v>94</v>
      </c>
      <c r="C1165" s="2">
        <v>3667.1222408897174</v>
      </c>
      <c r="D1165" t="s">
        <v>396</v>
      </c>
      <c r="E1165" t="str">
        <f>+INDEX(Check!$B$5:$B$33,MATCH(Compilado[[#This Row],[Items]],Check!$C$5:$C$33,0))</f>
        <v>ADMINISTRACION</v>
      </c>
      <c r="F1165" s="69">
        <f>+IFERROR(INDEX(Tabla2[TC],MATCH(Compilado[[#This Row],[Mes]],Tabla2[Mes],0))*Compilado[[#This Row],[USD]],0)</f>
        <v>4387100.1209060643</v>
      </c>
      <c r="G1165" s="150">
        <v>45962</v>
      </c>
    </row>
    <row r="1166" spans="1:7">
      <c r="A1166" t="s">
        <v>330</v>
      </c>
      <c r="B1166" t="s">
        <v>95</v>
      </c>
      <c r="C1166" s="2">
        <v>5435.6617854694396</v>
      </c>
      <c r="D1166" t="s">
        <v>396</v>
      </c>
      <c r="E1166" t="str">
        <f>+INDEX(Check!$B$5:$B$33,MATCH(Compilado[[#This Row],[Items]],Check!$C$5:$C$33,0))</f>
        <v>ADMINISTRACION</v>
      </c>
      <c r="F1166" s="69">
        <f>+IFERROR(INDEX(Tabla2[TC],MATCH(Compilado[[#This Row],[Mes]],Tabla2[Mes],0))*Compilado[[#This Row],[USD]],0)</f>
        <v>6567891.3379108561</v>
      </c>
      <c r="G1166" s="150">
        <v>45992</v>
      </c>
    </row>
    <row r="1167" spans="1:7">
      <c r="A1167" t="s">
        <v>330</v>
      </c>
      <c r="B1167" t="s">
        <v>96</v>
      </c>
      <c r="C1167" s="2">
        <v>5071.8140809699298</v>
      </c>
      <c r="D1167" t="s">
        <v>396</v>
      </c>
      <c r="E1167" t="str">
        <f>+INDEX(Check!$B$5:$B$33,MATCH(Compilado[[#This Row],[Items]],Check!$C$5:$C$33,0))</f>
        <v>ADMINISTRACION</v>
      </c>
      <c r="F1167" s="69">
        <f>+IFERROR(INDEX(Tabla2[TC],MATCH(Compilado[[#This Row],[Mes]],Tabla2[Mes],0))*Compilado[[#This Row],[USD]],0)</f>
        <v>6189537.9689614121</v>
      </c>
      <c r="G1167" s="150">
        <v>46023</v>
      </c>
    </row>
    <row r="1168" spans="1:7">
      <c r="A1168" t="s">
        <v>330</v>
      </c>
      <c r="B1168" t="s">
        <v>97</v>
      </c>
      <c r="C1168" s="2">
        <v>4216.9217859157079</v>
      </c>
      <c r="D1168" t="s">
        <v>396</v>
      </c>
      <c r="E1168" t="str">
        <f>+INDEX(Check!$B$5:$B$33,MATCH(Compilado[[#This Row],[Items]],Check!$C$5:$C$33,0))</f>
        <v>ADMINISTRACION</v>
      </c>
      <c r="F1168" s="69">
        <f>+IFERROR(INDEX(Tabla2[TC],MATCH(Compilado[[#This Row],[Mes]],Tabla2[Mes],0))*Compilado[[#This Row],[USD]],0)</f>
        <v>5197707.3804892097</v>
      </c>
      <c r="G1168" s="150">
        <v>46054</v>
      </c>
    </row>
    <row r="1169" spans="1:7">
      <c r="A1169" t="s">
        <v>330</v>
      </c>
      <c r="B1169" t="s">
        <v>98</v>
      </c>
      <c r="C1169" s="2">
        <v>4545.1160960093757</v>
      </c>
      <c r="D1169" t="s">
        <v>396</v>
      </c>
      <c r="E1169" t="str">
        <f>+INDEX(Check!$B$5:$B$33,MATCH(Compilado[[#This Row],[Items]],Check!$C$5:$C$33,0))</f>
        <v>ADMINISTRACION</v>
      </c>
      <c r="F1169" s="69">
        <f>+IFERROR(INDEX(Tabla2[TC],MATCH(Compilado[[#This Row],[Mes]],Tabla2[Mes],0))*Compilado[[#This Row],[USD]],0)</f>
        <v>5658256.5490958011</v>
      </c>
      <c r="G1169" s="150">
        <v>46082</v>
      </c>
    </row>
    <row r="1170" spans="1:7">
      <c r="A1170" t="s">
        <v>330</v>
      </c>
      <c r="B1170" t="s">
        <v>99</v>
      </c>
      <c r="C1170" s="2">
        <v>6196.8205405461877</v>
      </c>
      <c r="D1170" t="s">
        <v>397</v>
      </c>
      <c r="E1170" t="str">
        <f>+INDEX(Check!$B$5:$B$33,MATCH(Compilado[[#This Row],[Items]],Check!$C$5:$C$33,0))</f>
        <v>ADMINISTRACION</v>
      </c>
      <c r="F1170" s="69">
        <f>+IFERROR(INDEX(Tabla2[TC],MATCH(Compilado[[#This Row],[Mes]],Tabla2[Mes],0))*Compilado[[#This Row],[USD]],0)</f>
        <v>7791623.2859885488</v>
      </c>
      <c r="G1170" s="150">
        <v>46113</v>
      </c>
    </row>
    <row r="1171" spans="1:7">
      <c r="A1171" t="s">
        <v>330</v>
      </c>
      <c r="B1171" t="s">
        <v>88</v>
      </c>
      <c r="C1171" s="2">
        <v>1224.1420403115796</v>
      </c>
      <c r="D1171" t="s">
        <v>397</v>
      </c>
      <c r="E1171" t="str">
        <f>+INDEX(Check!$B$5:$B$33,MATCH(Compilado[[#This Row],[Items]],Check!$C$5:$C$33,0))</f>
        <v>ADMINISTRACION</v>
      </c>
      <c r="F1171" s="69">
        <f>+IFERROR(INDEX(Tabla2[TC],MATCH(Compilado[[#This Row],[Mes]],Tabla2[Mes],0))*Compilado[[#This Row],[USD]],0)</f>
        <v>1379608.0794311503</v>
      </c>
      <c r="G1171" s="150">
        <v>45778</v>
      </c>
    </row>
    <row r="1172" spans="1:7">
      <c r="A1172" t="s">
        <v>330</v>
      </c>
      <c r="B1172" t="s">
        <v>89</v>
      </c>
      <c r="C1172" s="2">
        <v>1366.0799232719892</v>
      </c>
      <c r="D1172" t="s">
        <v>397</v>
      </c>
      <c r="E1172" t="str">
        <f>+INDEX(Check!$B$5:$B$33,MATCH(Compilado[[#This Row],[Items]],Check!$C$5:$C$33,0))</f>
        <v>ADMINISTRACION</v>
      </c>
      <c r="F1172" s="69">
        <f>+IFERROR(INDEX(Tabla2[TC],MATCH(Compilado[[#This Row],[Mes]],Tabla2[Mes],0))*Compilado[[#This Row],[USD]],0)</f>
        <v>1554967.7942628071</v>
      </c>
      <c r="G1172" s="150">
        <v>45809</v>
      </c>
    </row>
    <row r="1173" spans="1:7">
      <c r="A1173" t="s">
        <v>330</v>
      </c>
      <c r="B1173" t="s">
        <v>90</v>
      </c>
      <c r="C1173" s="2">
        <v>1191.2545534646219</v>
      </c>
      <c r="D1173" t="s">
        <v>397</v>
      </c>
      <c r="E1173" t="str">
        <f>+INDEX(Check!$B$5:$B$33,MATCH(Compilado[[#This Row],[Items]],Check!$C$5:$C$33,0))</f>
        <v>ADMINISTRACION</v>
      </c>
      <c r="F1173" s="69">
        <f>+IFERROR(INDEX(Tabla2[TC],MATCH(Compilado[[#This Row],[Mes]],Tabla2[Mes],0))*Compilado[[#This Row],[USD]],0)</f>
        <v>1369529.013777897</v>
      </c>
      <c r="G1173" s="150">
        <v>45839</v>
      </c>
    </row>
    <row r="1174" spans="1:7">
      <c r="A1174" t="s">
        <v>330</v>
      </c>
      <c r="B1174" t="s">
        <v>91</v>
      </c>
      <c r="C1174" s="2">
        <v>1853.1672751300737</v>
      </c>
      <c r="D1174" t="s">
        <v>397</v>
      </c>
      <c r="E1174" t="str">
        <f>+INDEX(Check!$B$5:$B$33,MATCH(Compilado[[#This Row],[Items]],Check!$C$5:$C$33,0))</f>
        <v>ADMINISTRACION</v>
      </c>
      <c r="F1174" s="69">
        <f>+IFERROR(INDEX(Tabla2[TC],MATCH(Compilado[[#This Row],[Mes]],Tabla2[Mes],0))*Compilado[[#This Row],[USD]],0)</f>
        <v>2151803.7490189816</v>
      </c>
      <c r="G1174" s="150">
        <v>45870</v>
      </c>
    </row>
    <row r="1175" spans="1:7">
      <c r="A1175" t="s">
        <v>330</v>
      </c>
      <c r="B1175" t="s">
        <v>92</v>
      </c>
      <c r="C1175" s="2">
        <v>2028.8900797659005</v>
      </c>
      <c r="D1175" t="s">
        <v>397</v>
      </c>
      <c r="E1175" t="str">
        <f>+INDEX(Check!$B$5:$B$33,MATCH(Compilado[[#This Row],[Items]],Check!$C$5:$C$33,0))</f>
        <v>ADMINISTRACION</v>
      </c>
      <c r="F1175" s="69">
        <f>+IFERROR(INDEX(Tabla2[TC],MATCH(Compilado[[#This Row],[Mes]],Tabla2[Mes],0))*Compilado[[#This Row],[USD]],0)</f>
        <v>2379402.5892660255</v>
      </c>
      <c r="G1175" s="150">
        <v>45901</v>
      </c>
    </row>
    <row r="1176" spans="1:7">
      <c r="A1176" t="s">
        <v>330</v>
      </c>
      <c r="B1176" t="s">
        <v>93</v>
      </c>
      <c r="C1176" s="2">
        <v>2282.8339113193279</v>
      </c>
      <c r="D1176" t="s">
        <v>397</v>
      </c>
      <c r="E1176" t="str">
        <f>+INDEX(Check!$B$5:$B$33,MATCH(Compilado[[#This Row],[Items]],Check!$C$5:$C$33,0))</f>
        <v>ADMINISTRACION</v>
      </c>
      <c r="F1176" s="69">
        <f>+IFERROR(INDEX(Tabla2[TC],MATCH(Compilado[[#This Row],[Mes]],Tabla2[Mes],0))*Compilado[[#This Row],[USD]],0)</f>
        <v>2703990.1192109305</v>
      </c>
      <c r="G1176" s="150">
        <v>45931</v>
      </c>
    </row>
    <row r="1177" spans="1:7">
      <c r="A1177" t="s">
        <v>330</v>
      </c>
      <c r="B1177" t="s">
        <v>94</v>
      </c>
      <c r="C1177" s="2">
        <v>1500.1863712730662</v>
      </c>
      <c r="D1177" t="s">
        <v>397</v>
      </c>
      <c r="E1177" t="str">
        <f>+INDEX(Check!$B$5:$B$33,MATCH(Compilado[[#This Row],[Items]],Check!$C$5:$C$33,0))</f>
        <v>ADMINISTRACION</v>
      </c>
      <c r="F1177" s="69">
        <f>+IFERROR(INDEX(Tabla2[TC],MATCH(Compilado[[#This Row],[Mes]],Tabla2[Mes],0))*Compilado[[#This Row],[USD]],0)</f>
        <v>1794722.776734299</v>
      </c>
      <c r="G1177" s="150">
        <v>45962</v>
      </c>
    </row>
    <row r="1178" spans="1:7">
      <c r="A1178" t="s">
        <v>330</v>
      </c>
      <c r="B1178" t="s">
        <v>95</v>
      </c>
      <c r="C1178" s="2">
        <v>2223.6798213284069</v>
      </c>
      <c r="D1178" t="s">
        <v>397</v>
      </c>
      <c r="E1178" t="str">
        <f>+INDEX(Check!$B$5:$B$33,MATCH(Compilado[[#This Row],[Items]],Check!$C$5:$C$33,0))</f>
        <v>ADMINISTRACION</v>
      </c>
      <c r="F1178" s="69">
        <f>+IFERROR(INDEX(Tabla2[TC],MATCH(Compilado[[#This Row],[Mes]],Tabla2[Mes],0))*Compilado[[#This Row],[USD]],0)</f>
        <v>2686864.6382362591</v>
      </c>
      <c r="G1178" s="150">
        <v>45992</v>
      </c>
    </row>
    <row r="1179" spans="1:7">
      <c r="A1179" t="s">
        <v>330</v>
      </c>
      <c r="B1179" t="s">
        <v>96</v>
      </c>
      <c r="C1179" s="2">
        <v>2074.8330331240622</v>
      </c>
      <c r="D1179" t="s">
        <v>397</v>
      </c>
      <c r="E1179" t="str">
        <f>+INDEX(Check!$B$5:$B$33,MATCH(Compilado[[#This Row],[Items]],Check!$C$5:$C$33,0))</f>
        <v>ADMINISTRACION</v>
      </c>
      <c r="F1179" s="69">
        <f>+IFERROR(INDEX(Tabla2[TC],MATCH(Compilado[[#This Row],[Mes]],Tabla2[Mes],0))*Compilado[[#This Row],[USD]],0)</f>
        <v>2532083.7145751235</v>
      </c>
      <c r="G1179" s="150">
        <v>46023</v>
      </c>
    </row>
    <row r="1180" spans="1:7">
      <c r="A1180" t="s">
        <v>330</v>
      </c>
      <c r="B1180" t="s">
        <v>97</v>
      </c>
      <c r="C1180" s="2">
        <v>1725.1043669655166</v>
      </c>
      <c r="D1180" t="s">
        <v>397</v>
      </c>
      <c r="E1180" t="str">
        <f>+INDEX(Check!$B$5:$B$33,MATCH(Compilado[[#This Row],[Items]],Check!$C$5:$C$33,0))</f>
        <v>ADMINISTRACION</v>
      </c>
      <c r="F1180" s="69">
        <f>+IFERROR(INDEX(Tabla2[TC],MATCH(Compilado[[#This Row],[Mes]],Tabla2[Mes],0))*Compilado[[#This Row],[USD]],0)</f>
        <v>2126334.8374728579</v>
      </c>
      <c r="G1180" s="150">
        <v>46054</v>
      </c>
    </row>
    <row r="1181" spans="1:7">
      <c r="A1181" t="s">
        <v>330</v>
      </c>
      <c r="B1181" t="s">
        <v>98</v>
      </c>
      <c r="C1181" s="2">
        <v>1859.365675640199</v>
      </c>
      <c r="D1181" t="s">
        <v>397</v>
      </c>
      <c r="E1181" t="str">
        <f>+INDEX(Check!$B$5:$B$33,MATCH(Compilado[[#This Row],[Items]],Check!$C$5:$C$33,0))</f>
        <v>ADMINISTRACION</v>
      </c>
      <c r="F1181" s="69">
        <f>+IFERROR(INDEX(Tabla2[TC],MATCH(Compilado[[#This Row],[Mes]],Tabla2[Mes],0))*Compilado[[#This Row],[USD]],0)</f>
        <v>2314741.315539191</v>
      </c>
      <c r="G1181" s="150">
        <v>46082</v>
      </c>
    </row>
    <row r="1182" spans="1:7">
      <c r="A1182" t="s">
        <v>330</v>
      </c>
      <c r="B1182" t="s">
        <v>99</v>
      </c>
      <c r="C1182" s="2">
        <v>2535.0629484052588</v>
      </c>
      <c r="D1182" t="s">
        <v>397</v>
      </c>
      <c r="E1182" t="str">
        <f>+INDEX(Check!$B$5:$B$33,MATCH(Compilado[[#This Row],[Items]],Check!$C$5:$C$33,0))</f>
        <v>ADMINISTRACION</v>
      </c>
      <c r="F1182" s="69">
        <f>+IFERROR(INDEX(Tabla2[TC],MATCH(Compilado[[#This Row],[Mes]],Tabla2[Mes],0))*Compilado[[#This Row],[USD]],0)</f>
        <v>3187482.2533589522</v>
      </c>
      <c r="G1182" s="150">
        <v>46113</v>
      </c>
    </row>
    <row r="1183" spans="1:7">
      <c r="A1183" t="s">
        <v>331</v>
      </c>
      <c r="B1183" t="s">
        <v>88</v>
      </c>
      <c r="C1183" s="2">
        <v>1602.7017043614323</v>
      </c>
      <c r="D1183" t="s">
        <v>8</v>
      </c>
      <c r="E1183" t="str">
        <f>+INDEX(Check!$B$5:$B$33,MATCH(Compilado[[#This Row],[Items]],Check!$C$5:$C$33,0))</f>
        <v>ADMINISTRACION</v>
      </c>
      <c r="F1183" s="69">
        <f>+IFERROR(INDEX(Tabla2[TC],MATCH(Compilado[[#This Row],[Mes]],Tabla2[Mes],0))*Compilado[[#This Row],[USD]],0)</f>
        <v>1806244.8208153343</v>
      </c>
      <c r="G1183" s="150">
        <v>45778</v>
      </c>
    </row>
    <row r="1184" spans="1:7">
      <c r="A1184" t="s">
        <v>331</v>
      </c>
      <c r="B1184" t="s">
        <v>89</v>
      </c>
      <c r="C1184" s="2">
        <v>2195.0576810073576</v>
      </c>
      <c r="D1184" t="s">
        <v>8</v>
      </c>
      <c r="E1184" t="str">
        <f>+INDEX(Check!$B$5:$B$33,MATCH(Compilado[[#This Row],[Items]],Check!$C$5:$C$33,0))</f>
        <v>ADMINISTRACION</v>
      </c>
      <c r="F1184" s="69">
        <f>+IFERROR(INDEX(Tabla2[TC],MATCH(Compilado[[#This Row],[Mes]],Tabla2[Mes],0))*Compilado[[#This Row],[USD]],0)</f>
        <v>2498568.3065602449</v>
      </c>
      <c r="G1184" s="150">
        <v>45809</v>
      </c>
    </row>
    <row r="1185" spans="1:7">
      <c r="A1185" t="s">
        <v>331</v>
      </c>
      <c r="B1185" t="s">
        <v>90</v>
      </c>
      <c r="C1185" s="2">
        <v>1636.4605884308403</v>
      </c>
      <c r="D1185" t="s">
        <v>8</v>
      </c>
      <c r="E1185" t="str">
        <f>+INDEX(Check!$B$5:$B$33,MATCH(Compilado[[#This Row],[Items]],Check!$C$5:$C$33,0))</f>
        <v>ADMINISTRACION</v>
      </c>
      <c r="F1185" s="69">
        <f>+IFERROR(INDEX(Tabla2[TC],MATCH(Compilado[[#This Row],[Mes]],Tabla2[Mes],0))*Compilado[[#This Row],[USD]],0)</f>
        <v>1881361.3339331045</v>
      </c>
      <c r="G1185" s="150">
        <v>45839</v>
      </c>
    </row>
    <row r="1186" spans="1:7">
      <c r="A1186" t="s">
        <v>331</v>
      </c>
      <c r="B1186" t="s">
        <v>91</v>
      </c>
      <c r="C1186" s="2">
        <v>1633.8755943975973</v>
      </c>
      <c r="D1186" t="s">
        <v>8</v>
      </c>
      <c r="E1186" t="str">
        <f>+INDEX(Check!$B$5:$B$33,MATCH(Compilado[[#This Row],[Items]],Check!$C$5:$C$33,0))</f>
        <v>ADMINISTRACION</v>
      </c>
      <c r="F1186" s="69">
        <f>+IFERROR(INDEX(Tabla2[TC],MATCH(Compilado[[#This Row],[Mes]],Tabla2[Mes],0))*Compilado[[#This Row],[USD]],0)</f>
        <v>1897173.3834489358</v>
      </c>
      <c r="G1186" s="150">
        <v>45870</v>
      </c>
    </row>
    <row r="1187" spans="1:7">
      <c r="A1187" t="s">
        <v>331</v>
      </c>
      <c r="B1187" t="s">
        <v>92</v>
      </c>
      <c r="C1187" s="2">
        <v>1630.3332290740368</v>
      </c>
      <c r="D1187" t="s">
        <v>8</v>
      </c>
      <c r="E1187" t="str">
        <f>+INDEX(Check!$B$5:$B$33,MATCH(Compilado[[#This Row],[Items]],Check!$C$5:$C$33,0))</f>
        <v>ADMINISTRACION</v>
      </c>
      <c r="F1187" s="69">
        <f>+IFERROR(INDEX(Tabla2[TC],MATCH(Compilado[[#This Row],[Mes]],Tabla2[Mes],0))*Compilado[[#This Row],[USD]],0)</f>
        <v>1911990.7703786495</v>
      </c>
      <c r="G1187" s="150">
        <v>45901</v>
      </c>
    </row>
    <row r="1188" spans="1:7">
      <c r="A1188" t="s">
        <v>331</v>
      </c>
      <c r="B1188" t="s">
        <v>93</v>
      </c>
      <c r="C1188" s="2">
        <v>1625.4298479757445</v>
      </c>
      <c r="D1188" t="s">
        <v>8</v>
      </c>
      <c r="E1188" t="str">
        <f>+INDEX(Check!$B$5:$B$33,MATCH(Compilado[[#This Row],[Items]],Check!$C$5:$C$33,0))</f>
        <v>ADMINISTRACION</v>
      </c>
      <c r="F1188" s="69">
        <f>+IFERROR(INDEX(Tabla2[TC],MATCH(Compilado[[#This Row],[Mes]],Tabla2[Mes],0))*Compilado[[#This Row],[USD]],0)</f>
        <v>1925302.6804113106</v>
      </c>
      <c r="G1188" s="150">
        <v>45931</v>
      </c>
    </row>
    <row r="1189" spans="1:7">
      <c r="A1189" t="s">
        <v>331</v>
      </c>
      <c r="B1189" t="s">
        <v>94</v>
      </c>
      <c r="C1189" s="2">
        <v>1625.4298479757445</v>
      </c>
      <c r="D1189" t="s">
        <v>8</v>
      </c>
      <c r="E1189" t="str">
        <f>+INDEX(Check!$B$5:$B$33,MATCH(Compilado[[#This Row],[Items]],Check!$C$5:$C$33,0))</f>
        <v>ADMINISTRACION</v>
      </c>
      <c r="F1189" s="69">
        <f>+IFERROR(INDEX(Tabla2[TC],MATCH(Compilado[[#This Row],[Mes]],Tabla2[Mes],0))*Compilado[[#This Row],[USD]],0)</f>
        <v>1944555.7072154237</v>
      </c>
      <c r="G1189" s="150">
        <v>45962</v>
      </c>
    </row>
    <row r="1190" spans="1:7">
      <c r="A1190" t="s">
        <v>331</v>
      </c>
      <c r="B1190" t="s">
        <v>95</v>
      </c>
      <c r="C1190" s="2">
        <v>2310.7015688098245</v>
      </c>
      <c r="D1190" t="s">
        <v>8</v>
      </c>
      <c r="E1190" t="str">
        <f>+INDEX(Check!$B$5:$B$33,MATCH(Compilado[[#This Row],[Items]],Check!$C$5:$C$33,0))</f>
        <v>ADMINISTRACION</v>
      </c>
      <c r="F1190" s="69">
        <f>+IFERROR(INDEX(Tabla2[TC],MATCH(Compilado[[#This Row],[Mes]],Tabla2[Mes],0))*Compilado[[#This Row],[USD]],0)</f>
        <v>2792012.7147815898</v>
      </c>
      <c r="G1190" s="150">
        <v>45992</v>
      </c>
    </row>
    <row r="1191" spans="1:7">
      <c r="A1191" t="s">
        <v>331</v>
      </c>
      <c r="B1191" t="s">
        <v>96</v>
      </c>
      <c r="C1191" s="2">
        <v>1625.4298479757445</v>
      </c>
      <c r="D1191" t="s">
        <v>8</v>
      </c>
      <c r="E1191" t="str">
        <f>+INDEX(Check!$B$5:$B$33,MATCH(Compilado[[#This Row],[Items]],Check!$C$5:$C$33,0))</f>
        <v>ADMINISTRACION</v>
      </c>
      <c r="F1191" s="69">
        <f>+IFERROR(INDEX(Tabla2[TC],MATCH(Compilado[[#This Row],[Mes]],Tabla2[Mes],0))*Compilado[[#This Row],[USD]],0)</f>
        <v>1983641.2769304537</v>
      </c>
      <c r="G1191" s="150">
        <v>46023</v>
      </c>
    </row>
    <row r="1192" spans="1:7">
      <c r="A1192" t="s">
        <v>331</v>
      </c>
      <c r="B1192" t="s">
        <v>97</v>
      </c>
      <c r="C1192" s="2">
        <v>1625.4298479757445</v>
      </c>
      <c r="D1192" t="s">
        <v>8</v>
      </c>
      <c r="E1192" t="str">
        <f>+INDEX(Check!$B$5:$B$33,MATCH(Compilado[[#This Row],[Items]],Check!$C$5:$C$33,0))</f>
        <v>ADMINISTRACION</v>
      </c>
      <c r="F1192" s="69">
        <f>+IFERROR(INDEX(Tabla2[TC],MATCH(Compilado[[#This Row],[Mes]],Tabla2[Mes],0))*Compilado[[#This Row],[USD]],0)</f>
        <v>2003477.6896997581</v>
      </c>
      <c r="G1192" s="150">
        <v>46054</v>
      </c>
    </row>
    <row r="1193" spans="1:7">
      <c r="A1193" t="s">
        <v>331</v>
      </c>
      <c r="B1193" t="s">
        <v>98</v>
      </c>
      <c r="C1193" s="2">
        <v>1625.4298479757445</v>
      </c>
      <c r="D1193" t="s">
        <v>8</v>
      </c>
      <c r="E1193" t="str">
        <f>+INDEX(Check!$B$5:$B$33,MATCH(Compilado[[#This Row],[Items]],Check!$C$5:$C$33,0))</f>
        <v>ADMINISTRACION</v>
      </c>
      <c r="F1193" s="69">
        <f>+IFERROR(INDEX(Tabla2[TC],MATCH(Compilado[[#This Row],[Mes]],Tabla2[Mes],0))*Compilado[[#This Row],[USD]],0)</f>
        <v>2023512.4665967554</v>
      </c>
      <c r="G1193" s="150">
        <v>46082</v>
      </c>
    </row>
    <row r="1194" spans="1:7">
      <c r="A1194" t="s">
        <v>331</v>
      </c>
      <c r="B1194" t="s">
        <v>99</v>
      </c>
      <c r="C1194" s="2">
        <v>1650.8055563975863</v>
      </c>
      <c r="D1194" t="s">
        <v>8</v>
      </c>
      <c r="E1194" t="str">
        <f>+INDEX(Check!$B$5:$B$33,MATCH(Compilado[[#This Row],[Items]],Check!$C$5:$C$33,0))</f>
        <v>ADMINISTRACION</v>
      </c>
      <c r="F1194" s="69">
        <f>+IFERROR(INDEX(Tabla2[TC],MATCH(Compilado[[#This Row],[Mes]],Tabla2[Mes],0))*Compilado[[#This Row],[USD]],0)</f>
        <v>2075653.9470050589</v>
      </c>
      <c r="G1194" s="150">
        <v>46113</v>
      </c>
    </row>
    <row r="1195" spans="1:7">
      <c r="A1195" t="s">
        <v>331</v>
      </c>
      <c r="B1195" t="s">
        <v>88</v>
      </c>
      <c r="C1195" s="2">
        <v>927.87993410398724</v>
      </c>
      <c r="D1195" t="s">
        <v>12</v>
      </c>
      <c r="E1195" t="str">
        <f>+INDEX(Check!$B$5:$B$33,MATCH(Compilado[[#This Row],[Items]],Check!$C$5:$C$33,0))</f>
        <v>ADMINISTRACION</v>
      </c>
      <c r="F1195" s="69">
        <f>+IFERROR(INDEX(Tabla2[TC],MATCH(Compilado[[#This Row],[Mes]],Tabla2[Mes],0))*Compilado[[#This Row],[USD]],0)</f>
        <v>1045720.6857351937</v>
      </c>
      <c r="G1195" s="150">
        <v>45778</v>
      </c>
    </row>
    <row r="1196" spans="1:7">
      <c r="A1196" t="s">
        <v>331</v>
      </c>
      <c r="B1196" t="s">
        <v>89</v>
      </c>
      <c r="C1196" s="2">
        <v>1270.822867951628</v>
      </c>
      <c r="D1196" t="s">
        <v>12</v>
      </c>
      <c r="E1196" t="str">
        <f>+INDEX(Check!$B$5:$B$33,MATCH(Compilado[[#This Row],[Items]],Check!$C$5:$C$33,0))</f>
        <v>ADMINISTRACION</v>
      </c>
      <c r="F1196" s="69">
        <f>+IFERROR(INDEX(Tabla2[TC],MATCH(Compilado[[#This Row],[Mes]],Tabla2[Mes],0))*Compilado[[#This Row],[USD]],0)</f>
        <v>1446539.5459032997</v>
      </c>
      <c r="G1196" s="150">
        <v>45809</v>
      </c>
    </row>
    <row r="1197" spans="1:7">
      <c r="A1197" t="s">
        <v>331</v>
      </c>
      <c r="B1197" t="s">
        <v>90</v>
      </c>
      <c r="C1197" s="2">
        <v>947.42455119680244</v>
      </c>
      <c r="D1197" t="s">
        <v>12</v>
      </c>
      <c r="E1197" t="str">
        <f>+INDEX(Check!$B$5:$B$33,MATCH(Compilado[[#This Row],[Items]],Check!$C$5:$C$33,0))</f>
        <v>ADMINISTRACION</v>
      </c>
      <c r="F1197" s="69">
        <f>+IFERROR(INDEX(Tabla2[TC],MATCH(Compilado[[#This Row],[Mes]],Tabla2[Mes],0))*Compilado[[#This Row],[USD]],0)</f>
        <v>1089209.1933296924</v>
      </c>
      <c r="G1197" s="150">
        <v>45839</v>
      </c>
    </row>
    <row r="1198" spans="1:7">
      <c r="A1198" t="s">
        <v>331</v>
      </c>
      <c r="B1198" t="s">
        <v>91</v>
      </c>
      <c r="C1198" s="2">
        <v>945.92797570387199</v>
      </c>
      <c r="D1198" t="s">
        <v>12</v>
      </c>
      <c r="E1198" t="str">
        <f>+INDEX(Check!$B$5:$B$33,MATCH(Compilado[[#This Row],[Items]],Check!$C$5:$C$33,0))</f>
        <v>ADMINISTRACION</v>
      </c>
      <c r="F1198" s="69">
        <f>+IFERROR(INDEX(Tabla2[TC],MATCH(Compilado[[#This Row],[Mes]],Tabla2[Mes],0))*Compilado[[#This Row],[USD]],0)</f>
        <v>1098363.5377862258</v>
      </c>
      <c r="G1198" s="150">
        <v>45870</v>
      </c>
    </row>
    <row r="1199" spans="1:7">
      <c r="A1199" t="s">
        <v>331</v>
      </c>
      <c r="B1199" t="s">
        <v>92</v>
      </c>
      <c r="C1199" s="2">
        <v>943.8771326218108</v>
      </c>
      <c r="D1199" t="s">
        <v>12</v>
      </c>
      <c r="E1199" t="str">
        <f>+INDEX(Check!$B$5:$B$33,MATCH(Compilado[[#This Row],[Items]],Check!$C$5:$C$33,0))</f>
        <v>ADMINISTRACION</v>
      </c>
      <c r="F1199" s="69">
        <f>+IFERROR(INDEX(Tabla2[TC],MATCH(Compilado[[#This Row],[Mes]],Tabla2[Mes],0))*Compilado[[#This Row],[USD]],0)</f>
        <v>1106942.0249560601</v>
      </c>
      <c r="G1199" s="150">
        <v>45901</v>
      </c>
    </row>
    <row r="1200" spans="1:7">
      <c r="A1200" t="s">
        <v>331</v>
      </c>
      <c r="B1200" t="s">
        <v>93</v>
      </c>
      <c r="C1200" s="2">
        <v>941.03833303858892</v>
      </c>
      <c r="D1200" t="s">
        <v>12</v>
      </c>
      <c r="E1200" t="str">
        <f>+INDEX(Check!$B$5:$B$33,MATCH(Compilado[[#This Row],[Items]],Check!$C$5:$C$33,0))</f>
        <v>ADMINISTRACION</v>
      </c>
      <c r="F1200" s="69">
        <f>+IFERROR(INDEX(Tabla2[TC],MATCH(Compilado[[#This Row],[Mes]],Tabla2[Mes],0))*Compilado[[#This Row],[USD]],0)</f>
        <v>1114648.9202381272</v>
      </c>
      <c r="G1200" s="150">
        <v>45931</v>
      </c>
    </row>
    <row r="1201" spans="1:7">
      <c r="A1201" t="s">
        <v>331</v>
      </c>
      <c r="B1201" t="s">
        <v>94</v>
      </c>
      <c r="C1201" s="2">
        <v>941.03833303858892</v>
      </c>
      <c r="D1201" t="s">
        <v>12</v>
      </c>
      <c r="E1201" t="str">
        <f>+INDEX(Check!$B$5:$B$33,MATCH(Compilado[[#This Row],[Items]],Check!$C$5:$C$33,0))</f>
        <v>ADMINISTRACION</v>
      </c>
      <c r="F1201" s="69">
        <f>+IFERROR(INDEX(Tabla2[TC],MATCH(Compilado[[#This Row],[Mes]],Tabla2[Mes],0))*Compilado[[#This Row],[USD]],0)</f>
        <v>1125795.4094405086</v>
      </c>
      <c r="G1201" s="150">
        <v>45962</v>
      </c>
    </row>
    <row r="1202" spans="1:7">
      <c r="A1202" t="s">
        <v>331</v>
      </c>
      <c r="B1202" t="s">
        <v>95</v>
      </c>
      <c r="C1202" s="2">
        <v>1337.7745924688461</v>
      </c>
      <c r="D1202" t="s">
        <v>12</v>
      </c>
      <c r="E1202" t="str">
        <f>+INDEX(Check!$B$5:$B$33,MATCH(Compilado[[#This Row],[Items]],Check!$C$5:$C$33,0))</f>
        <v>ADMINISTRACION</v>
      </c>
      <c r="F1202" s="69">
        <f>+IFERROR(INDEX(Tabla2[TC],MATCH(Compilado[[#This Row],[Mes]],Tabla2[Mes],0))*Compilado[[#This Row],[USD]],0)</f>
        <v>1616428.4138209207</v>
      </c>
      <c r="G1202" s="150">
        <v>45992</v>
      </c>
    </row>
    <row r="1203" spans="1:7">
      <c r="A1203" t="s">
        <v>331</v>
      </c>
      <c r="B1203" t="s">
        <v>96</v>
      </c>
      <c r="C1203" s="2">
        <v>941.03833303858892</v>
      </c>
      <c r="D1203" t="s">
        <v>12</v>
      </c>
      <c r="E1203" t="str">
        <f>+INDEX(Check!$B$5:$B$33,MATCH(Compilado[[#This Row],[Items]],Check!$C$5:$C$33,0))</f>
        <v>ADMINISTRACION</v>
      </c>
      <c r="F1203" s="69">
        <f>+IFERROR(INDEX(Tabla2[TC],MATCH(Compilado[[#This Row],[Mes]],Tabla2[Mes],0))*Compilado[[#This Row],[USD]],0)</f>
        <v>1148423.8971702626</v>
      </c>
      <c r="G1203" s="150">
        <v>46023</v>
      </c>
    </row>
    <row r="1204" spans="1:7">
      <c r="A1204" t="s">
        <v>331</v>
      </c>
      <c r="B1204" t="s">
        <v>97</v>
      </c>
      <c r="C1204" s="2">
        <v>941.03833303858892</v>
      </c>
      <c r="D1204" t="s">
        <v>12</v>
      </c>
      <c r="E1204" t="str">
        <f>+INDEX(Check!$B$5:$B$33,MATCH(Compilado[[#This Row],[Items]],Check!$C$5:$C$33,0))</f>
        <v>ADMINISTRACION</v>
      </c>
      <c r="F1204" s="69">
        <f>+IFERROR(INDEX(Tabla2[TC],MATCH(Compilado[[#This Row],[Mes]],Tabla2[Mes],0))*Compilado[[#This Row],[USD]],0)</f>
        <v>1159908.1361419652</v>
      </c>
      <c r="G1204" s="150">
        <v>46054</v>
      </c>
    </row>
    <row r="1205" spans="1:7">
      <c r="A1205" t="s">
        <v>331</v>
      </c>
      <c r="B1205" t="s">
        <v>98</v>
      </c>
      <c r="C1205" s="2">
        <v>941.03833303858892</v>
      </c>
      <c r="D1205" t="s">
        <v>12</v>
      </c>
      <c r="E1205" t="str">
        <f>+INDEX(Check!$B$5:$B$33,MATCH(Compilado[[#This Row],[Items]],Check!$C$5:$C$33,0))</f>
        <v>ADMINISTRACION</v>
      </c>
      <c r="F1205" s="69">
        <f>+IFERROR(INDEX(Tabla2[TC],MATCH(Compilado[[#This Row],[Mes]],Tabla2[Mes],0))*Compilado[[#This Row],[USD]],0)</f>
        <v>1171507.2175033849</v>
      </c>
      <c r="G1205" s="150">
        <v>46082</v>
      </c>
    </row>
    <row r="1206" spans="1:7">
      <c r="A1206" t="s">
        <v>331</v>
      </c>
      <c r="B1206" t="s">
        <v>99</v>
      </c>
      <c r="C1206" s="2">
        <v>955.72953265123419</v>
      </c>
      <c r="D1206" t="s">
        <v>12</v>
      </c>
      <c r="E1206" t="str">
        <f>+INDEX(Check!$B$5:$B$33,MATCH(Compilado[[#This Row],[Items]],Check!$C$5:$C$33,0))</f>
        <v>ADMINISTRACION</v>
      </c>
      <c r="F1206" s="69">
        <f>+IFERROR(INDEX(Tabla2[TC],MATCH(Compilado[[#This Row],[Mes]],Tabla2[Mes],0))*Compilado[[#This Row],[USD]],0)</f>
        <v>1201694.3903713499</v>
      </c>
      <c r="G1206" s="150">
        <v>46113</v>
      </c>
    </row>
    <row r="1207" spans="1:7">
      <c r="A1207" t="s">
        <v>331</v>
      </c>
      <c r="B1207" t="s">
        <v>88</v>
      </c>
      <c r="C1207" s="2">
        <v>674.82177025744522</v>
      </c>
      <c r="D1207" t="s">
        <v>4</v>
      </c>
      <c r="E1207" t="str">
        <f>+INDEX(Check!$B$5:$B$33,MATCH(Compilado[[#This Row],[Items]],Check!$C$5:$C$33,0))</f>
        <v>ADMINISTRACION</v>
      </c>
      <c r="F1207" s="69">
        <f>+IFERROR(INDEX(Tabla2[TC],MATCH(Compilado[[#This Row],[Mes]],Tabla2[Mes],0))*Compilado[[#This Row],[USD]],0)</f>
        <v>760524.13508014078</v>
      </c>
      <c r="G1207" s="150">
        <v>45778</v>
      </c>
    </row>
    <row r="1208" spans="1:7">
      <c r="A1208" t="s">
        <v>331</v>
      </c>
      <c r="B1208" t="s">
        <v>89</v>
      </c>
      <c r="C1208" s="2">
        <v>924.23481305572943</v>
      </c>
      <c r="D1208" t="s">
        <v>4</v>
      </c>
      <c r="E1208" t="str">
        <f>+INDEX(Check!$B$5:$B$33,MATCH(Compilado[[#This Row],[Items]],Check!$C$5:$C$33,0))</f>
        <v>ADMINISTRACION</v>
      </c>
      <c r="F1208" s="69">
        <f>+IFERROR(INDEX(Tabla2[TC],MATCH(Compilado[[#This Row],[Mes]],Tabla2[Mes],0))*Compilado[[#This Row],[USD]],0)</f>
        <v>1052028.7606569452</v>
      </c>
      <c r="G1208" s="150">
        <v>45809</v>
      </c>
    </row>
    <row r="1209" spans="1:7">
      <c r="A1209" t="s">
        <v>331</v>
      </c>
      <c r="B1209" t="s">
        <v>90</v>
      </c>
      <c r="C1209" s="2">
        <v>689.03603723403808</v>
      </c>
      <c r="D1209" t="s">
        <v>4</v>
      </c>
      <c r="E1209" t="str">
        <f>+INDEX(Check!$B$5:$B$33,MATCH(Compilado[[#This Row],[Items]],Check!$C$5:$C$33,0))</f>
        <v>ADMINISTRACION</v>
      </c>
      <c r="F1209" s="69">
        <f>+IFERROR(INDEX(Tabla2[TC],MATCH(Compilado[[#This Row],[Mes]],Tabla2[Mes],0))*Compilado[[#This Row],[USD]],0)</f>
        <v>792152.14060341252</v>
      </c>
      <c r="G1209" s="150">
        <v>45839</v>
      </c>
    </row>
    <row r="1210" spans="1:7">
      <c r="A1210" t="s">
        <v>331</v>
      </c>
      <c r="B1210" t="s">
        <v>91</v>
      </c>
      <c r="C1210" s="2">
        <v>687.94761869372508</v>
      </c>
      <c r="D1210" t="s">
        <v>4</v>
      </c>
      <c r="E1210" t="str">
        <f>+INDEX(Check!$B$5:$B$33,MATCH(Compilado[[#This Row],[Items]],Check!$C$5:$C$33,0))</f>
        <v>ADMINISTRACION</v>
      </c>
      <c r="F1210" s="69">
        <f>+IFERROR(INDEX(Tabla2[TC],MATCH(Compilado[[#This Row],[Mes]],Tabla2[Mes],0))*Compilado[[#This Row],[USD]],0)</f>
        <v>798809.84566270967</v>
      </c>
      <c r="G1210" s="150">
        <v>45870</v>
      </c>
    </row>
    <row r="1211" spans="1:7">
      <c r="A1211" t="s">
        <v>331</v>
      </c>
      <c r="B1211" t="s">
        <v>92</v>
      </c>
      <c r="C1211" s="2">
        <v>686.45609645222601</v>
      </c>
      <c r="D1211" t="s">
        <v>4</v>
      </c>
      <c r="E1211" t="str">
        <f>+INDEX(Check!$B$5:$B$33,MATCH(Compilado[[#This Row],[Items]],Check!$C$5:$C$33,0))</f>
        <v>ADMINISTRACION</v>
      </c>
      <c r="F1211" s="69">
        <f>+IFERROR(INDEX(Tabla2[TC],MATCH(Compilado[[#This Row],[Mes]],Tabla2[Mes],0))*Compilado[[#This Row],[USD]],0)</f>
        <v>805048.74542258924</v>
      </c>
      <c r="G1211" s="150">
        <v>45901</v>
      </c>
    </row>
    <row r="1212" spans="1:7">
      <c r="A1212" t="s">
        <v>331</v>
      </c>
      <c r="B1212" t="s">
        <v>93</v>
      </c>
      <c r="C1212" s="2">
        <v>684.39151493715565</v>
      </c>
      <c r="D1212" t="s">
        <v>4</v>
      </c>
      <c r="E1212" t="str">
        <f>+INDEX(Check!$B$5:$B$33,MATCH(Compilado[[#This Row],[Items]],Check!$C$5:$C$33,0))</f>
        <v>ADMINISTRACION</v>
      </c>
      <c r="F1212" s="69">
        <f>+IFERROR(INDEX(Tabla2[TC],MATCH(Compilado[[#This Row],[Mes]],Tabla2[Mes],0))*Compilado[[#This Row],[USD]],0)</f>
        <v>810653.76017318352</v>
      </c>
      <c r="G1212" s="150">
        <v>45931</v>
      </c>
    </row>
    <row r="1213" spans="1:7">
      <c r="A1213" t="s">
        <v>331</v>
      </c>
      <c r="B1213" t="s">
        <v>94</v>
      </c>
      <c r="C1213" s="2">
        <v>684.39151493715565</v>
      </c>
      <c r="D1213" t="s">
        <v>4</v>
      </c>
      <c r="E1213" t="str">
        <f>+INDEX(Check!$B$5:$B$33,MATCH(Compilado[[#This Row],[Items]],Check!$C$5:$C$33,0))</f>
        <v>ADMINISTRACION</v>
      </c>
      <c r="F1213" s="69">
        <f>+IFERROR(INDEX(Tabla2[TC],MATCH(Compilado[[#This Row],[Mes]],Tabla2[Mes],0))*Compilado[[#This Row],[USD]],0)</f>
        <v>818760.29777491535</v>
      </c>
      <c r="G1213" s="150">
        <v>45962</v>
      </c>
    </row>
    <row r="1214" spans="1:7">
      <c r="A1214" t="s">
        <v>331</v>
      </c>
      <c r="B1214" t="s">
        <v>95</v>
      </c>
      <c r="C1214" s="2">
        <v>972.92697634097874</v>
      </c>
      <c r="D1214" t="s">
        <v>4</v>
      </c>
      <c r="E1214" t="str">
        <f>+INDEX(Check!$B$5:$B$33,MATCH(Compilado[[#This Row],[Items]],Check!$C$5:$C$33,0))</f>
        <v>ADMINISTRACION</v>
      </c>
      <c r="F1214" s="69">
        <f>+IFERROR(INDEX(Tabla2[TC],MATCH(Compilado[[#This Row],[Mes]],Tabla2[Mes],0))*Compilado[[#This Row],[USD]],0)</f>
        <v>1175584.3009606693</v>
      </c>
      <c r="G1214" s="150">
        <v>45992</v>
      </c>
    </row>
    <row r="1215" spans="1:7">
      <c r="A1215" t="s">
        <v>331</v>
      </c>
      <c r="B1215" t="s">
        <v>96</v>
      </c>
      <c r="C1215" s="2">
        <v>684.39151493715565</v>
      </c>
      <c r="D1215" t="s">
        <v>4</v>
      </c>
      <c r="E1215" t="str">
        <f>+INDEX(Check!$B$5:$B$33,MATCH(Compilado[[#This Row],[Items]],Check!$C$5:$C$33,0))</f>
        <v>ADMINISTRACION</v>
      </c>
      <c r="F1215" s="69">
        <f>+IFERROR(INDEX(Tabla2[TC],MATCH(Compilado[[#This Row],[Mes]],Tabla2[Mes],0))*Compilado[[#This Row],[USD]],0)</f>
        <v>835217.37976019108</v>
      </c>
      <c r="G1215" s="150">
        <v>46023</v>
      </c>
    </row>
    <row r="1216" spans="1:7">
      <c r="A1216" t="s">
        <v>331</v>
      </c>
      <c r="B1216" t="s">
        <v>97</v>
      </c>
      <c r="C1216" s="2">
        <v>684.39151493715565</v>
      </c>
      <c r="D1216" t="s">
        <v>4</v>
      </c>
      <c r="E1216" t="str">
        <f>+INDEX(Check!$B$5:$B$33,MATCH(Compilado[[#This Row],[Items]],Check!$C$5:$C$33,0))</f>
        <v>ADMINISTRACION</v>
      </c>
      <c r="F1216" s="69">
        <f>+IFERROR(INDEX(Tabla2[TC],MATCH(Compilado[[#This Row],[Mes]],Tabla2[Mes],0))*Compilado[[#This Row],[USD]],0)</f>
        <v>843569.55355779303</v>
      </c>
      <c r="G1216" s="150">
        <v>46054</v>
      </c>
    </row>
    <row r="1217" spans="1:7">
      <c r="A1217" t="s">
        <v>331</v>
      </c>
      <c r="B1217" t="s">
        <v>98</v>
      </c>
      <c r="C1217" s="2">
        <v>684.39151493715565</v>
      </c>
      <c r="D1217" t="s">
        <v>4</v>
      </c>
      <c r="E1217" t="str">
        <f>+INDEX(Check!$B$5:$B$33,MATCH(Compilado[[#This Row],[Items]],Check!$C$5:$C$33,0))</f>
        <v>ADMINISTRACION</v>
      </c>
      <c r="F1217" s="69">
        <f>+IFERROR(INDEX(Tabla2[TC],MATCH(Compilado[[#This Row],[Mes]],Tabla2[Mes],0))*Compilado[[#This Row],[USD]],0)</f>
        <v>852005.24909337086</v>
      </c>
      <c r="G1217" s="150">
        <v>46082</v>
      </c>
    </row>
    <row r="1218" spans="1:7">
      <c r="A1218" t="s">
        <v>331</v>
      </c>
      <c r="B1218" t="s">
        <v>99</v>
      </c>
      <c r="C1218" s="2">
        <v>695.07602374635212</v>
      </c>
      <c r="D1218" t="s">
        <v>4</v>
      </c>
      <c r="E1218" t="str">
        <f>+INDEX(Check!$B$5:$B$33,MATCH(Compilado[[#This Row],[Items]],Check!$C$5:$C$33,0))</f>
        <v>ADMINISTRACION</v>
      </c>
      <c r="F1218" s="69">
        <f>+IFERROR(INDEX(Tabla2[TC],MATCH(Compilado[[#This Row],[Mes]],Tabla2[Mes],0))*Compilado[[#This Row],[USD]],0)</f>
        <v>873959.55663370888</v>
      </c>
      <c r="G1218" s="150">
        <v>46113</v>
      </c>
    </row>
    <row r="1219" spans="1:7">
      <c r="A1219" t="s">
        <v>331</v>
      </c>
      <c r="B1219" t="s">
        <v>88</v>
      </c>
      <c r="C1219" s="2">
        <v>3711.519736415949</v>
      </c>
      <c r="D1219" t="s">
        <v>396</v>
      </c>
      <c r="E1219" t="str">
        <f>+INDEX(Check!$B$5:$B$33,MATCH(Compilado[[#This Row],[Items]],Check!$C$5:$C$33,0))</f>
        <v>ADMINISTRACION</v>
      </c>
      <c r="F1219" s="69">
        <f>+IFERROR(INDEX(Tabla2[TC],MATCH(Compilado[[#This Row],[Mes]],Tabla2[Mes],0))*Compilado[[#This Row],[USD]],0)</f>
        <v>4182882.7429407747</v>
      </c>
      <c r="G1219" s="150">
        <v>45778</v>
      </c>
    </row>
    <row r="1220" spans="1:7">
      <c r="A1220" t="s">
        <v>331</v>
      </c>
      <c r="B1220" t="s">
        <v>89</v>
      </c>
      <c r="C1220" s="2">
        <v>5083.2914718065122</v>
      </c>
      <c r="D1220" t="s">
        <v>396</v>
      </c>
      <c r="E1220" t="str">
        <f>+INDEX(Check!$B$5:$B$33,MATCH(Compilado[[#This Row],[Items]],Check!$C$5:$C$33,0))</f>
        <v>ADMINISTRACION</v>
      </c>
      <c r="F1220" s="69">
        <f>+IFERROR(INDEX(Tabla2[TC],MATCH(Compilado[[#This Row],[Mes]],Tabla2[Mes],0))*Compilado[[#This Row],[USD]],0)</f>
        <v>5786158.1836131988</v>
      </c>
      <c r="G1220" s="150">
        <v>45809</v>
      </c>
    </row>
    <row r="1221" spans="1:7">
      <c r="A1221" t="s">
        <v>331</v>
      </c>
      <c r="B1221" t="s">
        <v>90</v>
      </c>
      <c r="C1221" s="2">
        <v>3789.6982047872098</v>
      </c>
      <c r="D1221" t="s">
        <v>396</v>
      </c>
      <c r="E1221" t="str">
        <f>+INDEX(Check!$B$5:$B$33,MATCH(Compilado[[#This Row],[Items]],Check!$C$5:$C$33,0))</f>
        <v>ADMINISTRACION</v>
      </c>
      <c r="F1221" s="69">
        <f>+IFERROR(INDEX(Tabla2[TC],MATCH(Compilado[[#This Row],[Mes]],Tabla2[Mes],0))*Compilado[[#This Row],[USD]],0)</f>
        <v>4356836.7733187694</v>
      </c>
      <c r="G1221" s="150">
        <v>45839</v>
      </c>
    </row>
    <row r="1222" spans="1:7">
      <c r="A1222" t="s">
        <v>331</v>
      </c>
      <c r="B1222" t="s">
        <v>91</v>
      </c>
      <c r="C1222" s="2">
        <v>3783.711902815488</v>
      </c>
      <c r="D1222" t="s">
        <v>396</v>
      </c>
      <c r="E1222" t="str">
        <f>+INDEX(Check!$B$5:$B$33,MATCH(Compilado[[#This Row],[Items]],Check!$C$5:$C$33,0))</f>
        <v>ADMINISTRACION</v>
      </c>
      <c r="F1222" s="69">
        <f>+IFERROR(INDEX(Tabla2[TC],MATCH(Compilado[[#This Row],[Mes]],Tabla2[Mes],0))*Compilado[[#This Row],[USD]],0)</f>
        <v>4393454.1511449032</v>
      </c>
      <c r="G1222" s="150">
        <v>45870</v>
      </c>
    </row>
    <row r="1223" spans="1:7">
      <c r="A1223" t="s">
        <v>331</v>
      </c>
      <c r="B1223" t="s">
        <v>92</v>
      </c>
      <c r="C1223" s="2">
        <v>3775.5085304872432</v>
      </c>
      <c r="D1223" t="s">
        <v>396</v>
      </c>
      <c r="E1223" t="str">
        <f>+INDEX(Check!$B$5:$B$33,MATCH(Compilado[[#This Row],[Items]],Check!$C$5:$C$33,0))</f>
        <v>ADMINISTRACION</v>
      </c>
      <c r="F1223" s="69">
        <f>+IFERROR(INDEX(Tabla2[TC],MATCH(Compilado[[#This Row],[Mes]],Tabla2[Mes],0))*Compilado[[#This Row],[USD]],0)</f>
        <v>4427768.0998242404</v>
      </c>
      <c r="G1223" s="150">
        <v>45901</v>
      </c>
    </row>
    <row r="1224" spans="1:7">
      <c r="A1224" t="s">
        <v>331</v>
      </c>
      <c r="B1224" t="s">
        <v>93</v>
      </c>
      <c r="C1224" s="2">
        <v>3764.1533321543561</v>
      </c>
      <c r="D1224" t="s">
        <v>396</v>
      </c>
      <c r="E1224" t="str">
        <f>+INDEX(Check!$B$5:$B$33,MATCH(Compilado[[#This Row],[Items]],Check!$C$5:$C$33,0))</f>
        <v>ADMINISTRACION</v>
      </c>
      <c r="F1224" s="69">
        <f>+IFERROR(INDEX(Tabla2[TC],MATCH(Compilado[[#This Row],[Mes]],Tabla2[Mes],0))*Compilado[[#This Row],[USD]],0)</f>
        <v>4458595.6809525099</v>
      </c>
      <c r="G1224" s="150">
        <v>45931</v>
      </c>
    </row>
    <row r="1225" spans="1:7">
      <c r="A1225" t="s">
        <v>331</v>
      </c>
      <c r="B1225" t="s">
        <v>94</v>
      </c>
      <c r="C1225" s="2">
        <v>3764.1533321543561</v>
      </c>
      <c r="D1225" t="s">
        <v>396</v>
      </c>
      <c r="E1225" t="str">
        <f>+INDEX(Check!$B$5:$B$33,MATCH(Compilado[[#This Row],[Items]],Check!$C$5:$C$33,0))</f>
        <v>ADMINISTRACION</v>
      </c>
      <c r="F1225" s="69">
        <f>+IFERROR(INDEX(Tabla2[TC],MATCH(Compilado[[#This Row],[Mes]],Tabla2[Mes],0))*Compilado[[#This Row],[USD]],0)</f>
        <v>4503181.6377620343</v>
      </c>
      <c r="G1225" s="150">
        <v>45962</v>
      </c>
    </row>
    <row r="1226" spans="1:7">
      <c r="A1226" t="s">
        <v>331</v>
      </c>
      <c r="B1226" t="s">
        <v>95</v>
      </c>
      <c r="C1226" s="2">
        <v>5351.0983698753835</v>
      </c>
      <c r="D1226" t="s">
        <v>396</v>
      </c>
      <c r="E1226" t="str">
        <f>+INDEX(Check!$B$5:$B$33,MATCH(Compilado[[#This Row],[Items]],Check!$C$5:$C$33,0))</f>
        <v>ADMINISTRACION</v>
      </c>
      <c r="F1226" s="69">
        <f>+IFERROR(INDEX(Tabla2[TC],MATCH(Compilado[[#This Row],[Mes]],Tabla2[Mes],0))*Compilado[[#This Row],[USD]],0)</f>
        <v>6465713.655283682</v>
      </c>
      <c r="G1226" s="150">
        <v>45992</v>
      </c>
    </row>
    <row r="1227" spans="1:7">
      <c r="A1227" t="s">
        <v>331</v>
      </c>
      <c r="B1227" t="s">
        <v>96</v>
      </c>
      <c r="C1227" s="2">
        <v>3764.1533321543561</v>
      </c>
      <c r="D1227" t="s">
        <v>396</v>
      </c>
      <c r="E1227" t="str">
        <f>+INDEX(Check!$B$5:$B$33,MATCH(Compilado[[#This Row],[Items]],Check!$C$5:$C$33,0))</f>
        <v>ADMINISTRACION</v>
      </c>
      <c r="F1227" s="69">
        <f>+IFERROR(INDEX(Tabla2[TC],MATCH(Compilado[[#This Row],[Mes]],Tabla2[Mes],0))*Compilado[[#This Row],[USD]],0)</f>
        <v>4593695.5886810515</v>
      </c>
      <c r="G1227" s="150">
        <v>46023</v>
      </c>
    </row>
    <row r="1228" spans="1:7">
      <c r="A1228" t="s">
        <v>331</v>
      </c>
      <c r="B1228" t="s">
        <v>97</v>
      </c>
      <c r="C1228" s="2">
        <v>3764.1533321543561</v>
      </c>
      <c r="D1228" t="s">
        <v>396</v>
      </c>
      <c r="E1228" t="str">
        <f>+INDEX(Check!$B$5:$B$33,MATCH(Compilado[[#This Row],[Items]],Check!$C$5:$C$33,0))</f>
        <v>ADMINISTRACION</v>
      </c>
      <c r="F1228" s="69">
        <f>+IFERROR(INDEX(Tabla2[TC],MATCH(Compilado[[#This Row],[Mes]],Tabla2[Mes],0))*Compilado[[#This Row],[USD]],0)</f>
        <v>4639632.5445678616</v>
      </c>
      <c r="G1228" s="150">
        <v>46054</v>
      </c>
    </row>
    <row r="1229" spans="1:7">
      <c r="A1229" t="s">
        <v>331</v>
      </c>
      <c r="B1229" t="s">
        <v>98</v>
      </c>
      <c r="C1229" s="2">
        <v>3764.1533321543561</v>
      </c>
      <c r="D1229" t="s">
        <v>396</v>
      </c>
      <c r="E1229" t="str">
        <f>+INDEX(Check!$B$5:$B$33,MATCH(Compilado[[#This Row],[Items]],Check!$C$5:$C$33,0))</f>
        <v>ADMINISTRACION</v>
      </c>
      <c r="F1229" s="69">
        <f>+IFERROR(INDEX(Tabla2[TC],MATCH(Compilado[[#This Row],[Mes]],Tabla2[Mes],0))*Compilado[[#This Row],[USD]],0)</f>
        <v>4686028.8700135397</v>
      </c>
      <c r="G1229" s="150">
        <v>46082</v>
      </c>
    </row>
    <row r="1230" spans="1:7">
      <c r="A1230" t="s">
        <v>331</v>
      </c>
      <c r="B1230" t="s">
        <v>99</v>
      </c>
      <c r="C1230" s="2">
        <v>3822.9181306049368</v>
      </c>
      <c r="D1230" t="s">
        <v>397</v>
      </c>
      <c r="E1230" t="str">
        <f>+INDEX(Check!$B$5:$B$33,MATCH(Compilado[[#This Row],[Items]],Check!$C$5:$C$33,0))</f>
        <v>ADMINISTRACION</v>
      </c>
      <c r="F1230" s="69">
        <f>+IFERROR(INDEX(Tabla2[TC],MATCH(Compilado[[#This Row],[Mes]],Tabla2[Mes],0))*Compilado[[#This Row],[USD]],0)</f>
        <v>4806777.5614853995</v>
      </c>
      <c r="G1230" s="150">
        <v>46113</v>
      </c>
    </row>
    <row r="1231" spans="1:7">
      <c r="A1231" t="s">
        <v>331</v>
      </c>
      <c r="B1231" t="s">
        <v>88</v>
      </c>
      <c r="C1231" s="2">
        <v>1518.3489830792516</v>
      </c>
      <c r="D1231" t="s">
        <v>397</v>
      </c>
      <c r="E1231" t="str">
        <f>+INDEX(Check!$B$5:$B$33,MATCH(Compilado[[#This Row],[Items]],Check!$C$5:$C$33,0))</f>
        <v>ADMINISTRACION</v>
      </c>
      <c r="F1231" s="69">
        <f>+IFERROR(INDEX(Tabla2[TC],MATCH(Compilado[[#This Row],[Mes]],Tabla2[Mes],0))*Compilado[[#This Row],[USD]],0)</f>
        <v>1711179.3039303166</v>
      </c>
      <c r="G1231" s="150">
        <v>45778</v>
      </c>
    </row>
    <row r="1232" spans="1:7">
      <c r="A1232" t="s">
        <v>331</v>
      </c>
      <c r="B1232" t="s">
        <v>89</v>
      </c>
      <c r="C1232" s="2">
        <v>2079.5283293753914</v>
      </c>
      <c r="D1232" t="s">
        <v>397</v>
      </c>
      <c r="E1232" t="str">
        <f>+INDEX(Check!$B$5:$B$33,MATCH(Compilado[[#This Row],[Items]],Check!$C$5:$C$33,0))</f>
        <v>ADMINISTRACION</v>
      </c>
      <c r="F1232" s="69">
        <f>+IFERROR(INDEX(Tabla2[TC],MATCH(Compilado[[#This Row],[Mes]],Tabla2[Mes],0))*Compilado[[#This Row],[USD]],0)</f>
        <v>2367064.7114781267</v>
      </c>
      <c r="G1232" s="150">
        <v>45809</v>
      </c>
    </row>
    <row r="1233" spans="1:7">
      <c r="A1233" t="s">
        <v>331</v>
      </c>
      <c r="B1233" t="s">
        <v>90</v>
      </c>
      <c r="C1233" s="2">
        <v>1550.3310837765855</v>
      </c>
      <c r="D1233" t="s">
        <v>397</v>
      </c>
      <c r="E1233" t="str">
        <f>+INDEX(Check!$B$5:$B$33,MATCH(Compilado[[#This Row],[Items]],Check!$C$5:$C$33,0))</f>
        <v>ADMINISTRACION</v>
      </c>
      <c r="F1233" s="69">
        <f>+IFERROR(INDEX(Tabla2[TC],MATCH(Compilado[[#This Row],[Mes]],Tabla2[Mes],0))*Compilado[[#This Row],[USD]],0)</f>
        <v>1782342.3163576778</v>
      </c>
      <c r="G1233" s="150">
        <v>45839</v>
      </c>
    </row>
    <row r="1234" spans="1:7">
      <c r="A1234" t="s">
        <v>331</v>
      </c>
      <c r="B1234" t="s">
        <v>91</v>
      </c>
      <c r="C1234" s="2">
        <v>1547.8821420608815</v>
      </c>
      <c r="D1234" t="s">
        <v>397</v>
      </c>
      <c r="E1234" t="str">
        <f>+INDEX(Check!$B$5:$B$33,MATCH(Compilado[[#This Row],[Items]],Check!$C$5:$C$33,0))</f>
        <v>ADMINISTRACION</v>
      </c>
      <c r="F1234" s="69">
        <f>+IFERROR(INDEX(Tabla2[TC],MATCH(Compilado[[#This Row],[Mes]],Tabla2[Mes],0))*Compilado[[#This Row],[USD]],0)</f>
        <v>1797322.1527410969</v>
      </c>
      <c r="G1234" s="150">
        <v>45870</v>
      </c>
    </row>
    <row r="1235" spans="1:7">
      <c r="A1235" t="s">
        <v>331</v>
      </c>
      <c r="B1235" t="s">
        <v>92</v>
      </c>
      <c r="C1235" s="2">
        <v>1544.5262170175083</v>
      </c>
      <c r="D1235" t="s">
        <v>397</v>
      </c>
      <c r="E1235" t="str">
        <f>+INDEX(Check!$B$5:$B$33,MATCH(Compilado[[#This Row],[Items]],Check!$C$5:$C$33,0))</f>
        <v>ADMINISTRACION</v>
      </c>
      <c r="F1235" s="69">
        <f>+IFERROR(INDEX(Tabla2[TC],MATCH(Compilado[[#This Row],[Mes]],Tabla2[Mes],0))*Compilado[[#This Row],[USD]],0)</f>
        <v>1811359.6772008254</v>
      </c>
      <c r="G1235" s="150">
        <v>45901</v>
      </c>
    </row>
    <row r="1236" spans="1:7">
      <c r="A1236" t="s">
        <v>331</v>
      </c>
      <c r="B1236" t="s">
        <v>93</v>
      </c>
      <c r="C1236" s="2">
        <v>1539.8809086086001</v>
      </c>
      <c r="D1236" t="s">
        <v>397</v>
      </c>
      <c r="E1236" t="str">
        <f>+INDEX(Check!$B$5:$B$33,MATCH(Compilado[[#This Row],[Items]],Check!$C$5:$C$33,0))</f>
        <v>ADMINISTRACION</v>
      </c>
      <c r="F1236" s="69">
        <f>+IFERROR(INDEX(Tabla2[TC],MATCH(Compilado[[#This Row],[Mes]],Tabla2[Mes],0))*Compilado[[#This Row],[USD]],0)</f>
        <v>1823970.9603896628</v>
      </c>
      <c r="G1236" s="150">
        <v>45931</v>
      </c>
    </row>
    <row r="1237" spans="1:7">
      <c r="A1237" t="s">
        <v>331</v>
      </c>
      <c r="B1237" t="s">
        <v>94</v>
      </c>
      <c r="C1237" s="2">
        <v>1539.8809086086001</v>
      </c>
      <c r="D1237" t="s">
        <v>397</v>
      </c>
      <c r="E1237" t="str">
        <f>+INDEX(Check!$B$5:$B$33,MATCH(Compilado[[#This Row],[Items]],Check!$C$5:$C$33,0))</f>
        <v>ADMINISTRACION</v>
      </c>
      <c r="F1237" s="69">
        <f>+IFERROR(INDEX(Tabla2[TC],MATCH(Compilado[[#This Row],[Mes]],Tabla2[Mes],0))*Compilado[[#This Row],[USD]],0)</f>
        <v>1842210.6699935594</v>
      </c>
      <c r="G1237" s="150">
        <v>45962</v>
      </c>
    </row>
    <row r="1238" spans="1:7">
      <c r="A1238" t="s">
        <v>331</v>
      </c>
      <c r="B1238" t="s">
        <v>95</v>
      </c>
      <c r="C1238" s="2">
        <v>2189.0856967672021</v>
      </c>
      <c r="D1238" t="s">
        <v>397</v>
      </c>
      <c r="E1238" t="str">
        <f>+INDEX(Check!$B$5:$B$33,MATCH(Compilado[[#This Row],[Items]],Check!$C$5:$C$33,0))</f>
        <v>ADMINISTRACION</v>
      </c>
      <c r="F1238" s="69">
        <f>+IFERROR(INDEX(Tabla2[TC],MATCH(Compilado[[#This Row],[Mes]],Tabla2[Mes],0))*Compilado[[#This Row],[USD]],0)</f>
        <v>2645064.6771615059</v>
      </c>
      <c r="G1238" s="150">
        <v>45992</v>
      </c>
    </row>
    <row r="1239" spans="1:7">
      <c r="A1239" t="s">
        <v>331</v>
      </c>
      <c r="B1239" t="s">
        <v>96</v>
      </c>
      <c r="C1239" s="2">
        <v>1539.8809086086001</v>
      </c>
      <c r="D1239" t="s">
        <v>397</v>
      </c>
      <c r="E1239" t="str">
        <f>+INDEX(Check!$B$5:$B$33,MATCH(Compilado[[#This Row],[Items]],Check!$C$5:$C$33,0))</f>
        <v>ADMINISTRACION</v>
      </c>
      <c r="F1239" s="69">
        <f>+IFERROR(INDEX(Tabla2[TC],MATCH(Compilado[[#This Row],[Mes]],Tabla2[Mes],0))*Compilado[[#This Row],[USD]],0)</f>
        <v>1879239.1044604299</v>
      </c>
      <c r="G1239" s="150">
        <v>46023</v>
      </c>
    </row>
    <row r="1240" spans="1:7">
      <c r="A1240" t="s">
        <v>331</v>
      </c>
      <c r="B1240" t="s">
        <v>97</v>
      </c>
      <c r="C1240" s="2">
        <v>1539.8809086086001</v>
      </c>
      <c r="D1240" t="s">
        <v>397</v>
      </c>
      <c r="E1240" t="str">
        <f>+INDEX(Check!$B$5:$B$33,MATCH(Compilado[[#This Row],[Items]],Check!$C$5:$C$33,0))</f>
        <v>ADMINISTRACION</v>
      </c>
      <c r="F1240" s="69">
        <f>+IFERROR(INDEX(Tabla2[TC],MATCH(Compilado[[#This Row],[Mes]],Tabla2[Mes],0))*Compilado[[#This Row],[USD]],0)</f>
        <v>1898031.495505034</v>
      </c>
      <c r="G1240" s="150">
        <v>46054</v>
      </c>
    </row>
    <row r="1241" spans="1:7">
      <c r="A1241" t="s">
        <v>331</v>
      </c>
      <c r="B1241" t="s">
        <v>98</v>
      </c>
      <c r="C1241" s="2">
        <v>1539.8809086086001</v>
      </c>
      <c r="D1241" t="s">
        <v>397</v>
      </c>
      <c r="E1241" t="str">
        <f>+INDEX(Check!$B$5:$B$33,MATCH(Compilado[[#This Row],[Items]],Check!$C$5:$C$33,0))</f>
        <v>ADMINISTRACION</v>
      </c>
      <c r="F1241" s="69">
        <f>+IFERROR(INDEX(Tabla2[TC],MATCH(Compilado[[#This Row],[Mes]],Tabla2[Mes],0))*Compilado[[#This Row],[USD]],0)</f>
        <v>1917011.8104600844</v>
      </c>
      <c r="G1241" s="150">
        <v>46082</v>
      </c>
    </row>
    <row r="1242" spans="1:7">
      <c r="A1242" t="s">
        <v>331</v>
      </c>
      <c r="B1242" t="s">
        <v>99</v>
      </c>
      <c r="C1242" s="2">
        <v>1563.9210534292922</v>
      </c>
      <c r="D1242" t="s">
        <v>397</v>
      </c>
      <c r="E1242" t="str">
        <f>+INDEX(Check!$B$5:$B$33,MATCH(Compilado[[#This Row],[Items]],Check!$C$5:$C$33,0))</f>
        <v>ADMINISTRACION</v>
      </c>
      <c r="F1242" s="69">
        <f>+IFERROR(INDEX(Tabla2[TC],MATCH(Compilado[[#This Row],[Mes]],Tabla2[Mes],0))*Compilado[[#This Row],[USD]],0)</f>
        <v>1966409.002425845</v>
      </c>
      <c r="G1242" s="150">
        <v>46113</v>
      </c>
    </row>
    <row r="1243" spans="1:7">
      <c r="A1243" t="s">
        <v>357</v>
      </c>
      <c r="B1243" t="s">
        <v>88</v>
      </c>
      <c r="C1243" s="2">
        <v>5225</v>
      </c>
      <c r="D1243" t="s">
        <v>8</v>
      </c>
      <c r="E1243" t="str">
        <f>+INDEX(Check!$B$5:$B$33,MATCH(Compilado[[#This Row],[Items]],Check!$C$5:$C$33,0))</f>
        <v>INVERSIONES</v>
      </c>
      <c r="F1243" s="69">
        <f>+IFERROR(INDEX(Tabla2[TC],MATCH(Compilado[[#This Row],[Mes]],Tabla2[Mes],0))*Compilado[[#This Row],[USD]],0)</f>
        <v>5888575</v>
      </c>
      <c r="G1243" s="150">
        <v>45778</v>
      </c>
    </row>
    <row r="1244" spans="1:7">
      <c r="A1244" t="s">
        <v>357</v>
      </c>
      <c r="B1244" t="s">
        <v>89</v>
      </c>
      <c r="C1244" s="2">
        <v>3976</v>
      </c>
      <c r="D1244" t="s">
        <v>8</v>
      </c>
      <c r="E1244" t="str">
        <f>+INDEX(Check!$B$5:$B$33,MATCH(Compilado[[#This Row],[Items]],Check!$C$5:$C$33,0))</f>
        <v>INVERSIONES</v>
      </c>
      <c r="F1244" s="69">
        <f>+IFERROR(INDEX(Tabla2[TC],MATCH(Compilado[[#This Row],[Mes]],Tabla2[Mes],0))*Compilado[[#This Row],[USD]],0)</f>
        <v>4525761.5199999996</v>
      </c>
      <c r="G1244" s="150">
        <v>45809</v>
      </c>
    </row>
    <row r="1245" spans="1:7">
      <c r="A1245" t="s">
        <v>357</v>
      </c>
      <c r="B1245" t="s">
        <v>90</v>
      </c>
      <c r="C1245" s="2">
        <v>34476</v>
      </c>
      <c r="D1245" t="s">
        <v>8</v>
      </c>
      <c r="E1245" t="str">
        <f>+INDEX(Check!$B$5:$B$33,MATCH(Compilado[[#This Row],[Items]],Check!$C$5:$C$33,0))</f>
        <v>INVERSIONES</v>
      </c>
      <c r="F1245" s="69">
        <f>+IFERROR(INDEX(Tabla2[TC],MATCH(Compilado[[#This Row],[Mes]],Tabla2[Mes],0))*Compilado[[#This Row],[USD]],0)</f>
        <v>39635426.485200003</v>
      </c>
      <c r="G1245" s="150">
        <v>45839</v>
      </c>
    </row>
    <row r="1246" spans="1:7">
      <c r="A1246" t="s">
        <v>357</v>
      </c>
      <c r="B1246" t="s">
        <v>91</v>
      </c>
      <c r="C1246" s="2">
        <v>376</v>
      </c>
      <c r="D1246" t="s">
        <v>8</v>
      </c>
      <c r="E1246" t="str">
        <f>+INDEX(Check!$B$5:$B$33,MATCH(Compilado[[#This Row],[Items]],Check!$C$5:$C$33,0))</f>
        <v>INVERSIONES</v>
      </c>
      <c r="F1246" s="69">
        <f>+IFERROR(INDEX(Tabla2[TC],MATCH(Compilado[[#This Row],[Mes]],Tabla2[Mes],0))*Compilado[[#This Row],[USD]],0)</f>
        <v>436592.10935200006</v>
      </c>
      <c r="G1246" s="150">
        <v>45870</v>
      </c>
    </row>
    <row r="1247" spans="1:7">
      <c r="A1247" t="s">
        <v>357</v>
      </c>
      <c r="B1247" t="s">
        <v>92</v>
      </c>
      <c r="C1247" s="2">
        <v>53377</v>
      </c>
      <c r="D1247" t="s">
        <v>8</v>
      </c>
      <c r="E1247" t="str">
        <f>+INDEX(Check!$B$5:$B$33,MATCH(Compilado[[#This Row],[Items]],Check!$C$5:$C$33,0))</f>
        <v>INVERSIONES</v>
      </c>
      <c r="F1247" s="69">
        <f>+IFERROR(INDEX(Tabla2[TC],MATCH(Compilado[[#This Row],[Mes]],Tabla2[Mes],0))*Compilado[[#This Row],[USD]],0)</f>
        <v>62598448.912474804</v>
      </c>
      <c r="G1247" s="150">
        <v>45901</v>
      </c>
    </row>
    <row r="1248" spans="1:7">
      <c r="A1248" t="s">
        <v>357</v>
      </c>
      <c r="B1248" t="s">
        <v>94</v>
      </c>
      <c r="C1248" s="2">
        <v>5274</v>
      </c>
      <c r="D1248" t="s">
        <v>8</v>
      </c>
      <c r="E1248" t="str">
        <f>+INDEX(Check!$B$5:$B$33,MATCH(Compilado[[#This Row],[Items]],Check!$C$5:$C$33,0))</f>
        <v>INVERSIONES</v>
      </c>
      <c r="F1248" s="69">
        <f>+IFERROR(INDEX(Tabla2[TC],MATCH(Compilado[[#This Row],[Mes]],Tabla2[Mes],0))*Compilado[[#This Row],[USD]],0)</f>
        <v>6309461.3481019232</v>
      </c>
      <c r="G1248" s="150">
        <v>45962</v>
      </c>
    </row>
    <row r="1249" spans="1:7">
      <c r="A1249" t="s">
        <v>357</v>
      </c>
      <c r="B1249" t="s">
        <v>88</v>
      </c>
      <c r="C1249" s="2">
        <v>1335</v>
      </c>
      <c r="D1249" t="s">
        <v>12</v>
      </c>
      <c r="E1249" t="str">
        <f>+INDEX(Check!$B$5:$B$33,MATCH(Compilado[[#This Row],[Items]],Check!$C$5:$C$33,0))</f>
        <v>INVERSIONES</v>
      </c>
      <c r="F1249" s="69">
        <f>+IFERROR(INDEX(Tabla2[TC],MATCH(Compilado[[#This Row],[Mes]],Tabla2[Mes],0))*Compilado[[#This Row],[USD]],0)</f>
        <v>1504545</v>
      </c>
      <c r="G1249" s="150">
        <v>45778</v>
      </c>
    </row>
    <row r="1250" spans="1:7">
      <c r="A1250" t="s">
        <v>357</v>
      </c>
      <c r="B1250" t="s">
        <v>89</v>
      </c>
      <c r="C1250" s="2">
        <v>1505</v>
      </c>
      <c r="D1250" t="s">
        <v>12</v>
      </c>
      <c r="E1250" t="str">
        <f>+INDEX(Check!$B$5:$B$33,MATCH(Compilado[[#This Row],[Items]],Check!$C$5:$C$33,0))</f>
        <v>INVERSIONES</v>
      </c>
      <c r="F1250" s="69">
        <f>+IFERROR(INDEX(Tabla2[TC],MATCH(Compilado[[#This Row],[Mes]],Tabla2[Mes],0))*Compilado[[#This Row],[USD]],0)</f>
        <v>1713096.3499999999</v>
      </c>
      <c r="G1250" s="150">
        <v>45809</v>
      </c>
    </row>
    <row r="1251" spans="1:7">
      <c r="A1251" t="s">
        <v>357</v>
      </c>
      <c r="B1251" t="s">
        <v>90</v>
      </c>
      <c r="C1251" s="2">
        <v>2505</v>
      </c>
      <c r="D1251" t="s">
        <v>12</v>
      </c>
      <c r="E1251" t="str">
        <f>+INDEX(Check!$B$5:$B$33,MATCH(Compilado[[#This Row],[Items]],Check!$C$5:$C$33,0))</f>
        <v>INVERSIONES</v>
      </c>
      <c r="F1251" s="69">
        <f>+IFERROR(INDEX(Tabla2[TC],MATCH(Compilado[[#This Row],[Mes]],Tabla2[Mes],0))*Compilado[[#This Row],[USD]],0)</f>
        <v>2879880.0135000004</v>
      </c>
      <c r="G1251" s="150">
        <v>45839</v>
      </c>
    </row>
    <row r="1252" spans="1:7">
      <c r="A1252" t="s">
        <v>357</v>
      </c>
      <c r="B1252" t="s">
        <v>91</v>
      </c>
      <c r="C1252" s="2">
        <v>15000</v>
      </c>
      <c r="D1252" t="s">
        <v>12</v>
      </c>
      <c r="E1252" t="str">
        <f>+INDEX(Check!$B$5:$B$33,MATCH(Compilado[[#This Row],[Items]],Check!$C$5:$C$33,0))</f>
        <v>INVERSIONES</v>
      </c>
      <c r="F1252" s="69">
        <f>+IFERROR(INDEX(Tabla2[TC],MATCH(Compilado[[#This Row],[Mes]],Tabla2[Mes],0))*Compilado[[#This Row],[USD]],0)</f>
        <v>17417238.405000001</v>
      </c>
      <c r="G1252" s="150">
        <v>45870</v>
      </c>
    </row>
    <row r="1253" spans="1:7">
      <c r="A1253" t="s">
        <v>357</v>
      </c>
      <c r="B1253" t="s">
        <v>92</v>
      </c>
      <c r="C1253" s="2">
        <v>51200</v>
      </c>
      <c r="D1253" t="s">
        <v>12</v>
      </c>
      <c r="E1253" t="str">
        <f>+INDEX(Check!$B$5:$B$33,MATCH(Compilado[[#This Row],[Items]],Check!$C$5:$C$33,0))</f>
        <v>INVERSIONES</v>
      </c>
      <c r="F1253" s="69">
        <f>+IFERROR(INDEX(Tabla2[TC],MATCH(Compilado[[#This Row],[Mes]],Tabla2[Mes],0))*Compilado[[#This Row],[USD]],0)</f>
        <v>60045348.826624013</v>
      </c>
      <c r="G1253" s="150">
        <v>45901</v>
      </c>
    </row>
    <row r="1254" spans="1:7">
      <c r="A1254" t="s">
        <v>357</v>
      </c>
      <c r="B1254" t="s">
        <v>94</v>
      </c>
      <c r="C1254" s="2">
        <v>37110</v>
      </c>
      <c r="D1254" t="s">
        <v>12</v>
      </c>
      <c r="E1254" t="str">
        <f>+INDEX(Check!$B$5:$B$33,MATCH(Compilado[[#This Row],[Items]],Check!$C$5:$C$33,0))</f>
        <v>INVERSIONES</v>
      </c>
      <c r="F1254" s="69">
        <f>+IFERROR(INDEX(Tabla2[TC],MATCH(Compilado[[#This Row],[Mes]],Tabla2[Mes],0))*Compilado[[#This Row],[USD]],0)</f>
        <v>44395925.412981108</v>
      </c>
      <c r="G1254" s="150">
        <v>45962</v>
      </c>
    </row>
    <row r="1255" spans="1:7">
      <c r="A1255" t="s">
        <v>357</v>
      </c>
      <c r="B1255" t="s">
        <v>95</v>
      </c>
      <c r="C1255" s="2">
        <v>15000</v>
      </c>
      <c r="D1255" t="s">
        <v>12</v>
      </c>
      <c r="E1255" t="str">
        <f>+INDEX(Check!$B$5:$B$33,MATCH(Compilado[[#This Row],[Items]],Check!$C$5:$C$33,0))</f>
        <v>INVERSIONES</v>
      </c>
      <c r="F1255" s="69">
        <f>+IFERROR(INDEX(Tabla2[TC],MATCH(Compilado[[#This Row],[Mes]],Tabla2[Mes],0))*Compilado[[#This Row],[USD]],0)</f>
        <v>18124448.127369005</v>
      </c>
      <c r="G1255" s="150">
        <v>45992</v>
      </c>
    </row>
    <row r="1256" spans="1:7">
      <c r="A1256" t="s">
        <v>357</v>
      </c>
      <c r="B1256" t="s">
        <v>88</v>
      </c>
      <c r="C1256" s="2">
        <v>890</v>
      </c>
      <c r="D1256" t="s">
        <v>4</v>
      </c>
      <c r="E1256" t="str">
        <f>+INDEX(Check!$B$5:$B$33,MATCH(Compilado[[#This Row],[Items]],Check!$C$5:$C$33,0))</f>
        <v>INVERSIONES</v>
      </c>
      <c r="F1256" s="69">
        <f>+IFERROR(INDEX(Tabla2[TC],MATCH(Compilado[[#This Row],[Mes]],Tabla2[Mes],0))*Compilado[[#This Row],[USD]],0)</f>
        <v>1003030</v>
      </c>
      <c r="G1256" s="150">
        <v>45778</v>
      </c>
    </row>
    <row r="1257" spans="1:7">
      <c r="A1257" t="s">
        <v>357</v>
      </c>
      <c r="B1257" t="s">
        <v>89</v>
      </c>
      <c r="C1257" s="2">
        <v>9450</v>
      </c>
      <c r="D1257" t="s">
        <v>4</v>
      </c>
      <c r="E1257" t="str">
        <f>+INDEX(Check!$B$5:$B$33,MATCH(Compilado[[#This Row],[Items]],Check!$C$5:$C$33,0))</f>
        <v>INVERSIONES</v>
      </c>
      <c r="F1257" s="69">
        <f>+IFERROR(INDEX(Tabla2[TC],MATCH(Compilado[[#This Row],[Mes]],Tabla2[Mes],0))*Compilado[[#This Row],[USD]],0)</f>
        <v>10756651.5</v>
      </c>
      <c r="G1257" s="150">
        <v>45809</v>
      </c>
    </row>
    <row r="1258" spans="1:7">
      <c r="A1258" t="s">
        <v>357</v>
      </c>
      <c r="B1258" t="s">
        <v>90</v>
      </c>
      <c r="C1258" s="2">
        <v>19900</v>
      </c>
      <c r="D1258" t="s">
        <v>4</v>
      </c>
      <c r="E1258" t="str">
        <f>+INDEX(Check!$B$5:$B$33,MATCH(Compilado[[#This Row],[Items]],Check!$C$5:$C$33,0))</f>
        <v>INVERSIONES</v>
      </c>
      <c r="F1258" s="69">
        <f>+IFERROR(INDEX(Tabla2[TC],MATCH(Compilado[[#This Row],[Mes]],Tabla2[Mes],0))*Compilado[[#This Row],[USD]],0)</f>
        <v>22878088.73</v>
      </c>
      <c r="G1258" s="150">
        <v>45839</v>
      </c>
    </row>
    <row r="1259" spans="1:7">
      <c r="A1259" t="s">
        <v>357</v>
      </c>
      <c r="B1259" t="s">
        <v>91</v>
      </c>
      <c r="C1259" s="2">
        <v>18900</v>
      </c>
      <c r="D1259" t="s">
        <v>4</v>
      </c>
      <c r="E1259" t="str">
        <f>+INDEX(Check!$B$5:$B$33,MATCH(Compilado[[#This Row],[Items]],Check!$C$5:$C$33,0))</f>
        <v>INVERSIONES</v>
      </c>
      <c r="F1259" s="69">
        <f>+IFERROR(INDEX(Tabla2[TC],MATCH(Compilado[[#This Row],[Mes]],Tabla2[Mes],0))*Compilado[[#This Row],[USD]],0)</f>
        <v>21945720.390300002</v>
      </c>
      <c r="G1259" s="150">
        <v>45870</v>
      </c>
    </row>
    <row r="1260" spans="1:7">
      <c r="A1260" t="s">
        <v>357</v>
      </c>
      <c r="B1260" t="s">
        <v>92</v>
      </c>
      <c r="C1260" s="2">
        <v>54750</v>
      </c>
      <c r="D1260" t="s">
        <v>4</v>
      </c>
      <c r="E1260" t="str">
        <f>+INDEX(Check!$B$5:$B$33,MATCH(Compilado[[#This Row],[Items]],Check!$C$5:$C$33,0))</f>
        <v>INVERSIONES</v>
      </c>
      <c r="F1260" s="69">
        <f>+IFERROR(INDEX(Tabla2[TC],MATCH(Compilado[[#This Row],[Mes]],Tabla2[Mes],0))*Compilado[[#This Row],[USD]],0)</f>
        <v>64208649.38003251</v>
      </c>
      <c r="G1260" s="150">
        <v>45901</v>
      </c>
    </row>
    <row r="1261" spans="1:7">
      <c r="A1261" t="s">
        <v>357</v>
      </c>
      <c r="B1261" t="s">
        <v>94</v>
      </c>
      <c r="C1261" s="2">
        <v>1055</v>
      </c>
      <c r="D1261" t="s">
        <v>4</v>
      </c>
      <c r="E1261" t="str">
        <f>+INDEX(Check!$B$5:$B$33,MATCH(Compilado[[#This Row],[Items]],Check!$C$5:$C$33,0))</f>
        <v>INVERSIONES</v>
      </c>
      <c r="F1261" s="69">
        <f>+IFERROR(INDEX(Tabla2[TC],MATCH(Compilado[[#This Row],[Mes]],Tabla2[Mes],0))*Compilado[[#This Row],[USD]],0)</f>
        <v>1262131.5362623301</v>
      </c>
      <c r="G1261" s="150">
        <v>45962</v>
      </c>
    </row>
    <row r="1262" spans="1:7">
      <c r="A1262" t="s">
        <v>357</v>
      </c>
      <c r="B1262" t="s">
        <v>88</v>
      </c>
      <c r="C1262" s="2">
        <v>4009</v>
      </c>
      <c r="D1262" t="s">
        <v>373</v>
      </c>
      <c r="E1262" t="str">
        <f>+INDEX(Check!$B$5:$B$33,MATCH(Compilado[[#This Row],[Items]],Check!$C$5:$C$33,0))</f>
        <v>INVERSIONES</v>
      </c>
      <c r="F1262" s="69">
        <f>+IFERROR(INDEX(Tabla2[TC],MATCH(Compilado[[#This Row],[Mes]],Tabla2[Mes],0))*Compilado[[#This Row],[USD]],0)</f>
        <v>4518143</v>
      </c>
      <c r="G1262" s="150">
        <v>45778</v>
      </c>
    </row>
    <row r="1263" spans="1:7">
      <c r="A1263" t="s">
        <v>357</v>
      </c>
      <c r="B1263" t="s">
        <v>89</v>
      </c>
      <c r="C1263" s="2">
        <v>6290</v>
      </c>
      <c r="D1263" t="s">
        <v>373</v>
      </c>
      <c r="E1263" t="str">
        <f>+INDEX(Check!$B$5:$B$33,MATCH(Compilado[[#This Row],[Items]],Check!$C$5:$C$33,0))</f>
        <v>INVERSIONES</v>
      </c>
      <c r="F1263" s="69">
        <f>+IFERROR(INDEX(Tabla2[TC],MATCH(Compilado[[#This Row],[Mes]],Tabla2[Mes],0))*Compilado[[#This Row],[USD]],0)</f>
        <v>7159718.2999999998</v>
      </c>
      <c r="G1263" s="150">
        <v>45809</v>
      </c>
    </row>
    <row r="1264" spans="1:7">
      <c r="A1264" t="s">
        <v>357</v>
      </c>
      <c r="B1264" t="s">
        <v>90</v>
      </c>
      <c r="C1264" s="2">
        <v>20876</v>
      </c>
      <c r="D1264" t="s">
        <v>373</v>
      </c>
      <c r="E1264" t="str">
        <f>+INDEX(Check!$B$5:$B$33,MATCH(Compilado[[#This Row],[Items]],Check!$C$5:$C$33,0))</f>
        <v>INVERSIONES</v>
      </c>
      <c r="F1264" s="69">
        <f>+IFERROR(INDEX(Tabla2[TC],MATCH(Compilado[[#This Row],[Mes]],Tabla2[Mes],0))*Compilado[[#This Row],[USD]],0)</f>
        <v>24000149.7652</v>
      </c>
      <c r="G1264" s="150">
        <v>45839</v>
      </c>
    </row>
    <row r="1265" spans="1:7">
      <c r="A1265" t="s">
        <v>357</v>
      </c>
      <c r="B1265" t="s">
        <v>91</v>
      </c>
      <c r="C1265" s="2">
        <v>56602</v>
      </c>
      <c r="D1265" t="s">
        <v>373</v>
      </c>
      <c r="E1265" t="str">
        <f>+INDEX(Check!$B$5:$B$33,MATCH(Compilado[[#This Row],[Items]],Check!$C$5:$C$33,0))</f>
        <v>INVERSIONES</v>
      </c>
      <c r="F1265" s="69">
        <f>+IFERROR(INDEX(Tabla2[TC],MATCH(Compilado[[#This Row],[Mes]],Tabla2[Mes],0))*Compilado[[#This Row],[USD]],0)</f>
        <v>65723368.546654008</v>
      </c>
      <c r="G1265" s="150">
        <v>45870</v>
      </c>
    </row>
    <row r="1266" spans="1:7">
      <c r="A1266" t="s">
        <v>357</v>
      </c>
      <c r="B1266" t="s">
        <v>92</v>
      </c>
      <c r="C1266" s="2">
        <v>38085</v>
      </c>
      <c r="D1266" t="s">
        <v>373</v>
      </c>
      <c r="E1266" t="str">
        <f>+INDEX(Check!$B$5:$B$33,MATCH(Compilado[[#This Row],[Items]],Check!$C$5:$C$33,0))</f>
        <v>INVERSIONES</v>
      </c>
      <c r="F1266" s="69">
        <f>+IFERROR(INDEX(Tabla2[TC],MATCH(Compilado[[#This Row],[Mes]],Tabla2[Mes],0))*Compilado[[#This Row],[USD]],0)</f>
        <v>44664591.993397959</v>
      </c>
      <c r="G1266" s="150">
        <v>45901</v>
      </c>
    </row>
    <row r="1267" spans="1:7">
      <c r="A1267" t="s">
        <v>357</v>
      </c>
      <c r="B1267" t="s">
        <v>93</v>
      </c>
      <c r="C1267" s="2">
        <v>36667</v>
      </c>
      <c r="D1267" t="s">
        <v>373</v>
      </c>
      <c r="E1267" t="str">
        <f>+INDEX(Check!$B$5:$B$33,MATCH(Compilado[[#This Row],[Items]],Check!$C$5:$C$33,0))</f>
        <v>INVERSIONES</v>
      </c>
      <c r="F1267" s="69">
        <f>+IFERROR(INDEX(Tabla2[TC],MATCH(Compilado[[#This Row],[Mes]],Tabla2[Mes],0))*Compilado[[#This Row],[USD]],0)</f>
        <v>43431633.466407828</v>
      </c>
      <c r="G1267" s="150">
        <v>45931</v>
      </c>
    </row>
    <row r="1268" spans="1:7">
      <c r="A1268" t="s">
        <v>357</v>
      </c>
      <c r="B1268" t="s">
        <v>94</v>
      </c>
      <c r="C1268" s="2">
        <v>60827</v>
      </c>
      <c r="D1268" t="s">
        <v>373</v>
      </c>
      <c r="E1268" t="str">
        <f>+INDEX(Check!$B$5:$B$33,MATCH(Compilado[[#This Row],[Items]],Check!$C$5:$C$33,0))</f>
        <v>INVERSIONES</v>
      </c>
      <c r="F1268" s="69">
        <f>+IFERROR(INDEX(Tabla2[TC],MATCH(Compilado[[#This Row],[Mes]],Tabla2[Mes],0))*Compilado[[#This Row],[USD]],0)</f>
        <v>72769360.148084134</v>
      </c>
      <c r="G1268" s="150">
        <v>45962</v>
      </c>
    </row>
    <row r="1269" spans="1:7">
      <c r="A1269" t="s">
        <v>357</v>
      </c>
      <c r="B1269" t="s">
        <v>95</v>
      </c>
      <c r="C1269" s="2">
        <v>18565</v>
      </c>
      <c r="D1269" t="s">
        <v>373</v>
      </c>
      <c r="E1269" t="str">
        <f>+INDEX(Check!$B$5:$B$33,MATCH(Compilado[[#This Row],[Items]],Check!$C$5:$C$33,0))</f>
        <v>INVERSIONES</v>
      </c>
      <c r="F1269" s="69">
        <f>+IFERROR(INDEX(Tabla2[TC],MATCH(Compilado[[#This Row],[Mes]],Tabla2[Mes],0))*Compilado[[#This Row],[USD]],0)</f>
        <v>22432025.298973706</v>
      </c>
      <c r="G1269" s="150">
        <v>45992</v>
      </c>
    </row>
    <row r="1270" spans="1:7">
      <c r="A1270" t="s">
        <v>357</v>
      </c>
      <c r="B1270" t="s">
        <v>88</v>
      </c>
      <c r="C1270" s="2">
        <v>2673</v>
      </c>
      <c r="D1270" t="s">
        <v>15</v>
      </c>
      <c r="E1270" t="str">
        <f>+INDEX(Check!$B$5:$B$33,MATCH(Compilado[[#This Row],[Items]],Check!$C$5:$C$33,0))</f>
        <v>INVERSIONES</v>
      </c>
      <c r="F1270" s="69">
        <f>+IFERROR(INDEX(Tabla2[TC],MATCH(Compilado[[#This Row],[Mes]],Tabla2[Mes],0))*Compilado[[#This Row],[USD]],0)</f>
        <v>3012471</v>
      </c>
      <c r="G1270" s="150">
        <v>45778</v>
      </c>
    </row>
    <row r="1271" spans="1:7">
      <c r="A1271" t="s">
        <v>357</v>
      </c>
      <c r="B1271" t="s">
        <v>89</v>
      </c>
      <c r="C1271" s="2">
        <v>3289</v>
      </c>
      <c r="D1271" t="s">
        <v>15</v>
      </c>
      <c r="E1271" t="str">
        <f>+INDEX(Check!$B$5:$B$33,MATCH(Compilado[[#This Row],[Items]],Check!$C$5:$C$33,0))</f>
        <v>INVERSIONES</v>
      </c>
      <c r="F1271" s="69">
        <f>+IFERROR(INDEX(Tabla2[TC],MATCH(Compilado[[#This Row],[Mes]],Tabla2[Mes],0))*Compilado[[#This Row],[USD]],0)</f>
        <v>3743770.03</v>
      </c>
      <c r="G1271" s="150">
        <v>45809</v>
      </c>
    </row>
    <row r="1272" spans="1:7">
      <c r="A1272" t="s">
        <v>357</v>
      </c>
      <c r="B1272" t="s">
        <v>90</v>
      </c>
      <c r="C1272" s="2">
        <v>60143</v>
      </c>
      <c r="D1272" t="s">
        <v>15</v>
      </c>
      <c r="E1272" t="str">
        <f>+INDEX(Check!$B$5:$B$33,MATCH(Compilado[[#This Row],[Items]],Check!$C$5:$C$33,0))</f>
        <v>INVERSIONES</v>
      </c>
      <c r="F1272" s="69">
        <f>+IFERROR(INDEX(Tabla2[TC],MATCH(Compilado[[#This Row],[Mes]],Tabla2[Mes],0))*Compilado[[#This Row],[USD]],0)</f>
        <v>69143562.336100012</v>
      </c>
      <c r="G1272" s="150">
        <v>45839</v>
      </c>
    </row>
    <row r="1273" spans="1:7">
      <c r="A1273" t="s">
        <v>357</v>
      </c>
      <c r="B1273" t="s">
        <v>91</v>
      </c>
      <c r="C1273" s="2">
        <v>257</v>
      </c>
      <c r="D1273" t="s">
        <v>15</v>
      </c>
      <c r="E1273" t="str">
        <f>+INDEX(Check!$B$5:$B$33,MATCH(Compilado[[#This Row],[Items]],Check!$C$5:$C$33,0))</f>
        <v>INVERSIONES</v>
      </c>
      <c r="F1273" s="69">
        <f>+IFERROR(INDEX(Tabla2[TC],MATCH(Compilado[[#This Row],[Mes]],Tabla2[Mes],0))*Compilado[[#This Row],[USD]],0)</f>
        <v>298415.35133900004</v>
      </c>
      <c r="G1273" s="150">
        <v>45870</v>
      </c>
    </row>
    <row r="1274" spans="1:7">
      <c r="A1274" t="s">
        <v>357</v>
      </c>
      <c r="B1274" t="s">
        <v>92</v>
      </c>
      <c r="C1274" s="2">
        <v>4071</v>
      </c>
      <c r="D1274" t="s">
        <v>15</v>
      </c>
      <c r="E1274" t="str">
        <f>+INDEX(Check!$B$5:$B$33,MATCH(Compilado[[#This Row],[Items]],Check!$C$5:$C$33,0))</f>
        <v>INVERSIONES</v>
      </c>
      <c r="F1274" s="69">
        <f>+IFERROR(INDEX(Tabla2[TC],MATCH(Compilado[[#This Row],[Mes]],Tabla2[Mes],0))*Compilado[[#This Row],[USD]],0)</f>
        <v>4774308.8881481709</v>
      </c>
      <c r="G1274" s="150">
        <v>45901</v>
      </c>
    </row>
    <row r="1275" spans="1:7">
      <c r="A1275" t="s">
        <v>357</v>
      </c>
      <c r="B1275" t="s">
        <v>94</v>
      </c>
      <c r="C1275" s="2">
        <v>10200</v>
      </c>
      <c r="D1275" t="s">
        <v>15</v>
      </c>
      <c r="E1275" t="str">
        <f>+INDEX(Check!$B$5:$B$33,MATCH(Compilado[[#This Row],[Items]],Check!$C$5:$C$33,0))</f>
        <v>INVERSIONES</v>
      </c>
      <c r="F1275" s="69">
        <f>+IFERROR(INDEX(Tabla2[TC],MATCH(Compilado[[#This Row],[Mes]],Tabla2[Mes],0))*Compilado[[#This Row],[USD]],0)</f>
        <v>12202598.739218736</v>
      </c>
      <c r="G1275" s="150">
        <v>45962</v>
      </c>
    </row>
    <row r="1276" spans="1:7">
      <c r="A1276" t="s">
        <v>344</v>
      </c>
      <c r="B1276" t="s">
        <v>88</v>
      </c>
      <c r="C1276" s="2">
        <v>1439.7471162377994</v>
      </c>
      <c r="D1276" t="s">
        <v>8</v>
      </c>
      <c r="E1276" t="str">
        <f>+INDEX(Check!$B$5:$B$33,MATCH(Compilado[[#This Row],[Items]],Check!$C$5:$C$33,0))</f>
        <v>ENERGIA FINCAS</v>
      </c>
      <c r="F1276" s="69">
        <f>+IFERROR(INDEX(Tabla2[TC],MATCH(Compilado[[#This Row],[Mes]],Tabla2[Mes],0))*Compilado[[#This Row],[USD]],0)</f>
        <v>1622595</v>
      </c>
      <c r="G1276" s="150">
        <v>45778</v>
      </c>
    </row>
    <row r="1277" spans="1:7">
      <c r="A1277" t="s">
        <v>344</v>
      </c>
      <c r="B1277" t="s">
        <v>89</v>
      </c>
      <c r="C1277" s="2">
        <v>712.05755225034488</v>
      </c>
      <c r="D1277" t="s">
        <v>8</v>
      </c>
      <c r="E1277" t="str">
        <f>+INDEX(Check!$B$5:$B$33,MATCH(Compilado[[#This Row],[Items]],Check!$C$5:$C$33,0))</f>
        <v>ENERGIA FINCAS</v>
      </c>
      <c r="F1277" s="69">
        <f>+IFERROR(INDEX(Tabla2[TC],MATCH(Compilado[[#This Row],[Mes]],Tabla2[Mes],0))*Compilado[[#This Row],[USD]],0)</f>
        <v>810513.75</v>
      </c>
      <c r="G1277" s="150">
        <v>45809</v>
      </c>
    </row>
    <row r="1278" spans="1:7">
      <c r="A1278" t="s">
        <v>344</v>
      </c>
      <c r="B1278" t="s">
        <v>90</v>
      </c>
      <c r="C1278" s="2">
        <v>450.56759315226242</v>
      </c>
      <c r="D1278" t="s">
        <v>8</v>
      </c>
      <c r="E1278" t="str">
        <f>+INDEX(Check!$B$5:$B$33,MATCH(Compilado[[#This Row],[Items]],Check!$C$5:$C$33,0))</f>
        <v>ENERGIA FINCAS</v>
      </c>
      <c r="F1278" s="69">
        <f>+IFERROR(INDEX(Tabla2[TC],MATCH(Compilado[[#This Row],[Mes]],Tabla2[Mes],0))*Compilado[[#This Row],[USD]],0)</f>
        <v>517996.25000000006</v>
      </c>
      <c r="G1278" s="150">
        <v>45839</v>
      </c>
    </row>
    <row r="1279" spans="1:7">
      <c r="A1279" t="s">
        <v>344</v>
      </c>
      <c r="B1279" t="s">
        <v>91</v>
      </c>
      <c r="C1279" s="2">
        <v>1231.0282492226124</v>
      </c>
      <c r="D1279" t="s">
        <v>8</v>
      </c>
      <c r="E1279" t="str">
        <f>+INDEX(Check!$B$5:$B$33,MATCH(Compilado[[#This Row],[Items]],Check!$C$5:$C$33,0))</f>
        <v>ENERGIA FINCAS</v>
      </c>
      <c r="F1279" s="69">
        <f>+IFERROR(INDEX(Tabla2[TC],MATCH(Compilado[[#This Row],[Mes]],Tabla2[Mes],0))*Compilado[[#This Row],[USD]],0)</f>
        <v>1429407.5</v>
      </c>
      <c r="G1279" s="150">
        <v>45870</v>
      </c>
    </row>
    <row r="1280" spans="1:7">
      <c r="A1280" t="s">
        <v>344</v>
      </c>
      <c r="B1280" t="s">
        <v>92</v>
      </c>
      <c r="C1280" s="2">
        <v>1521.04024349516</v>
      </c>
      <c r="D1280" t="s">
        <v>8</v>
      </c>
      <c r="E1280" t="str">
        <f>+INDEX(Check!$B$5:$B$33,MATCH(Compilado[[#This Row],[Items]],Check!$C$5:$C$33,0))</f>
        <v>ENERGIA FINCAS</v>
      </c>
      <c r="F1280" s="69">
        <f>+IFERROR(INDEX(Tabla2[TC],MATCH(Compilado[[#This Row],[Mes]],Tabla2[Mes],0))*Compilado[[#This Row],[USD]],0)</f>
        <v>1783816.25</v>
      </c>
      <c r="G1280" s="150">
        <v>45901</v>
      </c>
    </row>
    <row r="1281" spans="1:7">
      <c r="A1281" t="s">
        <v>344</v>
      </c>
      <c r="B1281" t="s">
        <v>93</v>
      </c>
      <c r="C1281" s="2">
        <v>1183.5068093802313</v>
      </c>
      <c r="D1281" t="s">
        <v>8</v>
      </c>
      <c r="E1281" t="str">
        <f>+INDEX(Check!$B$5:$B$33,MATCH(Compilado[[#This Row],[Items]],Check!$C$5:$C$33,0))</f>
        <v>ENERGIA FINCAS</v>
      </c>
      <c r="F1281" s="69">
        <f>+IFERROR(INDEX(Tabla2[TC],MATCH(Compilado[[#This Row],[Mes]],Tabla2[Mes],0))*Compilado[[#This Row],[USD]],0)</f>
        <v>1401850</v>
      </c>
      <c r="G1281" s="150">
        <v>45931</v>
      </c>
    </row>
    <row r="1282" spans="1:7">
      <c r="A1282" t="s">
        <v>344</v>
      </c>
      <c r="B1282" t="s">
        <v>94</v>
      </c>
      <c r="C1282" s="2">
        <v>1298.3652776420283</v>
      </c>
      <c r="D1282" t="s">
        <v>8</v>
      </c>
      <c r="E1282" t="str">
        <f>+INDEX(Check!$B$5:$B$33,MATCH(Compilado[[#This Row],[Items]],Check!$C$5:$C$33,0))</f>
        <v>ENERGIA FINCAS</v>
      </c>
      <c r="F1282" s="69">
        <f>+IFERROR(INDEX(Tabla2[TC],MATCH(Compilado[[#This Row],[Mes]],Tabla2[Mes],0))*Compilado[[#This Row],[USD]],0)</f>
        <v>1553277.5</v>
      </c>
      <c r="G1282" s="150">
        <v>45962</v>
      </c>
    </row>
    <row r="1283" spans="1:7">
      <c r="A1283" t="s">
        <v>344</v>
      </c>
      <c r="B1283" t="s">
        <v>95</v>
      </c>
      <c r="C1283" s="2">
        <v>2367.1972491792544</v>
      </c>
      <c r="D1283" t="s">
        <v>8</v>
      </c>
      <c r="E1283" t="str">
        <f>+INDEX(Check!$B$5:$B$33,MATCH(Compilado[[#This Row],[Items]],Check!$C$5:$C$33,0))</f>
        <v>ENERGIA FINCAS</v>
      </c>
      <c r="F1283" s="69">
        <f>+IFERROR(INDEX(Tabla2[TC],MATCH(Compilado[[#This Row],[Mes]],Tabla2[Mes],0))*Compilado[[#This Row],[USD]],0)</f>
        <v>2860276.25</v>
      </c>
      <c r="G1283" s="150">
        <v>45992</v>
      </c>
    </row>
    <row r="1284" spans="1:7">
      <c r="A1284" t="s">
        <v>344</v>
      </c>
      <c r="B1284" t="s">
        <v>96</v>
      </c>
      <c r="C1284" s="2">
        <v>3383.8336562449736</v>
      </c>
      <c r="D1284" t="s">
        <v>8</v>
      </c>
      <c r="E1284" t="str">
        <f>+INDEX(Check!$B$5:$B$33,MATCH(Compilado[[#This Row],[Items]],Check!$C$5:$C$33,0))</f>
        <v>ENERGIA FINCAS</v>
      </c>
      <c r="F1284" s="69">
        <f>+IFERROR(INDEX(Tabla2[TC],MATCH(Compilado[[#This Row],[Mes]],Tabla2[Mes],0))*Compilado[[#This Row],[USD]],0)</f>
        <v>4129561.25</v>
      </c>
      <c r="G1284" s="150">
        <v>46023</v>
      </c>
    </row>
    <row r="1285" spans="1:7">
      <c r="A1285" t="s">
        <v>344</v>
      </c>
      <c r="B1285" t="s">
        <v>97</v>
      </c>
      <c r="C1285" s="2">
        <v>3055.301611603968</v>
      </c>
      <c r="D1285" t="s">
        <v>8</v>
      </c>
      <c r="E1285" t="str">
        <f>+INDEX(Check!$B$5:$B$33,MATCH(Compilado[[#This Row],[Items]],Check!$C$5:$C$33,0))</f>
        <v>ENERGIA FINCAS</v>
      </c>
      <c r="F1285" s="69">
        <f>+IFERROR(INDEX(Tabla2[TC],MATCH(Compilado[[#This Row],[Mes]],Tabla2[Mes],0))*Compilado[[#This Row],[USD]],0)</f>
        <v>3765913.75</v>
      </c>
      <c r="G1285" s="150">
        <v>46054</v>
      </c>
    </row>
    <row r="1286" spans="1:7">
      <c r="A1286" t="s">
        <v>344</v>
      </c>
      <c r="B1286" t="s">
        <v>98</v>
      </c>
      <c r="C1286" s="2">
        <v>3301.4648485832613</v>
      </c>
      <c r="D1286" t="s">
        <v>8</v>
      </c>
      <c r="E1286" t="str">
        <f>+INDEX(Check!$B$5:$B$33,MATCH(Compilado[[#This Row],[Items]],Check!$C$5:$C$33,0))</f>
        <v>ENERGIA FINCAS</v>
      </c>
      <c r="F1286" s="69">
        <f>+IFERROR(INDEX(Tabla2[TC],MATCH(Compilado[[#This Row],[Mes]],Tabla2[Mes],0))*Compilado[[#This Row],[USD]],0)</f>
        <v>4110023.75</v>
      </c>
      <c r="G1286" s="150">
        <v>46082</v>
      </c>
    </row>
    <row r="1287" spans="1:7">
      <c r="A1287" t="s">
        <v>344</v>
      </c>
      <c r="B1287" t="s">
        <v>99</v>
      </c>
      <c r="C1287" s="2">
        <v>3298.7645540864946</v>
      </c>
      <c r="D1287" t="s">
        <v>8</v>
      </c>
      <c r="E1287" t="str">
        <f>+INDEX(Check!$B$5:$B$33,MATCH(Compilado[[#This Row],[Items]],Check!$C$5:$C$33,0))</f>
        <v>ENERGIA FINCAS</v>
      </c>
      <c r="F1287" s="69">
        <f>+IFERROR(INDEX(Tabla2[TC],MATCH(Compilado[[#This Row],[Mes]],Tabla2[Mes],0))*Compilado[[#This Row],[USD]],0)</f>
        <v>4147728.75</v>
      </c>
      <c r="G1287" s="150">
        <v>46113</v>
      </c>
    </row>
    <row r="1288" spans="1:7">
      <c r="A1288" t="s">
        <v>344</v>
      </c>
      <c r="B1288" t="s">
        <v>88</v>
      </c>
      <c r="C1288" s="2">
        <v>4047.7251552795033</v>
      </c>
      <c r="D1288" t="s">
        <v>12</v>
      </c>
      <c r="E1288" t="str">
        <f>+INDEX(Check!$B$5:$B$33,MATCH(Compilado[[#This Row],[Items]],Check!$C$5:$C$33,0))</f>
        <v>ENERGIA FINCAS</v>
      </c>
      <c r="F1288" s="69">
        <f>+IFERROR(INDEX(Tabla2[TC],MATCH(Compilado[[#This Row],[Mes]],Tabla2[Mes],0))*Compilado[[#This Row],[USD]],0)</f>
        <v>4561786.25</v>
      </c>
      <c r="G1288" s="150">
        <v>45778</v>
      </c>
    </row>
    <row r="1289" spans="1:7">
      <c r="A1289" t="s">
        <v>344</v>
      </c>
      <c r="B1289" t="s">
        <v>89</v>
      </c>
      <c r="C1289" s="2">
        <v>3322.4641341685187</v>
      </c>
      <c r="D1289" t="s">
        <v>12</v>
      </c>
      <c r="E1289" t="str">
        <f>+INDEX(Check!$B$5:$B$33,MATCH(Compilado[[#This Row],[Items]],Check!$C$5:$C$33,0))</f>
        <v>ENERGIA FINCAS</v>
      </c>
      <c r="F1289" s="69">
        <f>+IFERROR(INDEX(Tabla2[TC],MATCH(Compilado[[#This Row],[Mes]],Tabla2[Mes],0))*Compilado[[#This Row],[USD]],0)</f>
        <v>3781861.2499999995</v>
      </c>
      <c r="G1289" s="150">
        <v>45809</v>
      </c>
    </row>
    <row r="1290" spans="1:7">
      <c r="A1290" t="s">
        <v>344</v>
      </c>
      <c r="B1290" t="s">
        <v>90</v>
      </c>
      <c r="C1290" s="2">
        <v>732.18525038039741</v>
      </c>
      <c r="D1290" t="s">
        <v>12</v>
      </c>
      <c r="E1290" t="str">
        <f>+INDEX(Check!$B$5:$B$33,MATCH(Compilado[[#This Row],[Items]],Check!$C$5:$C$33,0))</f>
        <v>ENERGIA FINCAS</v>
      </c>
      <c r="F1290" s="69">
        <f>+IFERROR(INDEX(Tabla2[TC],MATCH(Compilado[[#This Row],[Mes]],Tabla2[Mes],0))*Compilado[[#This Row],[USD]],0)</f>
        <v>841758.75</v>
      </c>
      <c r="G1290" s="150">
        <v>45839</v>
      </c>
    </row>
    <row r="1291" spans="1:7">
      <c r="A1291" t="s">
        <v>344</v>
      </c>
      <c r="B1291" t="s">
        <v>91</v>
      </c>
      <c r="C1291" s="2">
        <v>724.93589146574004</v>
      </c>
      <c r="D1291" t="s">
        <v>12</v>
      </c>
      <c r="E1291" t="str">
        <f>+INDEX(Check!$B$5:$B$33,MATCH(Compilado[[#This Row],[Items]],Check!$C$5:$C$33,0))</f>
        <v>ENERGIA FINCAS</v>
      </c>
      <c r="F1291" s="69">
        <f>+IFERROR(INDEX(Tabla2[TC],MATCH(Compilado[[#This Row],[Mes]],Tabla2[Mes],0))*Compilado[[#This Row],[USD]],0)</f>
        <v>841758.75</v>
      </c>
      <c r="G1291" s="150">
        <v>45870</v>
      </c>
    </row>
    <row r="1292" spans="1:7">
      <c r="A1292" t="s">
        <v>344</v>
      </c>
      <c r="B1292" t="s">
        <v>92</v>
      </c>
      <c r="C1292" s="2">
        <v>1870.589382773265</v>
      </c>
      <c r="D1292" t="s">
        <v>12</v>
      </c>
      <c r="E1292" t="str">
        <f>+INDEX(Check!$B$5:$B$33,MATCH(Compilado[[#This Row],[Items]],Check!$C$5:$C$33,0))</f>
        <v>ENERGIA FINCAS</v>
      </c>
      <c r="F1292" s="69">
        <f>+IFERROR(INDEX(Tabla2[TC],MATCH(Compilado[[#This Row],[Mes]],Tabla2[Mes],0))*Compilado[[#This Row],[USD]],0)</f>
        <v>2193753.75</v>
      </c>
      <c r="G1292" s="150">
        <v>45901</v>
      </c>
    </row>
    <row r="1293" spans="1:7">
      <c r="A1293" t="s">
        <v>344</v>
      </c>
      <c r="B1293" t="s">
        <v>93</v>
      </c>
      <c r="C1293" s="2">
        <v>1852.0686958151141</v>
      </c>
      <c r="D1293" t="s">
        <v>12</v>
      </c>
      <c r="E1293" t="str">
        <f>+INDEX(Check!$B$5:$B$33,MATCH(Compilado[[#This Row],[Items]],Check!$C$5:$C$33,0))</f>
        <v>ENERGIA FINCAS</v>
      </c>
      <c r="F1293" s="69">
        <f>+IFERROR(INDEX(Tabla2[TC],MATCH(Compilado[[#This Row],[Mes]],Tabla2[Mes],0))*Compilado[[#This Row],[USD]],0)</f>
        <v>2193753.75</v>
      </c>
      <c r="G1293" s="150">
        <v>45931</v>
      </c>
    </row>
    <row r="1294" spans="1:7">
      <c r="A1294" t="s">
        <v>344</v>
      </c>
      <c r="B1294" t="s">
        <v>94</v>
      </c>
      <c r="C1294" s="2">
        <v>2749.1149399335063</v>
      </c>
      <c r="D1294" t="s">
        <v>12</v>
      </c>
      <c r="E1294" t="str">
        <f>+INDEX(Check!$B$5:$B$33,MATCH(Compilado[[#This Row],[Items]],Check!$C$5:$C$33,0))</f>
        <v>ENERGIA FINCAS</v>
      </c>
      <c r="F1294" s="69">
        <f>+IFERROR(INDEX(Tabla2[TC],MATCH(Compilado[[#This Row],[Mes]],Tabla2[Mes],0))*Compilado[[#This Row],[USD]],0)</f>
        <v>3288857.4999999995</v>
      </c>
      <c r="G1294" s="150">
        <v>45962</v>
      </c>
    </row>
    <row r="1295" spans="1:7">
      <c r="A1295" t="s">
        <v>344</v>
      </c>
      <c r="B1295" t="s">
        <v>95</v>
      </c>
      <c r="C1295" s="2">
        <v>4861.9211399288924</v>
      </c>
      <c r="D1295" t="s">
        <v>12</v>
      </c>
      <c r="E1295" t="str">
        <f>+INDEX(Check!$B$5:$B$33,MATCH(Compilado[[#This Row],[Items]],Check!$C$5:$C$33,0))</f>
        <v>ENERGIA FINCAS</v>
      </c>
      <c r="F1295" s="69">
        <f>+IFERROR(INDEX(Tabla2[TC],MATCH(Compilado[[#This Row],[Mes]],Tabla2[Mes],0))*Compilado[[#This Row],[USD]],0)</f>
        <v>5874642.5</v>
      </c>
      <c r="G1295" s="150">
        <v>45992</v>
      </c>
    </row>
    <row r="1296" spans="1:7">
      <c r="A1296" t="s">
        <v>344</v>
      </c>
      <c r="B1296" t="s">
        <v>96</v>
      </c>
      <c r="C1296" s="2">
        <v>5160.0608356879748</v>
      </c>
      <c r="D1296" t="s">
        <v>12</v>
      </c>
      <c r="E1296" t="str">
        <f>+INDEX(Check!$B$5:$B$33,MATCH(Compilado[[#This Row],[Items]],Check!$C$5:$C$33,0))</f>
        <v>ENERGIA FINCAS</v>
      </c>
      <c r="F1296" s="69">
        <f>+IFERROR(INDEX(Tabla2[TC],MATCH(Compilado[[#This Row],[Mes]],Tabla2[Mes],0))*Compilado[[#This Row],[USD]],0)</f>
        <v>6297232.5000000009</v>
      </c>
      <c r="G1296" s="150">
        <v>46023</v>
      </c>
    </row>
    <row r="1297" spans="1:7">
      <c r="A1297" t="s">
        <v>344</v>
      </c>
      <c r="B1297" t="s">
        <v>97</v>
      </c>
      <c r="C1297" s="2">
        <v>4182.4718786279418</v>
      </c>
      <c r="D1297" t="s">
        <v>12</v>
      </c>
      <c r="E1297" t="str">
        <f>+INDEX(Check!$B$5:$B$33,MATCH(Compilado[[#This Row],[Items]],Check!$C$5:$C$33,0))</f>
        <v>ENERGIA FINCAS</v>
      </c>
      <c r="F1297" s="69">
        <f>+IFERROR(INDEX(Tabla2[TC],MATCH(Compilado[[#This Row],[Mes]],Tabla2[Mes],0))*Compilado[[#This Row],[USD]],0)</f>
        <v>5155244.9999999991</v>
      </c>
      <c r="G1297" s="150">
        <v>46054</v>
      </c>
    </row>
    <row r="1298" spans="1:7">
      <c r="A1298" t="s">
        <v>344</v>
      </c>
      <c r="B1298" t="s">
        <v>98</v>
      </c>
      <c r="C1298" s="2">
        <v>3270.6824814913994</v>
      </c>
      <c r="D1298" t="s">
        <v>12</v>
      </c>
      <c r="E1298" t="str">
        <f>+INDEX(Check!$B$5:$B$33,MATCH(Compilado[[#This Row],[Items]],Check!$C$5:$C$33,0))</f>
        <v>ENERGIA FINCAS</v>
      </c>
      <c r="F1298" s="69">
        <f>+IFERROR(INDEX(Tabla2[TC],MATCH(Compilado[[#This Row],[Mes]],Tabla2[Mes],0))*Compilado[[#This Row],[USD]],0)</f>
        <v>4071702.5</v>
      </c>
      <c r="G1298" s="150">
        <v>46082</v>
      </c>
    </row>
    <row r="1299" spans="1:7">
      <c r="A1299" t="s">
        <v>344</v>
      </c>
      <c r="B1299" t="s">
        <v>99</v>
      </c>
      <c r="C1299" s="2">
        <v>2947.5062645837261</v>
      </c>
      <c r="D1299" t="s">
        <v>12</v>
      </c>
      <c r="E1299" t="str">
        <f>+INDEX(Check!$B$5:$B$33,MATCH(Compilado[[#This Row],[Items]],Check!$C$5:$C$33,0))</f>
        <v>ENERGIA FINCAS</v>
      </c>
      <c r="F1299" s="69">
        <f>+IFERROR(INDEX(Tabla2[TC],MATCH(Compilado[[#This Row],[Mes]],Tabla2[Mes],0))*Compilado[[#This Row],[USD]],0)</f>
        <v>3706071.25</v>
      </c>
      <c r="G1299" s="150">
        <v>46113</v>
      </c>
    </row>
    <row r="1300" spans="1:7">
      <c r="A1300" t="s">
        <v>344</v>
      </c>
      <c r="B1300" t="s">
        <v>88</v>
      </c>
      <c r="C1300" s="2">
        <v>76.624889086069217</v>
      </c>
      <c r="D1300" t="s">
        <v>4</v>
      </c>
      <c r="E1300" t="str">
        <f>+INDEX(Check!$B$5:$B$33,MATCH(Compilado[[#This Row],[Items]],Check!$C$5:$C$33,0))</f>
        <v>ENERGIA FINCAS</v>
      </c>
      <c r="F1300" s="69">
        <f>+IFERROR(INDEX(Tabla2[TC],MATCH(Compilado[[#This Row],[Mes]],Tabla2[Mes],0))*Compilado[[#This Row],[USD]],0)</f>
        <v>86356.250000000015</v>
      </c>
      <c r="G1300" s="150">
        <v>45778</v>
      </c>
    </row>
    <row r="1301" spans="1:7">
      <c r="A1301" t="s">
        <v>344</v>
      </c>
      <c r="B1301" t="s">
        <v>89</v>
      </c>
      <c r="C1301" s="2">
        <v>77.15766030906552</v>
      </c>
      <c r="D1301" t="s">
        <v>4</v>
      </c>
      <c r="E1301" t="str">
        <f>+INDEX(Check!$B$5:$B$33,MATCH(Compilado[[#This Row],[Items]],Check!$C$5:$C$33,0))</f>
        <v>ENERGIA FINCAS</v>
      </c>
      <c r="F1301" s="69">
        <f>+IFERROR(INDEX(Tabla2[TC],MATCH(Compilado[[#This Row],[Mes]],Tabla2[Mes],0))*Compilado[[#This Row],[USD]],0)</f>
        <v>87826.250000000015</v>
      </c>
      <c r="G1301" s="150">
        <v>45809</v>
      </c>
    </row>
    <row r="1302" spans="1:7">
      <c r="A1302" t="s">
        <v>344</v>
      </c>
      <c r="B1302" t="s">
        <v>90</v>
      </c>
      <c r="C1302" s="2">
        <v>114.02356555157918</v>
      </c>
      <c r="D1302" t="s">
        <v>4</v>
      </c>
      <c r="E1302" t="str">
        <f>+INDEX(Check!$B$5:$B$33,MATCH(Compilado[[#This Row],[Items]],Check!$C$5:$C$33,0))</f>
        <v>ENERGIA FINCAS</v>
      </c>
      <c r="F1302" s="69">
        <f>+IFERROR(INDEX(Tabla2[TC],MATCH(Compilado[[#This Row],[Mes]],Tabla2[Mes],0))*Compilado[[#This Row],[USD]],0)</f>
        <v>131087.5</v>
      </c>
      <c r="G1302" s="150">
        <v>45839</v>
      </c>
    </row>
    <row r="1303" spans="1:7">
      <c r="A1303" t="s">
        <v>344</v>
      </c>
      <c r="B1303" t="s">
        <v>91</v>
      </c>
      <c r="C1303" s="2">
        <v>191.74860975901075</v>
      </c>
      <c r="D1303" t="s">
        <v>4</v>
      </c>
      <c r="E1303" t="str">
        <f>+INDEX(Check!$B$5:$B$33,MATCH(Compilado[[#This Row],[Items]],Check!$C$5:$C$33,0))</f>
        <v>ENERGIA FINCAS</v>
      </c>
      <c r="F1303" s="69">
        <f>+IFERROR(INDEX(Tabla2[TC],MATCH(Compilado[[#This Row],[Mes]],Tabla2[Mes],0))*Compilado[[#This Row],[USD]],0)</f>
        <v>222648.75</v>
      </c>
      <c r="G1303" s="150">
        <v>45870</v>
      </c>
    </row>
    <row r="1304" spans="1:7">
      <c r="A1304" t="s">
        <v>344</v>
      </c>
      <c r="B1304" t="s">
        <v>92</v>
      </c>
      <c r="C1304" s="2">
        <v>238.10910052804255</v>
      </c>
      <c r="D1304" t="s">
        <v>4</v>
      </c>
      <c r="E1304" t="str">
        <f>+INDEX(Check!$B$5:$B$33,MATCH(Compilado[[#This Row],[Items]],Check!$C$5:$C$33,0))</f>
        <v>ENERGIA FINCAS</v>
      </c>
      <c r="F1304" s="69">
        <f>+IFERROR(INDEX(Tabla2[TC],MATCH(Compilado[[#This Row],[Mes]],Tabla2[Mes],0))*Compilado[[#This Row],[USD]],0)</f>
        <v>279244.99999999994</v>
      </c>
      <c r="G1304" s="150">
        <v>45901</v>
      </c>
    </row>
    <row r="1305" spans="1:7">
      <c r="A1305" t="s">
        <v>344</v>
      </c>
      <c r="B1305" t="s">
        <v>93</v>
      </c>
      <c r="C1305" s="2">
        <v>121.6696245799078</v>
      </c>
      <c r="D1305" t="s">
        <v>4</v>
      </c>
      <c r="E1305" t="str">
        <f>+INDEX(Check!$B$5:$B$33,MATCH(Compilado[[#This Row],[Items]],Check!$C$5:$C$33,0))</f>
        <v>ENERGIA FINCAS</v>
      </c>
      <c r="F1305" s="69">
        <f>+IFERROR(INDEX(Tabla2[TC],MATCH(Compilado[[#This Row],[Mes]],Tabla2[Mes],0))*Compilado[[#This Row],[USD]],0)</f>
        <v>144116.25</v>
      </c>
      <c r="G1305" s="150">
        <v>45931</v>
      </c>
    </row>
    <row r="1306" spans="1:7">
      <c r="A1306" t="s">
        <v>344</v>
      </c>
      <c r="B1306" t="s">
        <v>94</v>
      </c>
      <c r="C1306" s="2">
        <v>81.123928693846338</v>
      </c>
      <c r="D1306" t="s">
        <v>4</v>
      </c>
      <c r="E1306" t="str">
        <f>+INDEX(Check!$B$5:$B$33,MATCH(Compilado[[#This Row],[Items]],Check!$C$5:$C$33,0))</f>
        <v>ENERGIA FINCAS</v>
      </c>
      <c r="F1306" s="69">
        <f>+IFERROR(INDEX(Tabla2[TC],MATCH(Compilado[[#This Row],[Mes]],Tabla2[Mes],0))*Compilado[[#This Row],[USD]],0)</f>
        <v>97051.25</v>
      </c>
      <c r="G1306" s="150">
        <v>45962</v>
      </c>
    </row>
    <row r="1307" spans="1:7">
      <c r="A1307" t="s">
        <v>344</v>
      </c>
      <c r="B1307" t="s">
        <v>95</v>
      </c>
      <c r="C1307" s="2">
        <v>62.292241510797965</v>
      </c>
      <c r="D1307" t="s">
        <v>4</v>
      </c>
      <c r="E1307" t="str">
        <f>+INDEX(Check!$B$5:$B$33,MATCH(Compilado[[#This Row],[Items]],Check!$C$5:$C$33,0))</f>
        <v>ENERGIA FINCAS</v>
      </c>
      <c r="F1307" s="69">
        <f>+IFERROR(INDEX(Tabla2[TC],MATCH(Compilado[[#This Row],[Mes]],Tabla2[Mes],0))*Compilado[[#This Row],[USD]],0)</f>
        <v>75267.5</v>
      </c>
      <c r="G1307" s="150">
        <v>45992</v>
      </c>
    </row>
    <row r="1308" spans="1:7">
      <c r="A1308" t="s">
        <v>344</v>
      </c>
      <c r="B1308" t="s">
        <v>96</v>
      </c>
      <c r="C1308" s="2">
        <v>63.622626846149984</v>
      </c>
      <c r="D1308" t="s">
        <v>4</v>
      </c>
      <c r="E1308" t="str">
        <f>+INDEX(Check!$B$5:$B$33,MATCH(Compilado[[#This Row],[Items]],Check!$C$5:$C$33,0))</f>
        <v>ENERGIA FINCAS</v>
      </c>
      <c r="F1308" s="69">
        <f>+IFERROR(INDEX(Tabla2[TC],MATCH(Compilado[[#This Row],[Mes]],Tabla2[Mes],0))*Compilado[[#This Row],[USD]],0)</f>
        <v>77643.75</v>
      </c>
      <c r="G1308" s="150">
        <v>46023</v>
      </c>
    </row>
    <row r="1309" spans="1:7">
      <c r="A1309" t="s">
        <v>344</v>
      </c>
      <c r="B1309" t="s">
        <v>97</v>
      </c>
      <c r="C1309" s="2">
        <v>70.36137017035206</v>
      </c>
      <c r="D1309" t="s">
        <v>4</v>
      </c>
      <c r="E1309" t="str">
        <f>+INDEX(Check!$B$5:$B$33,MATCH(Compilado[[#This Row],[Items]],Check!$C$5:$C$33,0))</f>
        <v>ENERGIA FINCAS</v>
      </c>
      <c r="F1309" s="69">
        <f>+IFERROR(INDEX(Tabla2[TC],MATCH(Compilado[[#This Row],[Mes]],Tabla2[Mes],0))*Compilado[[#This Row],[USD]],0)</f>
        <v>86726.250000000015</v>
      </c>
      <c r="G1309" s="150">
        <v>46054</v>
      </c>
    </row>
    <row r="1310" spans="1:7">
      <c r="A1310" t="s">
        <v>344</v>
      </c>
      <c r="B1310" t="s">
        <v>98</v>
      </c>
      <c r="C1310" s="2">
        <v>73.218195137768788</v>
      </c>
      <c r="D1310" t="s">
        <v>4</v>
      </c>
      <c r="E1310" t="str">
        <f>+INDEX(Check!$B$5:$B$33,MATCH(Compilado[[#This Row],[Items]],Check!$C$5:$C$33,0))</f>
        <v>ENERGIA FINCAS</v>
      </c>
      <c r="F1310" s="69">
        <f>+IFERROR(INDEX(Tabla2[TC],MATCH(Compilado[[#This Row],[Mes]],Tabla2[Mes],0))*Compilado[[#This Row],[USD]],0)</f>
        <v>91149.999999999985</v>
      </c>
      <c r="G1310" s="150">
        <v>46082</v>
      </c>
    </row>
    <row r="1311" spans="1:7">
      <c r="A1311" t="s">
        <v>344</v>
      </c>
      <c r="B1311" t="s">
        <v>99</v>
      </c>
      <c r="C1311" s="2">
        <v>78.445225796558844</v>
      </c>
      <c r="D1311" t="s">
        <v>4</v>
      </c>
      <c r="E1311" t="str">
        <f>+INDEX(Check!$B$5:$B$33,MATCH(Compilado[[#This Row],[Items]],Check!$C$5:$C$33,0))</f>
        <v>ENERGIA FINCAS</v>
      </c>
      <c r="F1311" s="69">
        <f>+IFERROR(INDEX(Tabla2[TC],MATCH(Compilado[[#This Row],[Mes]],Tabla2[Mes],0))*Compilado[[#This Row],[USD]],0)</f>
        <v>98633.75</v>
      </c>
      <c r="G1311" s="150">
        <v>46113</v>
      </c>
    </row>
    <row r="1312" spans="1:7">
      <c r="A1312" t="s">
        <v>344</v>
      </c>
      <c r="B1312" t="s">
        <v>88</v>
      </c>
      <c r="C1312" s="2">
        <v>7950.053238686779</v>
      </c>
      <c r="D1312" t="s">
        <v>373</v>
      </c>
      <c r="E1312" t="str">
        <f>+INDEX(Check!$B$5:$B$33,MATCH(Compilado[[#This Row],[Items]],Check!$C$5:$C$33,0))</f>
        <v>ENERGIA FINCAS</v>
      </c>
      <c r="F1312" s="69">
        <f>+IFERROR(INDEX(Tabla2[TC],MATCH(Compilado[[#This Row],[Mes]],Tabla2[Mes],0))*Compilado[[#This Row],[USD]],0)</f>
        <v>8959710</v>
      </c>
      <c r="G1312" s="150">
        <v>45778</v>
      </c>
    </row>
    <row r="1313" spans="1:7">
      <c r="A1313" t="s">
        <v>344</v>
      </c>
      <c r="B1313" t="s">
        <v>89</v>
      </c>
      <c r="C1313" s="2">
        <v>4314.8088766285682</v>
      </c>
      <c r="D1313" t="s">
        <v>373</v>
      </c>
      <c r="E1313" t="str">
        <f>+INDEX(Check!$B$5:$B$33,MATCH(Compilado[[#This Row],[Items]],Check!$C$5:$C$33,0))</f>
        <v>ENERGIA FINCAS</v>
      </c>
      <c r="F1313" s="69">
        <f>+IFERROR(INDEX(Tabla2[TC],MATCH(Compilado[[#This Row],[Mes]],Tabla2[Mes],0))*Compilado[[#This Row],[USD]],0)</f>
        <v>4911417.5</v>
      </c>
      <c r="G1313" s="150">
        <v>45809</v>
      </c>
    </row>
    <row r="1314" spans="1:7">
      <c r="A1314" t="s">
        <v>344</v>
      </c>
      <c r="B1314" t="s">
        <v>90</v>
      </c>
      <c r="C1314" s="2">
        <v>2537.701168361541</v>
      </c>
      <c r="D1314" t="s">
        <v>373</v>
      </c>
      <c r="E1314" t="str">
        <f>+INDEX(Check!$B$5:$B$33,MATCH(Compilado[[#This Row],[Items]],Check!$C$5:$C$33,0))</f>
        <v>ENERGIA FINCAS</v>
      </c>
      <c r="F1314" s="69">
        <f>+IFERROR(INDEX(Tabla2[TC],MATCH(Compilado[[#This Row],[Mes]],Tabla2[Mes],0))*Compilado[[#This Row],[USD]],0)</f>
        <v>2917475.0000000005</v>
      </c>
      <c r="G1314" s="150">
        <v>45839</v>
      </c>
    </row>
    <row r="1315" spans="1:7">
      <c r="A1315" t="s">
        <v>344</v>
      </c>
      <c r="B1315" t="s">
        <v>91</v>
      </c>
      <c r="C1315" s="2">
        <v>8161.3174944653347</v>
      </c>
      <c r="D1315" t="s">
        <v>373</v>
      </c>
      <c r="E1315" t="str">
        <f>+INDEX(Check!$B$5:$B$33,MATCH(Compilado[[#This Row],[Items]],Check!$C$5:$C$33,0))</f>
        <v>ENERGIA FINCAS</v>
      </c>
      <c r="F1315" s="69">
        <f>+IFERROR(INDEX(Tabla2[TC],MATCH(Compilado[[#This Row],[Mes]],Tabla2[Mes],0))*Compilado[[#This Row],[USD]],0)</f>
        <v>9476507.5000000019</v>
      </c>
      <c r="G1315" s="150">
        <v>45870</v>
      </c>
    </row>
    <row r="1316" spans="1:7">
      <c r="A1316" t="s">
        <v>344</v>
      </c>
      <c r="B1316" t="s">
        <v>92</v>
      </c>
      <c r="C1316" s="2">
        <v>8080.512370757755</v>
      </c>
      <c r="D1316" t="s">
        <v>373</v>
      </c>
      <c r="E1316" t="str">
        <f>+INDEX(Check!$B$5:$B$33,MATCH(Compilado[[#This Row],[Items]],Check!$C$5:$C$33,0))</f>
        <v>ENERGIA FINCAS</v>
      </c>
      <c r="F1316" s="69">
        <f>+IFERROR(INDEX(Tabla2[TC],MATCH(Compilado[[#This Row],[Mes]],Tabla2[Mes],0))*Compilado[[#This Row],[USD]],0)</f>
        <v>9476507.5</v>
      </c>
      <c r="G1316" s="150">
        <v>45901</v>
      </c>
    </row>
    <row r="1317" spans="1:7">
      <c r="A1317" t="s">
        <v>344</v>
      </c>
      <c r="B1317" t="s">
        <v>93</v>
      </c>
      <c r="C1317" s="2">
        <v>2991.032496352394</v>
      </c>
      <c r="D1317" t="s">
        <v>373</v>
      </c>
      <c r="E1317" t="str">
        <f>+INDEX(Check!$B$5:$B$33,MATCH(Compilado[[#This Row],[Items]],Check!$C$5:$C$33,0))</f>
        <v>ENERGIA FINCAS</v>
      </c>
      <c r="F1317" s="69">
        <f>+IFERROR(INDEX(Tabla2[TC],MATCH(Compilado[[#This Row],[Mes]],Tabla2[Mes],0))*Compilado[[#This Row],[USD]],0)</f>
        <v>3542843.0759999994</v>
      </c>
      <c r="G1317" s="150">
        <v>45931</v>
      </c>
    </row>
    <row r="1318" spans="1:7">
      <c r="A1318" t="s">
        <v>344</v>
      </c>
      <c r="B1318" t="s">
        <v>94</v>
      </c>
      <c r="C1318" s="2">
        <v>15524.1255329132</v>
      </c>
      <c r="D1318" t="s">
        <v>373</v>
      </c>
      <c r="E1318" t="str">
        <f>+INDEX(Check!$B$5:$B$33,MATCH(Compilado[[#This Row],[Items]],Check!$C$5:$C$33,0))</f>
        <v>ENERGIA FINCAS</v>
      </c>
      <c r="F1318" s="69">
        <f>+IFERROR(INDEX(Tabla2[TC],MATCH(Compilado[[#This Row],[Mes]],Tabla2[Mes],0))*Compilado[[#This Row],[USD]],0)</f>
        <v>18572026.927000001</v>
      </c>
      <c r="G1318" s="150">
        <v>45962</v>
      </c>
    </row>
    <row r="1319" spans="1:7">
      <c r="A1319" t="s">
        <v>344</v>
      </c>
      <c r="B1319" t="s">
        <v>95</v>
      </c>
      <c r="C1319" s="2">
        <v>26252.787795866032</v>
      </c>
      <c r="D1319" t="s">
        <v>373</v>
      </c>
      <c r="E1319" t="str">
        <f>+INDEX(Check!$B$5:$B$33,MATCH(Compilado[[#This Row],[Items]],Check!$C$5:$C$33,0))</f>
        <v>ENERGIA FINCAS</v>
      </c>
      <c r="F1319" s="69">
        <f>+IFERROR(INDEX(Tabla2[TC],MATCH(Compilado[[#This Row],[Mes]],Tabla2[Mes],0))*Compilado[[#This Row],[USD]],0)</f>
        <v>31721152.706999999</v>
      </c>
      <c r="G1319" s="150">
        <v>45992</v>
      </c>
    </row>
    <row r="1320" spans="1:7">
      <c r="A1320" t="s">
        <v>344</v>
      </c>
      <c r="B1320" t="s">
        <v>96</v>
      </c>
      <c r="C1320" s="2">
        <v>28347.635310722959</v>
      </c>
      <c r="D1320" t="s">
        <v>373</v>
      </c>
      <c r="E1320" t="str">
        <f>+INDEX(Check!$B$5:$B$33,MATCH(Compilado[[#This Row],[Items]],Check!$C$5:$C$33,0))</f>
        <v>ENERGIA FINCAS</v>
      </c>
      <c r="F1320" s="69">
        <f>+IFERROR(INDEX(Tabla2[TC],MATCH(Compilado[[#This Row],[Mes]],Tabla2[Mes],0))*Compilado[[#This Row],[USD]],0)</f>
        <v>34594873.211999997</v>
      </c>
      <c r="G1320" s="150">
        <v>46023</v>
      </c>
    </row>
    <row r="1321" spans="1:7">
      <c r="A1321" t="s">
        <v>344</v>
      </c>
      <c r="B1321" t="s">
        <v>97</v>
      </c>
      <c r="C1321" s="2">
        <v>27067.823465830304</v>
      </c>
      <c r="D1321" t="s">
        <v>373</v>
      </c>
      <c r="E1321" t="str">
        <f>+INDEX(Check!$B$5:$B$33,MATCH(Compilado[[#This Row],[Items]],Check!$C$5:$C$33,0))</f>
        <v>ENERGIA FINCAS</v>
      </c>
      <c r="F1321" s="69">
        <f>+IFERROR(INDEX(Tabla2[TC],MATCH(Compilado[[#This Row],[Mes]],Tabla2[Mes],0))*Compilado[[#This Row],[USD]],0)</f>
        <v>33363347.234000001</v>
      </c>
      <c r="G1321" s="150">
        <v>46054</v>
      </c>
    </row>
    <row r="1322" spans="1:7">
      <c r="A1322" t="s">
        <v>344</v>
      </c>
      <c r="B1322" t="s">
        <v>98</v>
      </c>
      <c r="C1322" s="2">
        <v>31500.855225340802</v>
      </c>
      <c r="D1322" t="s">
        <v>373</v>
      </c>
      <c r="E1322" t="str">
        <f>+INDEX(Check!$B$5:$B$33,MATCH(Compilado[[#This Row],[Items]],Check!$C$5:$C$33,0))</f>
        <v>ENERGIA FINCAS</v>
      </c>
      <c r="F1322" s="69">
        <f>+IFERROR(INDEX(Tabla2[TC],MATCH(Compilado[[#This Row],[Mes]],Tabla2[Mes],0))*Compilado[[#This Row],[USD]],0)</f>
        <v>39215702.441</v>
      </c>
      <c r="G1322" s="150">
        <v>46082</v>
      </c>
    </row>
    <row r="1323" spans="1:7">
      <c r="A1323" t="s">
        <v>344</v>
      </c>
      <c r="B1323" t="s">
        <v>99</v>
      </c>
      <c r="C1323" s="2">
        <v>26376.22774160195</v>
      </c>
      <c r="D1323" t="s">
        <v>373</v>
      </c>
      <c r="E1323" t="str">
        <f>+INDEX(Check!$B$5:$B$33,MATCH(Compilado[[#This Row],[Items]],Check!$C$5:$C$33,0))</f>
        <v>ENERGIA FINCAS</v>
      </c>
      <c r="F1323" s="69">
        <f>+IFERROR(INDEX(Tabla2[TC],MATCH(Compilado[[#This Row],[Mes]],Tabla2[Mes],0))*Compilado[[#This Row],[USD]],0)</f>
        <v>33164366.939999998</v>
      </c>
      <c r="G1323" s="150">
        <v>46113</v>
      </c>
    </row>
    <row r="1324" spans="1:7">
      <c r="A1324" t="s">
        <v>344</v>
      </c>
      <c r="B1324" t="s">
        <v>88</v>
      </c>
      <c r="C1324" s="2">
        <v>3513.0246228926353</v>
      </c>
      <c r="D1324" t="s">
        <v>15</v>
      </c>
      <c r="E1324" t="str">
        <f>+INDEX(Check!$B$5:$B$33,MATCH(Compilado[[#This Row],[Items]],Check!$C$5:$C$33,0))</f>
        <v>ENERGIA FINCAS</v>
      </c>
      <c r="F1324" s="69">
        <f>+IFERROR(INDEX(Tabla2[TC],MATCH(Compilado[[#This Row],[Mes]],Tabla2[Mes],0))*Compilado[[#This Row],[USD]],0)</f>
        <v>3959178.75</v>
      </c>
      <c r="G1324" s="150">
        <v>45778</v>
      </c>
    </row>
    <row r="1325" spans="1:7">
      <c r="A1325" t="s">
        <v>344</v>
      </c>
      <c r="B1325" t="s">
        <v>89</v>
      </c>
      <c r="C1325" s="2">
        <v>1688.7820991504652</v>
      </c>
      <c r="D1325" t="s">
        <v>15</v>
      </c>
      <c r="E1325" t="str">
        <f>+INDEX(Check!$B$5:$B$33,MATCH(Compilado[[#This Row],[Items]],Check!$C$5:$C$33,0))</f>
        <v>ENERGIA FINCAS</v>
      </c>
      <c r="F1325" s="69">
        <f>+IFERROR(INDEX(Tabla2[TC],MATCH(Compilado[[#This Row],[Mes]],Tabla2[Mes],0))*Compilado[[#This Row],[USD]],0)</f>
        <v>1922290</v>
      </c>
      <c r="G1325" s="150">
        <v>45809</v>
      </c>
    </row>
    <row r="1326" spans="1:7">
      <c r="A1326" t="s">
        <v>344</v>
      </c>
      <c r="B1326" t="s">
        <v>90</v>
      </c>
      <c r="C1326" s="2">
        <v>1071.3800785228443</v>
      </c>
      <c r="D1326" t="s">
        <v>15</v>
      </c>
      <c r="E1326" t="str">
        <f>+INDEX(Check!$B$5:$B$33,MATCH(Compilado[[#This Row],[Items]],Check!$C$5:$C$33,0))</f>
        <v>ENERGIA FINCAS</v>
      </c>
      <c r="F1326" s="69">
        <f>+IFERROR(INDEX(Tabla2[TC],MATCH(Compilado[[#This Row],[Mes]],Tabla2[Mes],0))*Compilado[[#This Row],[USD]],0)</f>
        <v>1231715</v>
      </c>
      <c r="G1326" s="150">
        <v>45839</v>
      </c>
    </row>
    <row r="1327" spans="1:7">
      <c r="A1327" t="s">
        <v>344</v>
      </c>
      <c r="B1327" t="s">
        <v>91</v>
      </c>
      <c r="C1327" s="2">
        <v>3408.7285320132237</v>
      </c>
      <c r="D1327" t="s">
        <v>15</v>
      </c>
      <c r="E1327" t="str">
        <f>+INDEX(Check!$B$5:$B$33,MATCH(Compilado[[#This Row],[Items]],Check!$C$5:$C$33,0))</f>
        <v>ENERGIA FINCAS</v>
      </c>
      <c r="F1327" s="69">
        <f>+IFERROR(INDEX(Tabla2[TC],MATCH(Compilado[[#This Row],[Mes]],Tabla2[Mes],0))*Compilado[[#This Row],[USD]],0)</f>
        <v>3958042.5</v>
      </c>
      <c r="G1327" s="150">
        <v>45870</v>
      </c>
    </row>
    <row r="1328" spans="1:7">
      <c r="A1328" t="s">
        <v>344</v>
      </c>
      <c r="B1328" t="s">
        <v>92</v>
      </c>
      <c r="C1328" s="2">
        <v>3374.9787445675479</v>
      </c>
      <c r="D1328" t="s">
        <v>15</v>
      </c>
      <c r="E1328" t="str">
        <f>+INDEX(Check!$B$5:$B$33,MATCH(Compilado[[#This Row],[Items]],Check!$C$5:$C$33,0))</f>
        <v>ENERGIA FINCAS</v>
      </c>
      <c r="F1328" s="69">
        <f>+IFERROR(INDEX(Tabla2[TC],MATCH(Compilado[[#This Row],[Mes]],Tabla2[Mes],0))*Compilado[[#This Row],[USD]],0)</f>
        <v>3958042.5</v>
      </c>
      <c r="G1328" s="150">
        <v>45901</v>
      </c>
    </row>
    <row r="1329" spans="1:7">
      <c r="A1329" t="s">
        <v>344</v>
      </c>
      <c r="B1329" t="s">
        <v>93</v>
      </c>
      <c r="C1329" s="2">
        <v>1262.7587157965131</v>
      </c>
      <c r="D1329" t="s">
        <v>15</v>
      </c>
      <c r="E1329" t="str">
        <f>+INDEX(Check!$B$5:$B$33,MATCH(Compilado[[#This Row],[Items]],Check!$C$5:$C$33,0))</f>
        <v>ENERGIA FINCAS</v>
      </c>
      <c r="F1329" s="69">
        <f>+IFERROR(INDEX(Tabla2[TC],MATCH(Compilado[[#This Row],[Mes]],Tabla2[Mes],0))*Compilado[[#This Row],[USD]],0)</f>
        <v>1495722.9580000001</v>
      </c>
      <c r="G1329" s="150">
        <v>45931</v>
      </c>
    </row>
    <row r="1330" spans="1:7">
      <c r="A1330" t="s">
        <v>344</v>
      </c>
      <c r="B1330" t="s">
        <v>94</v>
      </c>
      <c r="C1330" s="2">
        <v>6554.047771345503</v>
      </c>
      <c r="D1330" t="s">
        <v>15</v>
      </c>
      <c r="E1330" t="str">
        <f>+INDEX(Check!$B$5:$B$33,MATCH(Compilado[[#This Row],[Items]],Check!$C$5:$C$33,0))</f>
        <v>ENERGIA FINCAS</v>
      </c>
      <c r="F1330" s="69">
        <f>+IFERROR(INDEX(Tabla2[TC],MATCH(Compilado[[#This Row],[Mes]],Tabla2[Mes],0))*Compilado[[#This Row],[USD]],0)</f>
        <v>7840825.0070000002</v>
      </c>
      <c r="G1330" s="150">
        <v>45962</v>
      </c>
    </row>
    <row r="1331" spans="1:7">
      <c r="A1331" t="s">
        <v>344</v>
      </c>
      <c r="B1331" t="s">
        <v>95</v>
      </c>
      <c r="C1331" s="2">
        <v>11083.545320569205</v>
      </c>
      <c r="D1331" t="s">
        <v>15</v>
      </c>
      <c r="E1331" t="str">
        <f>+INDEX(Check!$B$5:$B$33,MATCH(Compilado[[#This Row],[Items]],Check!$C$5:$C$33,0))</f>
        <v>ENERGIA FINCAS</v>
      </c>
      <c r="F1331" s="69">
        <f>+IFERROR(INDEX(Tabla2[TC],MATCH(Compilado[[#This Row],[Mes]],Tabla2[Mes],0))*Compilado[[#This Row],[USD]],0)</f>
        <v>13392209.482000001</v>
      </c>
      <c r="G1331" s="150">
        <v>45992</v>
      </c>
    </row>
    <row r="1332" spans="1:7">
      <c r="A1332" t="s">
        <v>344</v>
      </c>
      <c r="B1332" t="s">
        <v>96</v>
      </c>
      <c r="C1332" s="2">
        <v>11967.957871562019</v>
      </c>
      <c r="D1332" t="s">
        <v>15</v>
      </c>
      <c r="E1332" t="str">
        <f>+INDEX(Check!$B$5:$B$33,MATCH(Compilado[[#This Row],[Items]],Check!$C$5:$C$33,0))</f>
        <v>ENERGIA FINCAS</v>
      </c>
      <c r="F1332" s="69">
        <f>+IFERROR(INDEX(Tabla2[TC],MATCH(Compilado[[#This Row],[Mes]],Tabla2[Mes],0))*Compilado[[#This Row],[USD]],0)</f>
        <v>14605450.530000001</v>
      </c>
      <c r="G1332" s="150">
        <v>46023</v>
      </c>
    </row>
    <row r="1333" spans="1:7">
      <c r="A1333" t="s">
        <v>344</v>
      </c>
      <c r="B1333" t="s">
        <v>97</v>
      </c>
      <c r="C1333" s="2">
        <v>11427.64092985997</v>
      </c>
      <c r="D1333" t="s">
        <v>15</v>
      </c>
      <c r="E1333" t="str">
        <f>+INDEX(Check!$B$5:$B$33,MATCH(Compilado[[#This Row],[Items]],Check!$C$5:$C$33,0))</f>
        <v>ENERGIA FINCAS</v>
      </c>
      <c r="F1333" s="69">
        <f>+IFERROR(INDEX(Tabla2[TC],MATCH(Compilado[[#This Row],[Mes]],Tabla2[Mes],0))*Compilado[[#This Row],[USD]],0)</f>
        <v>14085519.395</v>
      </c>
      <c r="G1333" s="150">
        <v>46054</v>
      </c>
    </row>
    <row r="1334" spans="1:7">
      <c r="A1334" t="s">
        <v>344</v>
      </c>
      <c r="B1334" t="s">
        <v>98</v>
      </c>
      <c r="C1334" s="2">
        <v>13299.201169006754</v>
      </c>
      <c r="D1334" t="s">
        <v>15</v>
      </c>
      <c r="E1334" t="str">
        <f>+INDEX(Check!$B$5:$B$33,MATCH(Compilado[[#This Row],[Items]],Check!$C$5:$C$33,0))</f>
        <v>ENERGIA FINCAS</v>
      </c>
      <c r="F1334" s="69">
        <f>+IFERROR(INDEX(Tabla2[TC],MATCH(Compilado[[#This Row],[Mes]],Tabla2[Mes],0))*Compilado[[#This Row],[USD]],0)</f>
        <v>16556297.028000001</v>
      </c>
      <c r="G1334" s="150">
        <v>46082</v>
      </c>
    </row>
    <row r="1335" spans="1:7">
      <c r="A1335" t="s">
        <v>344</v>
      </c>
      <c r="B1335" t="s">
        <v>99</v>
      </c>
      <c r="C1335" s="2">
        <v>11135.659655115836</v>
      </c>
      <c r="D1335" t="s">
        <v>15</v>
      </c>
      <c r="E1335" t="str">
        <f>+INDEX(Check!$B$5:$B$33,MATCH(Compilado[[#This Row],[Items]],Check!$C$5:$C$33,0))</f>
        <v>ENERGIA FINCAS</v>
      </c>
      <c r="F1335" s="69">
        <f>+IFERROR(INDEX(Tabla2[TC],MATCH(Compilado[[#This Row],[Mes]],Tabla2[Mes],0))*Compilado[[#This Row],[USD]],0)</f>
        <v>14001513.277000001</v>
      </c>
      <c r="G1335" s="150">
        <v>46113</v>
      </c>
    </row>
    <row r="1336" spans="1:7">
      <c r="A1336" t="s">
        <v>342</v>
      </c>
      <c r="B1336" t="s">
        <v>88</v>
      </c>
      <c r="C1336" s="2">
        <v>2415.6697909494233</v>
      </c>
      <c r="D1336" t="s">
        <v>8</v>
      </c>
      <c r="E1336" t="str">
        <f>+INDEX(Check!$B$5:$B$33,MATCH(Compilado[[#This Row],[Items]],Check!$C$5:$C$33,0))</f>
        <v>COMBUSTIBLE Y MANTENIMIENTO</v>
      </c>
      <c r="F1336" s="69">
        <f>+IFERROR(INDEX(Tabla2[TC],MATCH(Compilado[[#This Row],[Mes]],Tabla2[Mes],0))*Compilado[[#This Row],[USD]],0)</f>
        <v>2722459.8544000001</v>
      </c>
      <c r="G1336" s="150">
        <v>45778</v>
      </c>
    </row>
    <row r="1337" spans="1:7">
      <c r="A1337" t="s">
        <v>342</v>
      </c>
      <c r="B1337" t="s">
        <v>89</v>
      </c>
      <c r="C1337" s="2">
        <v>740.63704809052331</v>
      </c>
      <c r="D1337" t="s">
        <v>8</v>
      </c>
      <c r="E1337" t="str">
        <f>+INDEX(Check!$B$5:$B$33,MATCH(Compilado[[#This Row],[Items]],Check!$C$5:$C$33,0))</f>
        <v>COMBUSTIBLE Y MANTENIMIENTO</v>
      </c>
      <c r="F1337" s="69">
        <f>+IFERROR(INDEX(Tabla2[TC],MATCH(Compilado[[#This Row],[Mes]],Tabla2[Mes],0))*Compilado[[#This Row],[USD]],0)</f>
        <v>843044.93273</v>
      </c>
      <c r="G1337" s="150">
        <v>45809</v>
      </c>
    </row>
    <row r="1338" spans="1:7">
      <c r="A1338" t="s">
        <v>342</v>
      </c>
      <c r="B1338" t="s">
        <v>90</v>
      </c>
      <c r="C1338" s="2">
        <v>546.31962115167471</v>
      </c>
      <c r="D1338" t="s">
        <v>8</v>
      </c>
      <c r="E1338" t="str">
        <f>+INDEX(Check!$B$5:$B$33,MATCH(Compilado[[#This Row],[Items]],Check!$C$5:$C$33,0))</f>
        <v>COMBUSTIBLE Y MANTENIMIENTO</v>
      </c>
      <c r="F1338" s="69">
        <f>+IFERROR(INDEX(Tabla2[TC],MATCH(Compilado[[#This Row],[Mes]],Tabla2[Mes],0))*Compilado[[#This Row],[USD]],0)</f>
        <v>628077.82752000005</v>
      </c>
      <c r="G1338" s="150">
        <v>45839</v>
      </c>
    </row>
    <row r="1339" spans="1:7">
      <c r="A1339" t="s">
        <v>342</v>
      </c>
      <c r="B1339" t="s">
        <v>91</v>
      </c>
      <c r="C1339" s="2">
        <v>1592.1589018118514</v>
      </c>
      <c r="D1339" t="s">
        <v>8</v>
      </c>
      <c r="E1339" t="str">
        <f>+INDEX(Check!$B$5:$B$33,MATCH(Compilado[[#This Row],[Items]],Check!$C$5:$C$33,0))</f>
        <v>COMBUSTIBLE Y MANTENIMIENTO</v>
      </c>
      <c r="F1339" s="69">
        <f>+IFERROR(INDEX(Tabla2[TC],MATCH(Compilado[[#This Row],[Mes]],Tabla2[Mes],0))*Compilado[[#This Row],[USD]],0)</f>
        <v>1848734.0781000003</v>
      </c>
      <c r="G1339" s="150">
        <v>45870</v>
      </c>
    </row>
    <row r="1340" spans="1:7">
      <c r="A1340" t="s">
        <v>342</v>
      </c>
      <c r="B1340" t="s">
        <v>92</v>
      </c>
      <c r="C1340" s="2">
        <v>2302.3274296360291</v>
      </c>
      <c r="D1340" t="s">
        <v>8</v>
      </c>
      <c r="E1340" t="str">
        <f>+INDEX(Check!$B$5:$B$33,MATCH(Compilado[[#This Row],[Items]],Check!$C$5:$C$33,0))</f>
        <v>COMBUSTIBLE Y MANTENIMIENTO</v>
      </c>
      <c r="F1340" s="69">
        <f>+IFERROR(INDEX(Tabla2[TC],MATCH(Compilado[[#This Row],[Mes]],Tabla2[Mes],0))*Compilado[[#This Row],[USD]],0)</f>
        <v>2700079.1723750005</v>
      </c>
      <c r="G1340" s="150">
        <v>45901</v>
      </c>
    </row>
    <row r="1341" spans="1:7">
      <c r="A1341" t="s">
        <v>342</v>
      </c>
      <c r="B1341" t="s">
        <v>93</v>
      </c>
      <c r="C1341" s="2">
        <v>1764.6699098016161</v>
      </c>
      <c r="D1341" t="s">
        <v>8</v>
      </c>
      <c r="E1341" t="str">
        <f>+INDEX(Check!$B$5:$B$33,MATCH(Compilado[[#This Row],[Items]],Check!$C$5:$C$33,0))</f>
        <v>COMBUSTIBLE Y MANTENIMIENTO</v>
      </c>
      <c r="F1341" s="69">
        <f>+IFERROR(INDEX(Tabla2[TC],MATCH(Compilado[[#This Row],[Mes]],Tabla2[Mes],0))*Compilado[[#This Row],[USD]],0)</f>
        <v>2090230.9082200001</v>
      </c>
      <c r="G1341" s="150">
        <v>45931</v>
      </c>
    </row>
    <row r="1342" spans="1:7">
      <c r="A1342" t="s">
        <v>342</v>
      </c>
      <c r="B1342" t="s">
        <v>94</v>
      </c>
      <c r="C1342" s="2">
        <v>1379.3127839158635</v>
      </c>
      <c r="D1342" t="s">
        <v>8</v>
      </c>
      <c r="E1342" t="str">
        <f>+INDEX(Check!$B$5:$B$33,MATCH(Compilado[[#This Row],[Items]],Check!$C$5:$C$33,0))</f>
        <v>COMBUSTIBLE Y MANTENIMIENTO</v>
      </c>
      <c r="F1342" s="69">
        <f>+IFERROR(INDEX(Tabla2[TC],MATCH(Compilado[[#This Row],[Mes]],Tabla2[Mes],0))*Compilado[[#This Row],[USD]],0)</f>
        <v>1650117.6900000002</v>
      </c>
      <c r="G1342" s="150">
        <v>45962</v>
      </c>
    </row>
    <row r="1343" spans="1:7">
      <c r="A1343" t="s">
        <v>342</v>
      </c>
      <c r="B1343" t="s">
        <v>95</v>
      </c>
      <c r="C1343" s="2">
        <v>1834.6089345770799</v>
      </c>
      <c r="D1343" t="s">
        <v>8</v>
      </c>
      <c r="E1343" t="str">
        <f>+INDEX(Check!$B$5:$B$33,MATCH(Compilado[[#This Row],[Items]],Check!$C$5:$C$33,0))</f>
        <v>COMBUSTIBLE Y MANTENIMIENTO</v>
      </c>
      <c r="F1343" s="69">
        <f>+IFERROR(INDEX(Tabla2[TC],MATCH(Compilado[[#This Row],[Mes]],Tabla2[Mes],0))*Compilado[[#This Row],[USD]],0)</f>
        <v>2216751.6312500001</v>
      </c>
      <c r="G1343" s="150">
        <v>45992</v>
      </c>
    </row>
    <row r="1344" spans="1:7">
      <c r="A1344" t="s">
        <v>342</v>
      </c>
      <c r="B1344" t="s">
        <v>96</v>
      </c>
      <c r="C1344" s="2">
        <v>1954.8177873043223</v>
      </c>
      <c r="D1344" t="s">
        <v>8</v>
      </c>
      <c r="E1344" t="str">
        <f>+INDEX(Check!$B$5:$B$33,MATCH(Compilado[[#This Row],[Items]],Check!$C$5:$C$33,0))</f>
        <v>COMBUSTIBLE Y MANTENIMIENTO</v>
      </c>
      <c r="F1344" s="69">
        <f>+IFERROR(INDEX(Tabla2[TC],MATCH(Compilado[[#This Row],[Mes]],Tabla2[Mes],0))*Compilado[[#This Row],[USD]],0)</f>
        <v>2385619.5680200001</v>
      </c>
      <c r="G1344" s="150">
        <v>46023</v>
      </c>
    </row>
    <row r="1345" spans="1:7">
      <c r="A1345" t="s">
        <v>342</v>
      </c>
      <c r="B1345" t="s">
        <v>97</v>
      </c>
      <c r="C1345" s="2">
        <v>2195.0406607146774</v>
      </c>
      <c r="D1345" t="s">
        <v>8</v>
      </c>
      <c r="E1345" t="str">
        <f>+INDEX(Check!$B$5:$B$33,MATCH(Compilado[[#This Row],[Items]],Check!$C$5:$C$33,0))</f>
        <v>COMBUSTIBLE Y MANTENIMIENTO</v>
      </c>
      <c r="F1345" s="69">
        <f>+IFERROR(INDEX(Tabla2[TC],MATCH(Compilado[[#This Row],[Mes]],Tabla2[Mes],0))*Compilado[[#This Row],[USD]],0)</f>
        <v>2705570.4662999995</v>
      </c>
      <c r="G1345" s="150">
        <v>46054</v>
      </c>
    </row>
    <row r="1346" spans="1:7">
      <c r="A1346" t="s">
        <v>342</v>
      </c>
      <c r="B1346" t="s">
        <v>98</v>
      </c>
      <c r="C1346" s="2">
        <v>1566.5789522428292</v>
      </c>
      <c r="D1346" t="s">
        <v>8</v>
      </c>
      <c r="E1346" t="str">
        <f>+INDEX(Check!$B$5:$B$33,MATCH(Compilado[[#This Row],[Items]],Check!$C$5:$C$33,0))</f>
        <v>COMBUSTIBLE Y MANTENIMIENTO</v>
      </c>
      <c r="F1346" s="69">
        <f>+IFERROR(INDEX(Tabla2[TC],MATCH(Compilado[[#This Row],[Mes]],Tabla2[Mes],0))*Compilado[[#This Row],[USD]],0)</f>
        <v>1950248.448876</v>
      </c>
      <c r="G1346" s="150">
        <v>46082</v>
      </c>
    </row>
    <row r="1347" spans="1:7">
      <c r="A1347" t="s">
        <v>342</v>
      </c>
      <c r="B1347" t="s">
        <v>99</v>
      </c>
      <c r="C1347" s="2">
        <v>2091.7246910530971</v>
      </c>
      <c r="D1347" t="s">
        <v>8</v>
      </c>
      <c r="E1347" t="str">
        <f>+INDEX(Check!$B$5:$B$33,MATCH(Compilado[[#This Row],[Items]],Check!$C$5:$C$33,0))</f>
        <v>COMBUSTIBLE Y MANTENIMIENTO</v>
      </c>
      <c r="F1347" s="69">
        <f>+IFERROR(INDEX(Tabla2[TC],MATCH(Compilado[[#This Row],[Mes]],Tabla2[Mes],0))*Compilado[[#This Row],[USD]],0)</f>
        <v>2630047.2482699999</v>
      </c>
      <c r="G1347" s="150">
        <v>46113</v>
      </c>
    </row>
    <row r="1348" spans="1:7">
      <c r="A1348" t="s">
        <v>342</v>
      </c>
      <c r="B1348" t="s">
        <v>88</v>
      </c>
      <c r="C1348" s="2">
        <v>1301.0234852706301</v>
      </c>
      <c r="D1348" t="s">
        <v>12</v>
      </c>
      <c r="E1348" t="str">
        <f>+INDEX(Check!$B$5:$B$33,MATCH(Compilado[[#This Row],[Items]],Check!$C$5:$C$33,0))</f>
        <v>COMBUSTIBLE Y MANTENIMIENTO</v>
      </c>
      <c r="F1348" s="69">
        <f>+IFERROR(INDEX(Tabla2[TC],MATCH(Compilado[[#This Row],[Mes]],Tabla2[Mes],0))*Compilado[[#This Row],[USD]],0)</f>
        <v>1466253.4679</v>
      </c>
      <c r="G1348" s="150">
        <v>45778</v>
      </c>
    </row>
    <row r="1349" spans="1:7">
      <c r="A1349" t="s">
        <v>342</v>
      </c>
      <c r="B1349" t="s">
        <v>89</v>
      </c>
      <c r="C1349" s="2">
        <v>420.05214124065475</v>
      </c>
      <c r="D1349" t="s">
        <v>12</v>
      </c>
      <c r="E1349" t="str">
        <f>+INDEX(Check!$B$5:$B$33,MATCH(Compilado[[#This Row],[Items]],Check!$C$5:$C$33,0))</f>
        <v>COMBUSTIBLE Y MANTENIMIENTO</v>
      </c>
      <c r="F1349" s="69">
        <f>+IFERROR(INDEX(Tabla2[TC],MATCH(Compilado[[#This Row],[Mes]],Tabla2[Mes],0))*Compilado[[#This Row],[USD]],0)</f>
        <v>478132.75081000006</v>
      </c>
      <c r="G1349" s="150">
        <v>45809</v>
      </c>
    </row>
    <row r="1350" spans="1:7">
      <c r="A1350" t="s">
        <v>342</v>
      </c>
      <c r="B1350" t="s">
        <v>90</v>
      </c>
      <c r="C1350" s="2">
        <v>130.73452784480045</v>
      </c>
      <c r="D1350" t="s">
        <v>12</v>
      </c>
      <c r="E1350" t="str">
        <f>+INDEX(Check!$B$5:$B$33,MATCH(Compilado[[#This Row],[Items]],Check!$C$5:$C$33,0))</f>
        <v>COMBUSTIBLE Y MANTENIMIENTO</v>
      </c>
      <c r="F1350" s="69">
        <f>+IFERROR(INDEX(Tabla2[TC],MATCH(Compilado[[#This Row],[Mes]],Tabla2[Mes],0))*Compilado[[#This Row],[USD]],0)</f>
        <v>150299.30292000005</v>
      </c>
      <c r="G1350" s="150">
        <v>45839</v>
      </c>
    </row>
    <row r="1351" spans="1:7">
      <c r="A1351" t="s">
        <v>342</v>
      </c>
      <c r="B1351" t="s">
        <v>91</v>
      </c>
      <c r="C1351" s="2">
        <v>295.34943454774401</v>
      </c>
      <c r="D1351" t="s">
        <v>12</v>
      </c>
      <c r="E1351" t="str">
        <f>+INDEX(Check!$B$5:$B$33,MATCH(Compilado[[#This Row],[Items]],Check!$C$5:$C$33,0))</f>
        <v>COMBUSTIBLE Y MANTENIMIENTO</v>
      </c>
      <c r="F1351" s="69">
        <f>+IFERROR(INDEX(Tabla2[TC],MATCH(Compilado[[#This Row],[Mes]],Tabla2[Mes],0))*Compilado[[#This Row],[USD]],0)</f>
        <v>342944.76762000006</v>
      </c>
      <c r="G1351" s="150">
        <v>45870</v>
      </c>
    </row>
    <row r="1352" spans="1:7">
      <c r="A1352" t="s">
        <v>342</v>
      </c>
      <c r="B1352" t="s">
        <v>92</v>
      </c>
      <c r="C1352" s="2">
        <v>1268.625581547527</v>
      </c>
      <c r="D1352" t="s">
        <v>12</v>
      </c>
      <c r="E1352" t="str">
        <f>+INDEX(Check!$B$5:$B$33,MATCH(Compilado[[#This Row],[Items]],Check!$C$5:$C$33,0))</f>
        <v>COMBUSTIBLE Y MANTENIMIENTO</v>
      </c>
      <c r="F1352" s="69">
        <f>+IFERROR(INDEX(Tabla2[TC],MATCH(Compilado[[#This Row],[Mes]],Tabla2[Mes],0))*Compilado[[#This Row],[USD]],0)</f>
        <v>1487794.2494999999</v>
      </c>
      <c r="G1352" s="150">
        <v>45901</v>
      </c>
    </row>
    <row r="1353" spans="1:7">
      <c r="A1353" t="s">
        <v>342</v>
      </c>
      <c r="B1353" t="s">
        <v>93</v>
      </c>
      <c r="C1353" s="2">
        <v>511.53042148539902</v>
      </c>
      <c r="D1353" t="s">
        <v>12</v>
      </c>
      <c r="E1353" t="str">
        <f>+INDEX(Check!$B$5:$B$33,MATCH(Compilado[[#This Row],[Items]],Check!$C$5:$C$33,0))</f>
        <v>COMBUSTIBLE Y MANTENIMIENTO</v>
      </c>
      <c r="F1353" s="69">
        <f>+IFERROR(INDEX(Tabla2[TC],MATCH(Compilado[[#This Row],[Mes]],Tabla2[Mes],0))*Compilado[[#This Row],[USD]],0)</f>
        <v>605901.81287999987</v>
      </c>
      <c r="G1353" s="150">
        <v>45931</v>
      </c>
    </row>
    <row r="1354" spans="1:7">
      <c r="A1354" t="s">
        <v>342</v>
      </c>
      <c r="B1354" t="s">
        <v>94</v>
      </c>
      <c r="C1354" s="2">
        <v>622.06600982816531</v>
      </c>
      <c r="D1354" t="s">
        <v>12</v>
      </c>
      <c r="E1354" t="str">
        <f>+INDEX(Check!$B$5:$B$33,MATCH(Compilado[[#This Row],[Items]],Check!$C$5:$C$33,0))</f>
        <v>COMBUSTIBLE Y MANTENIMIENTO</v>
      </c>
      <c r="F1354" s="69">
        <f>+IFERROR(INDEX(Tabla2[TC],MATCH(Compilado[[#This Row],[Mes]],Tabla2[Mes],0))*Compilado[[#This Row],[USD]],0)</f>
        <v>744198.22620000003</v>
      </c>
      <c r="G1354" s="150">
        <v>45962</v>
      </c>
    </row>
    <row r="1355" spans="1:7">
      <c r="A1355" t="s">
        <v>342</v>
      </c>
      <c r="B1355" t="s">
        <v>95</v>
      </c>
      <c r="C1355" s="2">
        <v>1089.82610841665</v>
      </c>
      <c r="D1355" t="s">
        <v>12</v>
      </c>
      <c r="E1355" t="str">
        <f>+INDEX(Check!$B$5:$B$33,MATCH(Compilado[[#This Row],[Items]],Check!$C$5:$C$33,0))</f>
        <v>COMBUSTIBLE Y MANTENIMIENTO</v>
      </c>
      <c r="F1355" s="69">
        <f>+IFERROR(INDEX(Tabla2[TC],MATCH(Compilado[[#This Row],[Mes]],Tabla2[Mes],0))*Compilado[[#This Row],[USD]],0)</f>
        <v>1316833.1179900002</v>
      </c>
      <c r="G1355" s="150">
        <v>45992</v>
      </c>
    </row>
    <row r="1356" spans="1:7">
      <c r="A1356" t="s">
        <v>342</v>
      </c>
      <c r="B1356" t="s">
        <v>96</v>
      </c>
      <c r="C1356" s="2">
        <v>518.30324770779032</v>
      </c>
      <c r="D1356" t="s">
        <v>12</v>
      </c>
      <c r="E1356" t="str">
        <f>+INDEX(Check!$B$5:$B$33,MATCH(Compilado[[#This Row],[Items]],Check!$C$5:$C$33,0))</f>
        <v>COMBUSTIBLE Y MANTENIMIENTO</v>
      </c>
      <c r="F1356" s="69">
        <f>+IFERROR(INDEX(Tabla2[TC],MATCH(Compilado[[#This Row],[Mes]],Tabla2[Mes],0))*Compilado[[#This Row],[USD]],0)</f>
        <v>632526.66204000008</v>
      </c>
      <c r="G1356" s="150">
        <v>46023</v>
      </c>
    </row>
    <row r="1357" spans="1:7">
      <c r="A1357" t="s">
        <v>342</v>
      </c>
      <c r="B1357" t="s">
        <v>97</v>
      </c>
      <c r="C1357" s="2">
        <v>1379.90813417246</v>
      </c>
      <c r="D1357" t="s">
        <v>12</v>
      </c>
      <c r="E1357" t="str">
        <f>+INDEX(Check!$B$5:$B$33,MATCH(Compilado[[#This Row],[Items]],Check!$C$5:$C$33,0))</f>
        <v>COMBUSTIBLE Y MANTENIMIENTO</v>
      </c>
      <c r="F1357" s="69">
        <f>+IFERROR(INDEX(Tabla2[TC],MATCH(Compilado[[#This Row],[Mes]],Tabla2[Mes],0))*Compilado[[#This Row],[USD]],0)</f>
        <v>1700851.7249099999</v>
      </c>
      <c r="G1357" s="150">
        <v>46054</v>
      </c>
    </row>
    <row r="1358" spans="1:7">
      <c r="A1358" t="s">
        <v>342</v>
      </c>
      <c r="B1358" t="s">
        <v>98</v>
      </c>
      <c r="C1358" s="2">
        <v>246.68281828979897</v>
      </c>
      <c r="D1358" t="s">
        <v>12</v>
      </c>
      <c r="E1358" t="str">
        <f>+INDEX(Check!$B$5:$B$33,MATCH(Compilado[[#This Row],[Items]],Check!$C$5:$C$33,0))</f>
        <v>COMBUSTIBLE Y MANTENIMIENTO</v>
      </c>
      <c r="F1358" s="69">
        <f>+IFERROR(INDEX(Tabla2[TC],MATCH(Compilado[[#This Row],[Mes]],Tabla2[Mes],0))*Compilado[[#This Row],[USD]],0)</f>
        <v>307097.69402000005</v>
      </c>
      <c r="G1358" s="150">
        <v>46082</v>
      </c>
    </row>
    <row r="1359" spans="1:7">
      <c r="A1359" t="s">
        <v>342</v>
      </c>
      <c r="B1359" t="s">
        <v>99</v>
      </c>
      <c r="C1359" s="2">
        <v>1809.097372476605</v>
      </c>
      <c r="D1359" t="s">
        <v>12</v>
      </c>
      <c r="E1359" t="str">
        <f>+INDEX(Check!$B$5:$B$33,MATCH(Compilado[[#This Row],[Items]],Check!$C$5:$C$33,0))</f>
        <v>COMBUSTIBLE Y MANTENIMIENTO</v>
      </c>
      <c r="F1359" s="69">
        <f>+IFERROR(INDEX(Tabla2[TC],MATCH(Compilado[[#This Row],[Mes]],Tabla2[Mes],0))*Compilado[[#This Row],[USD]],0)</f>
        <v>2274683.4641700001</v>
      </c>
      <c r="G1359" s="150">
        <v>46113</v>
      </c>
    </row>
    <row r="1360" spans="1:7">
      <c r="A1360" t="s">
        <v>342</v>
      </c>
      <c r="B1360" t="s">
        <v>88</v>
      </c>
      <c r="C1360" s="2">
        <v>579.6250121561668</v>
      </c>
      <c r="D1360" t="s">
        <v>4</v>
      </c>
      <c r="E1360" t="str">
        <f>+INDEX(Check!$B$5:$B$33,MATCH(Compilado[[#This Row],[Items]],Check!$C$5:$C$33,0))</f>
        <v>COMBUSTIBLE Y MANTENIMIENTO</v>
      </c>
      <c r="F1360" s="69">
        <f>+IFERROR(INDEX(Tabla2[TC],MATCH(Compilado[[#This Row],[Mes]],Tabla2[Mes],0))*Compilado[[#This Row],[USD]],0)</f>
        <v>653237.38870000001</v>
      </c>
      <c r="G1360" s="150">
        <v>45778</v>
      </c>
    </row>
    <row r="1361" spans="1:7">
      <c r="A1361" t="s">
        <v>342</v>
      </c>
      <c r="B1361" t="s">
        <v>89</v>
      </c>
      <c r="C1361" s="2">
        <v>430.88015093958381</v>
      </c>
      <c r="D1361" t="s">
        <v>4</v>
      </c>
      <c r="E1361" t="str">
        <f>+INDEX(Check!$B$5:$B$33,MATCH(Compilado[[#This Row],[Items]],Check!$C$5:$C$33,0))</f>
        <v>COMBUSTIBLE Y MANTENIMIENTO</v>
      </c>
      <c r="F1361" s="69">
        <f>+IFERROR(INDEX(Tabla2[TC],MATCH(Compilado[[#This Row],[Mes]],Tabla2[Mes],0))*Compilado[[#This Row],[USD]],0)</f>
        <v>490457.94941000006</v>
      </c>
      <c r="G1361" s="150">
        <v>45809</v>
      </c>
    </row>
    <row r="1362" spans="1:7">
      <c r="A1362" t="s">
        <v>342</v>
      </c>
      <c r="B1362" t="s">
        <v>90</v>
      </c>
      <c r="C1362" s="2">
        <v>86.928806238614484</v>
      </c>
      <c r="D1362" t="s">
        <v>4</v>
      </c>
      <c r="E1362" t="str">
        <f>+INDEX(Check!$B$5:$B$33,MATCH(Compilado[[#This Row],[Items]],Check!$C$5:$C$33,0))</f>
        <v>COMBUSTIBLE Y MANTENIMIENTO</v>
      </c>
      <c r="F1362" s="69">
        <f>+IFERROR(INDEX(Tabla2[TC],MATCH(Compilado[[#This Row],[Mes]],Tabla2[Mes],0))*Compilado[[#This Row],[USD]],0)</f>
        <v>99937.936799999996</v>
      </c>
      <c r="G1362" s="150">
        <v>45839</v>
      </c>
    </row>
    <row r="1363" spans="1:7">
      <c r="A1363" t="s">
        <v>342</v>
      </c>
      <c r="B1363" t="s">
        <v>91</v>
      </c>
      <c r="C1363" s="2">
        <v>521.76680949553781</v>
      </c>
      <c r="D1363" t="s">
        <v>4</v>
      </c>
      <c r="E1363" t="str">
        <f>+INDEX(Check!$B$5:$B$33,MATCH(Compilado[[#This Row],[Items]],Check!$C$5:$C$33,0))</f>
        <v>COMBUSTIBLE Y MANTENIMIENTO</v>
      </c>
      <c r="F1363" s="69">
        <f>+IFERROR(INDEX(Tabla2[TC],MATCH(Compilado[[#This Row],[Mes]],Tabla2[Mes],0))*Compilado[[#This Row],[USD]],0)</f>
        <v>605849.1275200001</v>
      </c>
      <c r="G1363" s="150">
        <v>45870</v>
      </c>
    </row>
    <row r="1364" spans="1:7">
      <c r="A1364" t="s">
        <v>342</v>
      </c>
      <c r="B1364" t="s">
        <v>92</v>
      </c>
      <c r="C1364" s="2">
        <v>828.60823890391202</v>
      </c>
      <c r="D1364" t="s">
        <v>4</v>
      </c>
      <c r="E1364" t="str">
        <f>+INDEX(Check!$B$5:$B$33,MATCH(Compilado[[#This Row],[Items]],Check!$C$5:$C$33,0))</f>
        <v>COMBUSTIBLE Y MANTENIMIENTO</v>
      </c>
      <c r="F1364" s="69">
        <f>+IFERROR(INDEX(Tabla2[TC],MATCH(Compilado[[#This Row],[Mes]],Tabla2[Mes],0))*Compilado[[#This Row],[USD]],0)</f>
        <v>971759.19425000006</v>
      </c>
      <c r="G1364" s="150">
        <v>45901</v>
      </c>
    </row>
    <row r="1365" spans="1:7">
      <c r="A1365" t="s">
        <v>342</v>
      </c>
      <c r="B1365" t="s">
        <v>93</v>
      </c>
      <c r="C1365" s="2">
        <v>283.15307113375894</v>
      </c>
      <c r="D1365" t="s">
        <v>4</v>
      </c>
      <c r="E1365" t="str">
        <f>+INDEX(Check!$B$5:$B$33,MATCH(Compilado[[#This Row],[Items]],Check!$C$5:$C$33,0))</f>
        <v>COMBUSTIBLE Y MANTENIMIENTO</v>
      </c>
      <c r="F1365" s="69">
        <f>+IFERROR(INDEX(Tabla2[TC],MATCH(Compilado[[#This Row],[Mes]],Tabla2[Mes],0))*Compilado[[#This Row],[USD]],0)</f>
        <v>335391.50735999999</v>
      </c>
      <c r="G1365" s="150">
        <v>45931</v>
      </c>
    </row>
    <row r="1366" spans="1:7">
      <c r="A1366" t="s">
        <v>342</v>
      </c>
      <c r="B1366" t="s">
        <v>94</v>
      </c>
      <c r="C1366" s="2">
        <v>184.58801118655913</v>
      </c>
      <c r="D1366" t="s">
        <v>4</v>
      </c>
      <c r="E1366" t="str">
        <f>+INDEX(Check!$B$5:$B$33,MATCH(Compilado[[#This Row],[Items]],Check!$C$5:$C$33,0))</f>
        <v>COMBUSTIBLE Y MANTENIMIENTO</v>
      </c>
      <c r="F1366" s="69">
        <f>+IFERROR(INDEX(Tabla2[TC],MATCH(Compilado[[#This Row],[Mes]],Tabla2[Mes],0))*Compilado[[#This Row],[USD]],0)</f>
        <v>220828.76790000004</v>
      </c>
      <c r="G1366" s="150">
        <v>45962</v>
      </c>
    </row>
    <row r="1367" spans="1:7">
      <c r="A1367" t="s">
        <v>342</v>
      </c>
      <c r="B1367" t="s">
        <v>95</v>
      </c>
      <c r="C1367" s="2">
        <v>2052.2525155004246</v>
      </c>
      <c r="D1367" t="s">
        <v>4</v>
      </c>
      <c r="E1367" t="str">
        <f>+INDEX(Check!$B$5:$B$33,MATCH(Compilado[[#This Row],[Items]],Check!$C$5:$C$33,0))</f>
        <v>COMBUSTIBLE Y MANTENIMIENTO</v>
      </c>
      <c r="F1367" s="69">
        <f>+IFERROR(INDEX(Tabla2[TC],MATCH(Compilado[[#This Row],[Mes]],Tabla2[Mes],0))*Compilado[[#This Row],[USD]],0)</f>
        <v>2479729.6174300001</v>
      </c>
      <c r="G1367" s="150">
        <v>45992</v>
      </c>
    </row>
    <row r="1368" spans="1:7">
      <c r="A1368" t="s">
        <v>342</v>
      </c>
      <c r="B1368" t="s">
        <v>96</v>
      </c>
      <c r="C1368" s="2">
        <v>316.2221861229653</v>
      </c>
      <c r="D1368" t="s">
        <v>4</v>
      </c>
      <c r="E1368" t="str">
        <f>+INDEX(Check!$B$5:$B$33,MATCH(Compilado[[#This Row],[Items]],Check!$C$5:$C$33,0))</f>
        <v>COMBUSTIBLE Y MANTENIMIENTO</v>
      </c>
      <c r="F1368" s="69">
        <f>+IFERROR(INDEX(Tabla2[TC],MATCH(Compilado[[#This Row],[Mes]],Tabla2[Mes],0))*Compilado[[#This Row],[USD]],0)</f>
        <v>385911.07568000001</v>
      </c>
      <c r="G1368" s="150">
        <v>46023</v>
      </c>
    </row>
    <row r="1369" spans="1:7">
      <c r="A1369" t="s">
        <v>342</v>
      </c>
      <c r="B1369" t="s">
        <v>97</v>
      </c>
      <c r="C1369" s="2">
        <v>1535.5744496495474</v>
      </c>
      <c r="D1369" t="s">
        <v>4</v>
      </c>
      <c r="E1369" t="str">
        <f>+INDEX(Check!$B$5:$B$33,MATCH(Compilado[[#This Row],[Items]],Check!$C$5:$C$33,0))</f>
        <v>COMBUSTIBLE Y MANTENIMIENTO</v>
      </c>
      <c r="F1369" s="69">
        <f>+IFERROR(INDEX(Tabla2[TC],MATCH(Compilado[[#This Row],[Mes]],Tabla2[Mes],0))*Compilado[[#This Row],[USD]],0)</f>
        <v>1892723.4260999998</v>
      </c>
      <c r="G1369" s="150">
        <v>46054</v>
      </c>
    </row>
    <row r="1370" spans="1:7">
      <c r="A1370" t="s">
        <v>342</v>
      </c>
      <c r="B1370" t="s">
        <v>98</v>
      </c>
      <c r="C1370" s="2">
        <v>5.2941918834970245</v>
      </c>
      <c r="D1370" t="s">
        <v>4</v>
      </c>
      <c r="E1370" t="str">
        <f>+INDEX(Check!$B$5:$B$33,MATCH(Compilado[[#This Row],[Items]],Check!$C$5:$C$33,0))</f>
        <v>COMBUSTIBLE Y MANTENIMIENTO</v>
      </c>
      <c r="F1370" s="69">
        <f>+IFERROR(INDEX(Tabla2[TC],MATCH(Compilado[[#This Row],[Mes]],Tabla2[Mes],0))*Compilado[[#This Row],[USD]],0)</f>
        <v>6590.7878400000009</v>
      </c>
      <c r="G1370" s="150">
        <v>46082</v>
      </c>
    </row>
    <row r="1371" spans="1:7">
      <c r="A1371" t="s">
        <v>342</v>
      </c>
      <c r="B1371" t="s">
        <v>99</v>
      </c>
      <c r="C1371" s="2">
        <v>1213.3719566173777</v>
      </c>
      <c r="D1371" t="s">
        <v>4</v>
      </c>
      <c r="E1371" t="str">
        <f>+INDEX(Check!$B$5:$B$33,MATCH(Compilado[[#This Row],[Items]],Check!$C$5:$C$33,0))</f>
        <v>COMBUSTIBLE Y MANTENIMIENTO</v>
      </c>
      <c r="F1371" s="69">
        <f>+IFERROR(INDEX(Tabla2[TC],MATCH(Compilado[[#This Row],[Mes]],Tabla2[Mes],0))*Compilado[[#This Row],[USD]],0)</f>
        <v>1525643.21169</v>
      </c>
      <c r="G1371" s="150">
        <v>46113</v>
      </c>
    </row>
    <row r="1372" spans="1:7">
      <c r="A1372" t="s">
        <v>342</v>
      </c>
      <c r="B1372" t="s">
        <v>88</v>
      </c>
      <c r="C1372" s="2">
        <v>579.03847684117125</v>
      </c>
      <c r="D1372" t="s">
        <v>373</v>
      </c>
      <c r="E1372" t="str">
        <f>+INDEX(Check!$B$5:$B$33,MATCH(Compilado[[#This Row],[Items]],Check!$C$5:$C$33,0))</f>
        <v>COMBUSTIBLE Y MANTENIMIENTO</v>
      </c>
      <c r="F1372" s="69">
        <f>+IFERROR(INDEX(Tabla2[TC],MATCH(Compilado[[#This Row],[Mes]],Tabla2[Mes],0))*Compilado[[#This Row],[USD]],0)</f>
        <v>652576.36340000003</v>
      </c>
      <c r="G1372" s="150">
        <v>45778</v>
      </c>
    </row>
    <row r="1373" spans="1:7">
      <c r="A1373" t="s">
        <v>342</v>
      </c>
      <c r="B1373" t="s">
        <v>89</v>
      </c>
      <c r="C1373" s="2">
        <v>239.48500969892913</v>
      </c>
      <c r="D1373" t="s">
        <v>373</v>
      </c>
      <c r="E1373" t="str">
        <f>+INDEX(Check!$B$5:$B$33,MATCH(Compilado[[#This Row],[Items]],Check!$C$5:$C$33,0))</f>
        <v>COMBUSTIBLE Y MANTENIMIENTO</v>
      </c>
      <c r="F1373" s="69">
        <f>+IFERROR(INDEX(Tabla2[TC],MATCH(Compilado[[#This Row],[Mes]],Tabla2[Mes],0))*Compilado[[#This Row],[USD]],0)</f>
        <v>272598.60199000005</v>
      </c>
      <c r="G1373" s="150">
        <v>45809</v>
      </c>
    </row>
    <row r="1374" spans="1:7">
      <c r="A1374" t="s">
        <v>342</v>
      </c>
      <c r="B1374" t="s">
        <v>90</v>
      </c>
      <c r="C1374" s="2">
        <v>882.12688854642795</v>
      </c>
      <c r="D1374" t="s">
        <v>373</v>
      </c>
      <c r="E1374" t="str">
        <f>+INDEX(Check!$B$5:$B$33,MATCH(Compilado[[#This Row],[Items]],Check!$C$5:$C$33,0))</f>
        <v>COMBUSTIBLE Y MANTENIMIENTO</v>
      </c>
      <c r="F1374" s="69">
        <f>+IFERROR(INDEX(Tabla2[TC],MATCH(Compilado[[#This Row],[Mes]],Tabla2[Mes],0))*Compilado[[#This Row],[USD]],0)</f>
        <v>1014139.5591600001</v>
      </c>
      <c r="G1374" s="150">
        <v>45839</v>
      </c>
    </row>
    <row r="1375" spans="1:7">
      <c r="A1375" t="s">
        <v>342</v>
      </c>
      <c r="B1375" t="s">
        <v>91</v>
      </c>
      <c r="C1375" s="2">
        <v>198.03450503438177</v>
      </c>
      <c r="D1375" t="s">
        <v>373</v>
      </c>
      <c r="E1375" t="str">
        <f>+INDEX(Check!$B$5:$B$33,MATCH(Compilado[[#This Row],[Items]],Check!$C$5:$C$33,0))</f>
        <v>COMBUSTIBLE Y MANTENIMIENTO</v>
      </c>
      <c r="F1375" s="69">
        <f>+IFERROR(INDEX(Tabla2[TC],MATCH(Compilado[[#This Row],[Mes]],Tabla2[Mes],0))*Compilado[[#This Row],[USD]],0)</f>
        <v>229947.61244000003</v>
      </c>
      <c r="G1375" s="150">
        <v>45870</v>
      </c>
    </row>
    <row r="1376" spans="1:7">
      <c r="A1376" t="s">
        <v>342</v>
      </c>
      <c r="B1376" t="s">
        <v>92</v>
      </c>
      <c r="C1376" s="2">
        <v>1995.2183558650472</v>
      </c>
      <c r="D1376" t="s">
        <v>373</v>
      </c>
      <c r="E1376" t="str">
        <f>+INDEX(Check!$B$5:$B$33,MATCH(Compilado[[#This Row],[Items]],Check!$C$5:$C$33,0))</f>
        <v>COMBUSTIBLE Y MANTENIMIENTO</v>
      </c>
      <c r="F1376" s="69">
        <f>+IFERROR(INDEX(Tabla2[TC],MATCH(Compilado[[#This Row],[Mes]],Tabla2[Mes],0))*Compilado[[#This Row],[USD]],0)</f>
        <v>2339913.7141249999</v>
      </c>
      <c r="G1376" s="150">
        <v>45901</v>
      </c>
    </row>
    <row r="1377" spans="1:7">
      <c r="A1377" t="s">
        <v>342</v>
      </c>
      <c r="B1377" t="s">
        <v>93</v>
      </c>
      <c r="C1377" s="2">
        <v>4108.8561606463918</v>
      </c>
      <c r="D1377" t="s">
        <v>373</v>
      </c>
      <c r="E1377" t="str">
        <f>+INDEX(Check!$B$5:$B$33,MATCH(Compilado[[#This Row],[Items]],Check!$C$5:$C$33,0))</f>
        <v>COMBUSTIBLE Y MANTENIMIENTO</v>
      </c>
      <c r="F1377" s="69">
        <f>+IFERROR(INDEX(Tabla2[TC],MATCH(Compilado[[#This Row],[Mes]],Tabla2[Mes],0))*Compilado[[#This Row],[USD]],0)</f>
        <v>4866892.1573999999</v>
      </c>
      <c r="G1377" s="150">
        <v>45931</v>
      </c>
    </row>
    <row r="1378" spans="1:7">
      <c r="A1378" t="s">
        <v>342</v>
      </c>
      <c r="B1378" t="s">
        <v>94</v>
      </c>
      <c r="C1378" s="2">
        <v>1115.4539230789674</v>
      </c>
      <c r="D1378" t="s">
        <v>373</v>
      </c>
      <c r="E1378" t="str">
        <f>+INDEX(Check!$B$5:$B$33,MATCH(Compilado[[#This Row],[Items]],Check!$C$5:$C$33,0))</f>
        <v>COMBUSTIBLE Y MANTENIMIENTO</v>
      </c>
      <c r="F1378" s="69">
        <f>+IFERROR(INDEX(Tabla2[TC],MATCH(Compilado[[#This Row],[Mes]],Tabla2[Mes],0))*Compilado[[#This Row],[USD]],0)</f>
        <v>1334454.5721</v>
      </c>
      <c r="G1378" s="150">
        <v>45962</v>
      </c>
    </row>
    <row r="1379" spans="1:7">
      <c r="A1379" t="s">
        <v>342</v>
      </c>
      <c r="B1379" t="s">
        <v>95</v>
      </c>
      <c r="C1379" s="2">
        <v>4087.2827653651502</v>
      </c>
      <c r="D1379" t="s">
        <v>373</v>
      </c>
      <c r="E1379" t="str">
        <f>+INDEX(Check!$B$5:$B$33,MATCH(Compilado[[#This Row],[Items]],Check!$C$5:$C$33,0))</f>
        <v>COMBUSTIBLE Y MANTENIMIENTO</v>
      </c>
      <c r="F1379" s="69">
        <f>+IFERROR(INDEX(Tabla2[TC],MATCH(Compilado[[#This Row],[Mes]],Tabla2[Mes],0))*Compilado[[#This Row],[USD]],0)</f>
        <v>4938649.6308500003</v>
      </c>
      <c r="G1379" s="150">
        <v>45992</v>
      </c>
    </row>
    <row r="1380" spans="1:7">
      <c r="A1380" t="s">
        <v>342</v>
      </c>
      <c r="B1380" t="s">
        <v>96</v>
      </c>
      <c r="C1380" s="2">
        <v>6950.005311795373</v>
      </c>
      <c r="D1380" t="s">
        <v>373</v>
      </c>
      <c r="E1380" t="str">
        <f>+INDEX(Check!$B$5:$B$33,MATCH(Compilado[[#This Row],[Items]],Check!$C$5:$C$33,0))</f>
        <v>COMBUSTIBLE Y MANTENIMIENTO</v>
      </c>
      <c r="F1380" s="69">
        <f>+IFERROR(INDEX(Tabla2[TC],MATCH(Compilado[[#This Row],[Mes]],Tabla2[Mes],0))*Compilado[[#This Row],[USD]],0)</f>
        <v>8481644.057744002</v>
      </c>
      <c r="G1380" s="150">
        <v>46023</v>
      </c>
    </row>
    <row r="1381" spans="1:7">
      <c r="A1381" t="s">
        <v>342</v>
      </c>
      <c r="B1381" t="s">
        <v>97</v>
      </c>
      <c r="C1381" s="2">
        <v>4997.4868838596494</v>
      </c>
      <c r="D1381" t="s">
        <v>373</v>
      </c>
      <c r="E1381" t="str">
        <f>+INDEX(Check!$B$5:$B$33,MATCH(Compilado[[#This Row],[Items]],Check!$C$5:$C$33,0))</f>
        <v>COMBUSTIBLE Y MANTENIMIENTO</v>
      </c>
      <c r="F1381" s="69">
        <f>+IFERROR(INDEX(Tabla2[TC],MATCH(Compilado[[#This Row],[Mes]],Tabla2[Mes],0))*Compilado[[#This Row],[USD]],0)</f>
        <v>6159818.886584999</v>
      </c>
      <c r="G1381" s="150">
        <v>46054</v>
      </c>
    </row>
    <row r="1382" spans="1:7">
      <c r="A1382" t="s">
        <v>342</v>
      </c>
      <c r="B1382" t="s">
        <v>98</v>
      </c>
      <c r="C1382" s="2">
        <v>6226.5336072281061</v>
      </c>
      <c r="D1382" t="s">
        <v>373</v>
      </c>
      <c r="E1382" t="str">
        <f>+INDEX(Check!$B$5:$B$33,MATCH(Compilado[[#This Row],[Items]],Check!$C$5:$C$33,0))</f>
        <v>COMBUSTIBLE Y MANTENIMIENTO</v>
      </c>
      <c r="F1382" s="69">
        <f>+IFERROR(INDEX(Tabla2[TC],MATCH(Compilado[[#This Row],[Mes]],Tabla2[Mes],0))*Compilado[[#This Row],[USD]],0)</f>
        <v>7751468.5691300007</v>
      </c>
      <c r="G1382" s="150">
        <v>46082</v>
      </c>
    </row>
    <row r="1383" spans="1:7">
      <c r="A1383" t="s">
        <v>342</v>
      </c>
      <c r="B1383" t="s">
        <v>99</v>
      </c>
      <c r="C1383" s="2">
        <v>14170.620020631732</v>
      </c>
      <c r="D1383" t="s">
        <v>373</v>
      </c>
      <c r="E1383" t="str">
        <f>+INDEX(Check!$B$5:$B$33,MATCH(Compilado[[#This Row],[Items]],Check!$C$5:$C$33,0))</f>
        <v>COMBUSTIBLE Y MANTENIMIENTO</v>
      </c>
      <c r="F1383" s="69">
        <f>+IFERROR(INDEX(Tabla2[TC],MATCH(Compilado[[#This Row],[Mes]],Tabla2[Mes],0))*Compilado[[#This Row],[USD]],0)</f>
        <v>17817545.660264999</v>
      </c>
      <c r="G1383" s="150">
        <v>46113</v>
      </c>
    </row>
    <row r="1384" spans="1:7">
      <c r="A1384" t="s">
        <v>342</v>
      </c>
      <c r="B1384" t="s">
        <v>88</v>
      </c>
      <c r="C1384" s="2">
        <v>239.23235696539484</v>
      </c>
      <c r="D1384" t="s">
        <v>15</v>
      </c>
      <c r="E1384" t="str">
        <f>+INDEX(Check!$B$5:$B$33,MATCH(Compilado[[#This Row],[Items]],Check!$C$5:$C$33,0))</f>
        <v>COMBUSTIBLE Y MANTENIMIENTO</v>
      </c>
      <c r="F1384" s="69">
        <f>+IFERROR(INDEX(Tabla2[TC],MATCH(Compilado[[#This Row],[Mes]],Tabla2[Mes],0))*Compilado[[#This Row],[USD]],0)</f>
        <v>269614.86629999999</v>
      </c>
      <c r="G1384" s="150">
        <v>45778</v>
      </c>
    </row>
    <row r="1385" spans="1:7">
      <c r="A1385" t="s">
        <v>342</v>
      </c>
      <c r="B1385" t="s">
        <v>89</v>
      </c>
      <c r="C1385" s="2">
        <v>101.1068367346939</v>
      </c>
      <c r="D1385" t="s">
        <v>15</v>
      </c>
      <c r="E1385" t="str">
        <f>+INDEX(Check!$B$5:$B$33,MATCH(Compilado[[#This Row],[Items]],Check!$C$5:$C$33,0))</f>
        <v>COMBUSTIBLE Y MANTENIMIENTO</v>
      </c>
      <c r="F1385" s="69">
        <f>+IFERROR(INDEX(Tabla2[TC],MATCH(Compilado[[#This Row],[Mes]],Tabla2[Mes],0))*Compilado[[#This Row],[USD]],0)</f>
        <v>115086.87905000002</v>
      </c>
      <c r="G1385" s="150">
        <v>45809</v>
      </c>
    </row>
    <row r="1386" spans="1:7">
      <c r="A1386" t="s">
        <v>342</v>
      </c>
      <c r="B1386" t="s">
        <v>90</v>
      </c>
      <c r="C1386" s="2">
        <v>473.73931899607589</v>
      </c>
      <c r="D1386" t="s">
        <v>15</v>
      </c>
      <c r="E1386" t="str">
        <f>+INDEX(Check!$B$5:$B$33,MATCH(Compilado[[#This Row],[Items]],Check!$C$5:$C$33,0))</f>
        <v>COMBUSTIBLE Y MANTENIMIENTO</v>
      </c>
      <c r="F1386" s="69">
        <f>+IFERROR(INDEX(Tabla2[TC],MATCH(Compilado[[#This Row],[Mes]],Tabla2[Mes],0))*Compilado[[#This Row],[USD]],0)</f>
        <v>544635.68718000001</v>
      </c>
      <c r="G1386" s="150">
        <v>45839</v>
      </c>
    </row>
    <row r="1387" spans="1:7">
      <c r="A1387" t="s">
        <v>342</v>
      </c>
      <c r="B1387" t="s">
        <v>91</v>
      </c>
      <c r="C1387" s="2">
        <v>141.35291959334012</v>
      </c>
      <c r="D1387" t="s">
        <v>15</v>
      </c>
      <c r="E1387" t="str">
        <f>+INDEX(Check!$B$5:$B$33,MATCH(Compilado[[#This Row],[Items]],Check!$C$5:$C$33,0))</f>
        <v>COMBUSTIBLE Y MANTENIMIENTO</v>
      </c>
      <c r="F1387" s="69">
        <f>+IFERROR(INDEX(Tabla2[TC],MATCH(Compilado[[#This Row],[Mes]],Tabla2[Mes],0))*Compilado[[#This Row],[USD]],0)</f>
        <v>164131.83332000003</v>
      </c>
      <c r="G1387" s="150">
        <v>45870</v>
      </c>
    </row>
    <row r="1388" spans="1:7">
      <c r="A1388" t="s">
        <v>342</v>
      </c>
      <c r="B1388" t="s">
        <v>92</v>
      </c>
      <c r="C1388" s="2">
        <v>1555.9464030188874</v>
      </c>
      <c r="D1388" t="s">
        <v>15</v>
      </c>
      <c r="E1388" t="str">
        <f>+INDEX(Check!$B$5:$B$33,MATCH(Compilado[[#This Row],[Items]],Check!$C$5:$C$33,0))</f>
        <v>COMBUSTIBLE Y MANTENIMIENTO</v>
      </c>
      <c r="F1388" s="69">
        <f>+IFERROR(INDEX(Tabla2[TC],MATCH(Compilado[[#This Row],[Mes]],Tabla2[Mes],0))*Compilado[[#This Row],[USD]],0)</f>
        <v>1824752.8227500001</v>
      </c>
      <c r="G1388" s="150">
        <v>45901</v>
      </c>
    </row>
    <row r="1389" spans="1:7">
      <c r="A1389" t="s">
        <v>342</v>
      </c>
      <c r="B1389" t="s">
        <v>93</v>
      </c>
      <c r="C1389" s="2">
        <v>2088.8718314252751</v>
      </c>
      <c r="D1389" t="s">
        <v>15</v>
      </c>
      <c r="E1389" t="str">
        <f>+INDEX(Check!$B$5:$B$33,MATCH(Compilado[[#This Row],[Items]],Check!$C$5:$C$33,0))</f>
        <v>COMBUSTIBLE Y MANTENIMIENTO</v>
      </c>
      <c r="F1389" s="69">
        <f>+IFERROR(INDEX(Tabla2[TC],MATCH(Compilado[[#This Row],[Mes]],Tabla2[Mes],0))*Compilado[[#This Row],[USD]],0)</f>
        <v>2474244.2997999997</v>
      </c>
      <c r="G1389" s="150">
        <v>45931</v>
      </c>
    </row>
    <row r="1390" spans="1:7">
      <c r="A1390" t="s">
        <v>342</v>
      </c>
      <c r="B1390" t="s">
        <v>94</v>
      </c>
      <c r="C1390" s="2">
        <v>470.85164084710857</v>
      </c>
      <c r="D1390" t="s">
        <v>15</v>
      </c>
      <c r="E1390" t="str">
        <f>+INDEX(Check!$B$5:$B$33,MATCH(Compilado[[#This Row],[Items]],Check!$C$5:$C$33,0))</f>
        <v>COMBUSTIBLE Y MANTENIMIENTO</v>
      </c>
      <c r="F1390" s="69">
        <f>+IFERROR(INDEX(Tabla2[TC],MATCH(Compilado[[#This Row],[Mes]],Tabla2[Mes],0))*Compilado[[#This Row],[USD]],0)</f>
        <v>563295.45480000007</v>
      </c>
      <c r="G1390" s="150">
        <v>45962</v>
      </c>
    </row>
    <row r="1391" spans="1:7">
      <c r="A1391" t="s">
        <v>342</v>
      </c>
      <c r="B1391" t="s">
        <v>95</v>
      </c>
      <c r="C1391" s="2">
        <v>1717.6260359944581</v>
      </c>
      <c r="D1391" t="s">
        <v>15</v>
      </c>
      <c r="E1391" t="str">
        <f>+INDEX(Check!$B$5:$B$33,MATCH(Compilado[[#This Row],[Items]],Check!$C$5:$C$33,0))</f>
        <v>COMBUSTIBLE Y MANTENIMIENTO</v>
      </c>
      <c r="F1391" s="69">
        <f>+IFERROR(INDEX(Tabla2[TC],MATCH(Compilado[[#This Row],[Mes]],Tabla2[Mes],0))*Compilado[[#This Row],[USD]],0)</f>
        <v>2075401.5994400003</v>
      </c>
      <c r="G1391" s="150">
        <v>45992</v>
      </c>
    </row>
    <row r="1392" spans="1:7">
      <c r="A1392" t="s">
        <v>342</v>
      </c>
      <c r="B1392" t="s">
        <v>96</v>
      </c>
      <c r="C1392" s="2">
        <v>12870.177828899356</v>
      </c>
      <c r="D1392" t="s">
        <v>15</v>
      </c>
      <c r="E1392" t="str">
        <f>+INDEX(Check!$B$5:$B$33,MATCH(Compilado[[#This Row],[Items]],Check!$C$5:$C$33,0))</f>
        <v>COMBUSTIBLE Y MANTENIMIENTO</v>
      </c>
      <c r="F1392" s="69">
        <f>+IFERROR(INDEX(Tabla2[TC],MATCH(Compilado[[#This Row],[Mes]],Tabla2[Mes],0))*Compilado[[#This Row],[USD]],0)</f>
        <v>15706501.27696</v>
      </c>
      <c r="G1392" s="150">
        <v>46023</v>
      </c>
    </row>
    <row r="1393" spans="1:7">
      <c r="A1393" t="s">
        <v>342</v>
      </c>
      <c r="B1393" t="s">
        <v>97</v>
      </c>
      <c r="C1393" s="2">
        <v>226.09975815550715</v>
      </c>
      <c r="D1393" t="s">
        <v>15</v>
      </c>
      <c r="E1393" t="str">
        <f>+INDEX(Check!$B$5:$B$33,MATCH(Compilado[[#This Row],[Items]],Check!$C$5:$C$33,0))</f>
        <v>COMBUSTIBLE Y MANTENIMIENTO</v>
      </c>
      <c r="F1393" s="69">
        <f>+IFERROR(INDEX(Tabla2[TC],MATCH(Compilado[[#This Row],[Mes]],Tabla2[Mes],0))*Compilado[[#This Row],[USD]],0)</f>
        <v>278686.78655999998</v>
      </c>
      <c r="G1393" s="150">
        <v>46054</v>
      </c>
    </row>
    <row r="1394" spans="1:7">
      <c r="A1394" t="s">
        <v>342</v>
      </c>
      <c r="B1394" t="s">
        <v>98</v>
      </c>
      <c r="C1394" s="2">
        <v>69.890685906443352</v>
      </c>
      <c r="D1394" t="s">
        <v>15</v>
      </c>
      <c r="E1394" t="str">
        <f>+INDEX(Check!$B$5:$B$33,MATCH(Compilado[[#This Row],[Items]],Check!$C$5:$C$33,0))</f>
        <v>COMBUSTIBLE Y MANTENIMIENTO</v>
      </c>
      <c r="F1394" s="69">
        <f>+IFERROR(INDEX(Tabla2[TC],MATCH(Compilado[[#This Row],[Mes]],Tabla2[Mes],0))*Compilado[[#This Row],[USD]],0)</f>
        <v>87007.553360000005</v>
      </c>
      <c r="G1394" s="150">
        <v>46082</v>
      </c>
    </row>
    <row r="1395" spans="1:7">
      <c r="A1395" t="s">
        <v>342</v>
      </c>
      <c r="B1395" t="s">
        <v>99</v>
      </c>
      <c r="C1395" s="2">
        <v>8650.2986983326264</v>
      </c>
      <c r="D1395" t="s">
        <v>15</v>
      </c>
      <c r="E1395" t="str">
        <f>+INDEX(Check!$B$5:$B$33,MATCH(Compilado[[#This Row],[Items]],Check!$C$5:$C$33,0))</f>
        <v>COMBUSTIBLE Y MANTENIMIENTO</v>
      </c>
      <c r="F1395" s="69">
        <f>+IFERROR(INDEX(Tabla2[TC],MATCH(Compilado[[#This Row],[Mes]],Tabla2[Mes],0))*Compilado[[#This Row],[USD]],0)</f>
        <v>10876524.231689999</v>
      </c>
      <c r="G1395" s="150">
        <v>46113</v>
      </c>
    </row>
    <row r="1396" spans="1:7">
      <c r="A1396" t="s">
        <v>341</v>
      </c>
      <c r="B1396" t="s">
        <v>88</v>
      </c>
      <c r="C1396" s="2">
        <v>2599.4046230700974</v>
      </c>
      <c r="D1396" t="s">
        <v>8</v>
      </c>
      <c r="E1396" t="str">
        <f>+INDEX(Check!$B$5:$B$33,MATCH(Compilado[[#This Row],[Items]],Check!$C$5:$C$33,0))</f>
        <v>COMBUSTIBLE Y MANTENIMIENTO</v>
      </c>
      <c r="F1396" s="69">
        <f>+IFERROR(INDEX(Tabla2[TC],MATCH(Compilado[[#This Row],[Mes]],Tabla2[Mes],0))*Compilado[[#This Row],[USD]],0)</f>
        <v>2929529.0101999999</v>
      </c>
      <c r="G1396" s="150">
        <v>45778</v>
      </c>
    </row>
    <row r="1397" spans="1:7">
      <c r="A1397" t="s">
        <v>341</v>
      </c>
      <c r="B1397" t="s">
        <v>89</v>
      </c>
      <c r="C1397" s="2">
        <v>320.51145645584972</v>
      </c>
      <c r="D1397" t="s">
        <v>8</v>
      </c>
      <c r="E1397" t="str">
        <f>+INDEX(Check!$B$5:$B$33,MATCH(Compilado[[#This Row],[Items]],Check!$C$5:$C$33,0))</f>
        <v>COMBUSTIBLE Y MANTENIMIENTO</v>
      </c>
      <c r="F1397" s="69">
        <f>+IFERROR(INDEX(Tabla2[TC],MATCH(Compilado[[#This Row],[Mes]],Tabla2[Mes],0))*Compilado[[#This Row],[USD]],0)</f>
        <v>364828.57554000005</v>
      </c>
      <c r="G1397" s="150">
        <v>45809</v>
      </c>
    </row>
    <row r="1398" spans="1:7">
      <c r="A1398" t="s">
        <v>341</v>
      </c>
      <c r="B1398" t="s">
        <v>90</v>
      </c>
      <c r="C1398" s="2">
        <v>349.28099367748189</v>
      </c>
      <c r="D1398" t="s">
        <v>8</v>
      </c>
      <c r="E1398" t="str">
        <f>+INDEX(Check!$B$5:$B$33,MATCH(Compilado[[#This Row],[Items]],Check!$C$5:$C$33,0))</f>
        <v>COMBUSTIBLE Y MANTENIMIENTO</v>
      </c>
      <c r="F1398" s="69">
        <f>+IFERROR(INDEX(Tabla2[TC],MATCH(Compilado[[#This Row],[Mes]],Tabla2[Mes],0))*Compilado[[#This Row],[USD]],0)</f>
        <v>401551.83744000003</v>
      </c>
      <c r="G1398" s="150">
        <v>45839</v>
      </c>
    </row>
    <row r="1399" spans="1:7">
      <c r="A1399" t="s">
        <v>341</v>
      </c>
      <c r="B1399" t="s">
        <v>91</v>
      </c>
      <c r="C1399" s="2">
        <v>650.71296821351632</v>
      </c>
      <c r="D1399" t="s">
        <v>8</v>
      </c>
      <c r="E1399" t="str">
        <f>+INDEX(Check!$B$5:$B$33,MATCH(Compilado[[#This Row],[Items]],Check!$C$5:$C$33,0))</f>
        <v>COMBUSTIBLE Y MANTENIMIENTO</v>
      </c>
      <c r="F1399" s="69">
        <f>+IFERROR(INDEX(Tabla2[TC],MATCH(Compilado[[#This Row],[Mes]],Tabla2[Mes],0))*Compilado[[#This Row],[USD]],0)</f>
        <v>755574.86004000017</v>
      </c>
      <c r="G1399" s="150">
        <v>45870</v>
      </c>
    </row>
    <row r="1400" spans="1:7">
      <c r="A1400" t="s">
        <v>341</v>
      </c>
      <c r="B1400" t="s">
        <v>92</v>
      </c>
      <c r="C1400" s="2">
        <v>156.76921961066492</v>
      </c>
      <c r="D1400" t="s">
        <v>8</v>
      </c>
      <c r="E1400" t="str">
        <f>+INDEX(Check!$B$5:$B$33,MATCH(Compilado[[#This Row],[Items]],Check!$C$5:$C$33,0))</f>
        <v>COMBUSTIBLE Y MANTENIMIENTO</v>
      </c>
      <c r="F1400" s="69">
        <f>+IFERROR(INDEX(Tabla2[TC],MATCH(Compilado[[#This Row],[Mes]],Tabla2[Mes],0))*Compilado[[#This Row],[USD]],0)</f>
        <v>183852.78275000001</v>
      </c>
      <c r="G1400" s="150">
        <v>45901</v>
      </c>
    </row>
    <row r="1401" spans="1:7">
      <c r="A1401" t="s">
        <v>341</v>
      </c>
      <c r="B1401" t="s">
        <v>93</v>
      </c>
      <c r="C1401" s="2">
        <v>1889.529346299116</v>
      </c>
      <c r="D1401" t="s">
        <v>8</v>
      </c>
      <c r="E1401" t="str">
        <f>+INDEX(Check!$B$5:$B$33,MATCH(Compilado[[#This Row],[Items]],Check!$C$5:$C$33,0))</f>
        <v>COMBUSTIBLE Y MANTENIMIENTO</v>
      </c>
      <c r="F1401" s="69">
        <f>+IFERROR(INDEX(Tabla2[TC],MATCH(Compilado[[#This Row],[Mes]],Tabla2[Mes],0))*Compilado[[#This Row],[USD]],0)</f>
        <v>2238125.4531999999</v>
      </c>
      <c r="G1401" s="150">
        <v>45931</v>
      </c>
    </row>
    <row r="1402" spans="1:7">
      <c r="A1402" t="s">
        <v>341</v>
      </c>
      <c r="B1402" t="s">
        <v>94</v>
      </c>
      <c r="C1402" s="2">
        <v>158.00831094798798</v>
      </c>
      <c r="D1402" t="s">
        <v>8</v>
      </c>
      <c r="E1402" t="str">
        <f>+INDEX(Check!$B$5:$B$33,MATCH(Compilado[[#This Row],[Items]],Check!$C$5:$C$33,0))</f>
        <v>COMBUSTIBLE Y MANTENIMIENTO</v>
      </c>
      <c r="F1402" s="69">
        <f>+IFERROR(INDEX(Tabla2[TC],MATCH(Compilado[[#This Row],[Mes]],Tabla2[Mes],0))*Compilado[[#This Row],[USD]],0)</f>
        <v>189030.58980000002</v>
      </c>
      <c r="G1402" s="150">
        <v>45962</v>
      </c>
    </row>
    <row r="1403" spans="1:7">
      <c r="A1403" t="s">
        <v>341</v>
      </c>
      <c r="B1403" t="s">
        <v>95</v>
      </c>
      <c r="C1403" s="2">
        <v>696.89078936570729</v>
      </c>
      <c r="D1403" t="s">
        <v>8</v>
      </c>
      <c r="E1403" t="str">
        <f>+INDEX(Check!$B$5:$B$33,MATCH(Compilado[[#This Row],[Items]],Check!$C$5:$C$33,0))</f>
        <v>COMBUSTIBLE Y MANTENIMIENTO</v>
      </c>
      <c r="F1403" s="69">
        <f>+IFERROR(INDEX(Tabla2[TC],MATCH(Compilado[[#This Row],[Mes]],Tabla2[Mes],0))*Compilado[[#This Row],[USD]],0)</f>
        <v>842050.73082000006</v>
      </c>
      <c r="G1403" s="150">
        <v>45992</v>
      </c>
    </row>
    <row r="1404" spans="1:7">
      <c r="A1404" t="s">
        <v>341</v>
      </c>
      <c r="B1404" t="s">
        <v>96</v>
      </c>
      <c r="C1404" s="2">
        <v>1746.6974359606493</v>
      </c>
      <c r="D1404" t="s">
        <v>8</v>
      </c>
      <c r="E1404" t="str">
        <f>+INDEX(Check!$B$5:$B$33,MATCH(Compilado[[#This Row],[Items]],Check!$C$5:$C$33,0))</f>
        <v>COMBUSTIBLE Y MANTENIMIENTO</v>
      </c>
      <c r="F1404" s="69">
        <f>+IFERROR(INDEX(Tabla2[TC],MATCH(Compilado[[#This Row],[Mes]],Tabla2[Mes],0))*Compilado[[#This Row],[USD]],0)</f>
        <v>2131633.7562000002</v>
      </c>
      <c r="G1404" s="150">
        <v>46023</v>
      </c>
    </row>
    <row r="1405" spans="1:7">
      <c r="A1405" t="s">
        <v>341</v>
      </c>
      <c r="B1405" t="s">
        <v>97</v>
      </c>
      <c r="C1405" s="2">
        <v>377.34491286417955</v>
      </c>
      <c r="D1405" t="s">
        <v>8</v>
      </c>
      <c r="E1405" t="str">
        <f>+INDEX(Check!$B$5:$B$33,MATCH(Compilado[[#This Row],[Items]],Check!$C$5:$C$33,0))</f>
        <v>COMBUSTIBLE Y MANTENIMIENTO</v>
      </c>
      <c r="F1405" s="69">
        <f>+IFERROR(INDEX(Tabla2[TC],MATCH(Compilado[[#This Row],[Mes]],Tabla2[Mes],0))*Compilado[[#This Row],[USD]],0)</f>
        <v>465109.03881000006</v>
      </c>
      <c r="G1405" s="150">
        <v>46054</v>
      </c>
    </row>
    <row r="1406" spans="1:7">
      <c r="A1406" t="s">
        <v>341</v>
      </c>
      <c r="B1406" t="s">
        <v>98</v>
      </c>
      <c r="C1406" s="2">
        <v>1160.706926973578</v>
      </c>
      <c r="D1406" t="s">
        <v>8</v>
      </c>
      <c r="E1406" t="str">
        <f>+INDEX(Check!$B$5:$B$33,MATCH(Compilado[[#This Row],[Items]],Check!$C$5:$C$33,0))</f>
        <v>COMBUSTIBLE Y MANTENIMIENTO</v>
      </c>
      <c r="F1406" s="69">
        <f>+IFERROR(INDEX(Tabla2[TC],MATCH(Compilado[[#This Row],[Mes]],Tabla2[Mes],0))*Compilado[[#This Row],[USD]],0)</f>
        <v>1444974.6568400001</v>
      </c>
      <c r="G1406" s="150">
        <v>46082</v>
      </c>
    </row>
    <row r="1407" spans="1:7">
      <c r="A1407" t="s">
        <v>341</v>
      </c>
      <c r="B1407" t="s">
        <v>99</v>
      </c>
      <c r="C1407" s="2">
        <v>2230.9561715362715</v>
      </c>
      <c r="D1407" t="s">
        <v>8</v>
      </c>
      <c r="E1407" t="str">
        <f>+INDEX(Check!$B$5:$B$33,MATCH(Compilado[[#This Row],[Items]],Check!$C$5:$C$33,0))</f>
        <v>COMBUSTIBLE Y MANTENIMIENTO</v>
      </c>
      <c r="F1407" s="69">
        <f>+IFERROR(INDEX(Tabla2[TC],MATCH(Compilado[[#This Row],[Mes]],Tabla2[Mes],0))*Compilado[[#This Row],[USD]],0)</f>
        <v>2805111.0956699997</v>
      </c>
      <c r="G1407" s="150">
        <v>46113</v>
      </c>
    </row>
    <row r="1408" spans="1:7">
      <c r="A1408" t="s">
        <v>341</v>
      </c>
      <c r="B1408" t="s">
        <v>88</v>
      </c>
      <c r="C1408" s="2">
        <v>1341.7565409937888</v>
      </c>
      <c r="D1408" t="s">
        <v>12</v>
      </c>
      <c r="E1408" t="str">
        <f>+INDEX(Check!$B$5:$B$33,MATCH(Compilado[[#This Row],[Items]],Check!$C$5:$C$33,0))</f>
        <v>COMBUSTIBLE Y MANTENIMIENTO</v>
      </c>
      <c r="F1408" s="69">
        <f>+IFERROR(INDEX(Tabla2[TC],MATCH(Compilado[[#This Row],[Mes]],Tabla2[Mes],0))*Compilado[[#This Row],[USD]],0)</f>
        <v>1512159.6217</v>
      </c>
      <c r="G1408" s="150">
        <v>45778</v>
      </c>
    </row>
    <row r="1409" spans="1:7">
      <c r="A1409" t="s">
        <v>341</v>
      </c>
      <c r="B1409" t="s">
        <v>89</v>
      </c>
      <c r="C1409" s="2">
        <v>401.05810628409785</v>
      </c>
      <c r="D1409" t="s">
        <v>12</v>
      </c>
      <c r="E1409" t="str">
        <f>+INDEX(Check!$B$5:$B$33,MATCH(Compilado[[#This Row],[Items]],Check!$C$5:$C$33,0))</f>
        <v>COMBUSTIBLE Y MANTENIMIENTO</v>
      </c>
      <c r="F1409" s="69">
        <f>+IFERROR(INDEX(Tabla2[TC],MATCH(Compilado[[#This Row],[Mes]],Tabla2[Mes],0))*Compilado[[#This Row],[USD]],0)</f>
        <v>456512.41064000007</v>
      </c>
      <c r="G1409" s="150">
        <v>45809</v>
      </c>
    </row>
    <row r="1410" spans="1:7">
      <c r="A1410" t="s">
        <v>341</v>
      </c>
      <c r="B1410" t="s">
        <v>90</v>
      </c>
      <c r="C1410" s="2">
        <v>168.45499433002678</v>
      </c>
      <c r="D1410" t="s">
        <v>12</v>
      </c>
      <c r="E1410" t="str">
        <f>+INDEX(Check!$B$5:$B$33,MATCH(Compilado[[#This Row],[Items]],Check!$C$5:$C$33,0))</f>
        <v>COMBUSTIBLE Y MANTENIMIENTO</v>
      </c>
      <c r="F1410" s="69">
        <f>+IFERROR(INDEX(Tabla2[TC],MATCH(Compilado[[#This Row],[Mes]],Tabla2[Mes],0))*Compilado[[#This Row],[USD]],0)</f>
        <v>193664.73905999999</v>
      </c>
      <c r="G1410" s="150">
        <v>45839</v>
      </c>
    </row>
    <row r="1411" spans="1:7">
      <c r="A1411" t="s">
        <v>341</v>
      </c>
      <c r="B1411" t="s">
        <v>91</v>
      </c>
      <c r="C1411" s="2">
        <v>33.631699175217207</v>
      </c>
      <c r="D1411" t="s">
        <v>12</v>
      </c>
      <c r="E1411" t="str">
        <f>+INDEX(Check!$B$5:$B$33,MATCH(Compilado[[#This Row],[Items]],Check!$C$5:$C$33,0))</f>
        <v>COMBUSTIBLE Y MANTENIMIENTO</v>
      </c>
      <c r="F1411" s="69">
        <f>+IFERROR(INDEX(Tabla2[TC],MATCH(Compilado[[#This Row],[Mes]],Tabla2[Mes],0))*Compilado[[#This Row],[USD]],0)</f>
        <v>39051.421500000004</v>
      </c>
      <c r="G1411" s="150">
        <v>45870</v>
      </c>
    </row>
    <row r="1412" spans="1:7">
      <c r="A1412" t="s">
        <v>341</v>
      </c>
      <c r="B1412" t="s">
        <v>92</v>
      </c>
      <c r="C1412" s="2">
        <v>55.347765902667561</v>
      </c>
      <c r="D1412" t="s">
        <v>12</v>
      </c>
      <c r="E1412" t="str">
        <f>+INDEX(Check!$B$5:$B$33,MATCH(Compilado[[#This Row],[Items]],Check!$C$5:$C$33,0))</f>
        <v>COMBUSTIBLE Y MANTENIMIENTO</v>
      </c>
      <c r="F1412" s="69">
        <f>+IFERROR(INDEX(Tabla2[TC],MATCH(Compilado[[#This Row],[Mes]],Tabla2[Mes],0))*Compilado[[#This Row],[USD]],0)</f>
        <v>64909.685750000004</v>
      </c>
      <c r="G1412" s="150">
        <v>45901</v>
      </c>
    </row>
    <row r="1413" spans="1:7">
      <c r="A1413" t="s">
        <v>341</v>
      </c>
      <c r="B1413" t="s">
        <v>93</v>
      </c>
      <c r="C1413" s="2">
        <v>1095.718156240411</v>
      </c>
      <c r="D1413" t="s">
        <v>12</v>
      </c>
      <c r="E1413" t="str">
        <f>+INDEX(Check!$B$5:$B$33,MATCH(Compilado[[#This Row],[Items]],Check!$C$5:$C$33,0))</f>
        <v>COMBUSTIBLE Y MANTENIMIENTO</v>
      </c>
      <c r="F1413" s="69">
        <f>+IFERROR(INDEX(Tabla2[TC],MATCH(Compilado[[#This Row],[Mes]],Tabla2[Mes],0))*Compilado[[#This Row],[USD]],0)</f>
        <v>1297865.3651599998</v>
      </c>
      <c r="G1413" s="150">
        <v>45931</v>
      </c>
    </row>
    <row r="1414" spans="1:7">
      <c r="A1414" t="s">
        <v>341</v>
      </c>
      <c r="B1414" t="s">
        <v>94</v>
      </c>
      <c r="C1414" s="2">
        <v>97.123382394845436</v>
      </c>
      <c r="D1414" t="s">
        <v>12</v>
      </c>
      <c r="E1414" t="str">
        <f>+INDEX(Check!$B$5:$B$33,MATCH(Compilado[[#This Row],[Items]],Check!$C$5:$C$33,0))</f>
        <v>COMBUSTIBLE Y MANTENIMIENTO</v>
      </c>
      <c r="F1414" s="69">
        <f>+IFERROR(INDEX(Tabla2[TC],MATCH(Compilado[[#This Row],[Mes]],Tabla2[Mes],0))*Compilado[[#This Row],[USD]],0)</f>
        <v>116191.92780000002</v>
      </c>
      <c r="G1414" s="150">
        <v>45962</v>
      </c>
    </row>
    <row r="1415" spans="1:7">
      <c r="A1415" t="s">
        <v>341</v>
      </c>
      <c r="B1415" t="s">
        <v>95</v>
      </c>
      <c r="C1415" s="2">
        <v>416.1868013961419</v>
      </c>
      <c r="D1415" t="s">
        <v>12</v>
      </c>
      <c r="E1415" t="str">
        <f>+INDEX(Check!$B$5:$B$33,MATCH(Compilado[[#This Row],[Items]],Check!$C$5:$C$33,0))</f>
        <v>COMBUSTIBLE Y MANTENIMIENTO</v>
      </c>
      <c r="F1415" s="69">
        <f>+IFERROR(INDEX(Tabla2[TC],MATCH(Compilado[[#This Row],[Mes]],Tabla2[Mes],0))*Compilado[[#This Row],[USD]],0)</f>
        <v>502877.07287999999</v>
      </c>
      <c r="G1415" s="150">
        <v>45992</v>
      </c>
    </row>
    <row r="1416" spans="1:7">
      <c r="A1416" t="s">
        <v>341</v>
      </c>
      <c r="B1416" t="s">
        <v>96</v>
      </c>
      <c r="C1416" s="2">
        <v>716.85681361241836</v>
      </c>
      <c r="D1416" t="s">
        <v>12</v>
      </c>
      <c r="E1416" t="str">
        <f>+INDEX(Check!$B$5:$B$33,MATCH(Compilado[[#This Row],[Items]],Check!$C$5:$C$33,0))</f>
        <v>COMBUSTIBLE Y MANTENIMIENTO</v>
      </c>
      <c r="F1416" s="69">
        <f>+IFERROR(INDEX(Tabla2[TC],MATCH(Compilado[[#This Row],[Mes]],Tabla2[Mes],0))*Compilado[[#This Row],[USD]],0)</f>
        <v>874837.36496000004</v>
      </c>
      <c r="G1416" s="150">
        <v>46023</v>
      </c>
    </row>
    <row r="1417" spans="1:7">
      <c r="A1417" t="s">
        <v>341</v>
      </c>
      <c r="B1417" t="s">
        <v>97</v>
      </c>
      <c r="C1417" s="2">
        <v>80.286425602322268</v>
      </c>
      <c r="D1417" t="s">
        <v>12</v>
      </c>
      <c r="E1417" t="str">
        <f>+INDEX(Check!$B$5:$B$33,MATCH(Compilado[[#This Row],[Items]],Check!$C$5:$C$33,0))</f>
        <v>COMBUSTIBLE Y MANTENIMIENTO</v>
      </c>
      <c r="F1417" s="69">
        <f>+IFERROR(INDEX(Tabla2[TC],MATCH(Compilado[[#This Row],[Mes]],Tabla2[Mes],0))*Compilado[[#This Row],[USD]],0)</f>
        <v>98959.707600000009</v>
      </c>
      <c r="G1417" s="150">
        <v>46054</v>
      </c>
    </row>
    <row r="1418" spans="1:7">
      <c r="A1418" t="s">
        <v>341</v>
      </c>
      <c r="B1418" t="s">
        <v>98</v>
      </c>
      <c r="C1418" s="2">
        <v>338.50789790006621</v>
      </c>
      <c r="D1418" t="s">
        <v>12</v>
      </c>
      <c r="E1418" t="str">
        <f>+INDEX(Check!$B$5:$B$33,MATCH(Compilado[[#This Row],[Items]],Check!$C$5:$C$33,0))</f>
        <v>COMBUSTIBLE Y MANTENIMIENTO</v>
      </c>
      <c r="F1418" s="69">
        <f>+IFERROR(INDEX(Tabla2[TC],MATCH(Compilado[[#This Row],[Mes]],Tabla2[Mes],0))*Compilado[[#This Row],[USD]],0)</f>
        <v>421411.57448000007</v>
      </c>
      <c r="G1418" s="150">
        <v>46082</v>
      </c>
    </row>
    <row r="1419" spans="1:7">
      <c r="A1419" t="s">
        <v>341</v>
      </c>
      <c r="B1419" t="s">
        <v>99</v>
      </c>
      <c r="C1419" s="2">
        <v>1583.3677656590187</v>
      </c>
      <c r="D1419" t="s">
        <v>12</v>
      </c>
      <c r="E1419" t="str">
        <f>+INDEX(Check!$B$5:$B$33,MATCH(Compilado[[#This Row],[Items]],Check!$C$5:$C$33,0))</f>
        <v>COMBUSTIBLE Y MANTENIMIENTO</v>
      </c>
      <c r="F1419" s="69">
        <f>+IFERROR(INDEX(Tabla2[TC],MATCH(Compilado[[#This Row],[Mes]],Tabla2[Mes],0))*Compilado[[#This Row],[USD]],0)</f>
        <v>1990860.4860299998</v>
      </c>
      <c r="G1419" s="150">
        <v>46113</v>
      </c>
    </row>
    <row r="1420" spans="1:7">
      <c r="A1420" t="s">
        <v>341</v>
      </c>
      <c r="B1420" t="s">
        <v>88</v>
      </c>
      <c r="C1420" s="2">
        <v>929.14363966282156</v>
      </c>
      <c r="D1420" t="s">
        <v>4</v>
      </c>
      <c r="E1420" t="str">
        <f>+INDEX(Check!$B$5:$B$33,MATCH(Compilado[[#This Row],[Items]],Check!$C$5:$C$33,0))</f>
        <v>COMBUSTIBLE Y MANTENIMIENTO</v>
      </c>
      <c r="F1420" s="69">
        <f>+IFERROR(INDEX(Tabla2[TC],MATCH(Compilado[[#This Row],[Mes]],Tabla2[Mes],0))*Compilado[[#This Row],[USD]],0)</f>
        <v>1047144.8818999999</v>
      </c>
      <c r="G1420" s="150">
        <v>45778</v>
      </c>
    </row>
    <row r="1421" spans="1:7">
      <c r="A1421" t="s">
        <v>341</v>
      </c>
      <c r="B1421" t="s">
        <v>89</v>
      </c>
      <c r="C1421" s="2">
        <v>178.13971448777534</v>
      </c>
      <c r="D1421" t="s">
        <v>4</v>
      </c>
      <c r="E1421" t="str">
        <f>+INDEX(Check!$B$5:$B$33,MATCH(Compilado[[#This Row],[Items]],Check!$C$5:$C$33,0))</f>
        <v>COMBUSTIBLE Y MANTENIMIENTO</v>
      </c>
      <c r="F1421" s="69">
        <f>+IFERROR(INDEX(Tabla2[TC],MATCH(Compilado[[#This Row],[Mes]],Tabla2[Mes],0))*Compilado[[#This Row],[USD]],0)</f>
        <v>202771.09281000003</v>
      </c>
      <c r="G1421" s="150">
        <v>45809</v>
      </c>
    </row>
    <row r="1422" spans="1:7">
      <c r="A1422" t="s">
        <v>341</v>
      </c>
      <c r="B1422" t="s">
        <v>90</v>
      </c>
      <c r="C1422" s="2">
        <v>112.19353479533429</v>
      </c>
      <c r="D1422" t="s">
        <v>4</v>
      </c>
      <c r="E1422" t="str">
        <f>+INDEX(Check!$B$5:$B$33,MATCH(Compilado[[#This Row],[Items]],Check!$C$5:$C$33,0))</f>
        <v>COMBUSTIBLE Y MANTENIMIENTO</v>
      </c>
      <c r="F1422" s="69">
        <f>+IFERROR(INDEX(Tabla2[TC],MATCH(Compilado[[#This Row],[Mes]],Tabla2[Mes],0))*Compilado[[#This Row],[USD]],0)</f>
        <v>128983.60020000002</v>
      </c>
      <c r="G1422" s="150">
        <v>45839</v>
      </c>
    </row>
    <row r="1423" spans="1:7">
      <c r="A1423" t="s">
        <v>341</v>
      </c>
      <c r="B1423" t="s">
        <v>91</v>
      </c>
      <c r="C1423" s="2">
        <v>985.62578392863202</v>
      </c>
      <c r="D1423" t="s">
        <v>4</v>
      </c>
      <c r="E1423" t="str">
        <f>+INDEX(Check!$B$5:$B$33,MATCH(Compilado[[#This Row],[Items]],Check!$C$5:$C$33,0))</f>
        <v>COMBUSTIBLE Y MANTENIMIENTO</v>
      </c>
      <c r="F1423" s="69">
        <f>+IFERROR(INDEX(Tabla2[TC],MATCH(Compilado[[#This Row],[Mes]],Tabla2[Mes],0))*Compilado[[#This Row],[USD]],0)</f>
        <v>1144458.6171200003</v>
      </c>
      <c r="G1423" s="150">
        <v>45870</v>
      </c>
    </row>
    <row r="1424" spans="1:7">
      <c r="A1424" t="s">
        <v>341</v>
      </c>
      <c r="B1424" t="s">
        <v>92</v>
      </c>
      <c r="C1424" s="2">
        <v>37.300976687921221</v>
      </c>
      <c r="D1424" t="s">
        <v>4</v>
      </c>
      <c r="E1424" t="str">
        <f>+INDEX(Check!$B$5:$B$33,MATCH(Compilado[[#This Row],[Items]],Check!$C$5:$C$33,0))</f>
        <v>COMBUSTIBLE Y MANTENIMIENTO</v>
      </c>
      <c r="F1424" s="69">
        <f>+IFERROR(INDEX(Tabla2[TC],MATCH(Compilado[[#This Row],[Mes]],Tabla2[Mes],0))*Compilado[[#This Row],[USD]],0)</f>
        <v>43745.12025</v>
      </c>
      <c r="G1424" s="150">
        <v>45901</v>
      </c>
    </row>
    <row r="1425" spans="1:7">
      <c r="A1425" t="s">
        <v>341</v>
      </c>
      <c r="B1425" t="s">
        <v>93</v>
      </c>
      <c r="C1425" s="2">
        <v>640.08341882453749</v>
      </c>
      <c r="D1425" t="s">
        <v>4</v>
      </c>
      <c r="E1425" t="str">
        <f>+INDEX(Check!$B$5:$B$33,MATCH(Compilado[[#This Row],[Items]],Check!$C$5:$C$33,0))</f>
        <v>COMBUSTIBLE Y MANTENIMIENTO</v>
      </c>
      <c r="F1425" s="69">
        <f>+IFERROR(INDEX(Tabla2[TC],MATCH(Compilado[[#This Row],[Mes]],Tabla2[Mes],0))*Compilado[[#This Row],[USD]],0)</f>
        <v>758171.33756000001</v>
      </c>
      <c r="G1425" s="150">
        <v>45931</v>
      </c>
    </row>
    <row r="1426" spans="1:7">
      <c r="A1426" t="s">
        <v>341</v>
      </c>
      <c r="B1426" t="s">
        <v>94</v>
      </c>
      <c r="C1426" s="2">
        <v>65.077066043953394</v>
      </c>
      <c r="D1426" t="s">
        <v>4</v>
      </c>
      <c r="E1426" t="str">
        <f>+INDEX(Check!$B$5:$B$33,MATCH(Compilado[[#This Row],[Items]],Check!$C$5:$C$33,0))</f>
        <v>COMBUSTIBLE Y MANTENIMIENTO</v>
      </c>
      <c r="F1426" s="69">
        <f>+IFERROR(INDEX(Tabla2[TC],MATCH(Compilado[[#This Row],[Mes]],Tabla2[Mes],0))*Compilado[[#This Row],[USD]],0)</f>
        <v>77853.85530000001</v>
      </c>
      <c r="G1426" s="150">
        <v>45962</v>
      </c>
    </row>
    <row r="1427" spans="1:7">
      <c r="A1427" t="s">
        <v>341</v>
      </c>
      <c r="B1427" t="s">
        <v>95</v>
      </c>
      <c r="C1427" s="2">
        <v>107.23958533749555</v>
      </c>
      <c r="D1427" t="s">
        <v>4</v>
      </c>
      <c r="E1427" t="str">
        <f>+INDEX(Check!$B$5:$B$33,MATCH(Compilado[[#This Row],[Items]],Check!$C$5:$C$33,0))</f>
        <v>COMBUSTIBLE Y MANTENIMIENTO</v>
      </c>
      <c r="F1427" s="69">
        <f>+IFERROR(INDEX(Tabla2[TC],MATCH(Compilado[[#This Row],[Mes]],Tabla2[Mes],0))*Compilado[[#This Row],[USD]],0)</f>
        <v>129577.22010999999</v>
      </c>
      <c r="G1427" s="150">
        <v>45992</v>
      </c>
    </row>
    <row r="1428" spans="1:7">
      <c r="A1428" t="s">
        <v>341</v>
      </c>
      <c r="B1428" t="s">
        <v>96</v>
      </c>
      <c r="C1428" s="2">
        <v>654.59032848298659</v>
      </c>
      <c r="D1428" t="s">
        <v>4</v>
      </c>
      <c r="E1428" t="str">
        <f>+INDEX(Check!$B$5:$B$33,MATCH(Compilado[[#This Row],[Items]],Check!$C$5:$C$33,0))</f>
        <v>COMBUSTIBLE Y MANTENIMIENTO</v>
      </c>
      <c r="F1428" s="69">
        <f>+IFERROR(INDEX(Tabla2[TC],MATCH(Compilado[[#This Row],[Mes]],Tabla2[Mes],0))*Compilado[[#This Row],[USD]],0)</f>
        <v>798848.62252000009</v>
      </c>
      <c r="G1428" s="150">
        <v>46023</v>
      </c>
    </row>
    <row r="1429" spans="1:7">
      <c r="A1429" t="s">
        <v>341</v>
      </c>
      <c r="B1429" t="s">
        <v>97</v>
      </c>
      <c r="C1429" s="2">
        <v>53.594665249734945</v>
      </c>
      <c r="D1429" t="s">
        <v>4</v>
      </c>
      <c r="E1429" t="str">
        <f>+INDEX(Check!$B$5:$B$33,MATCH(Compilado[[#This Row],[Items]],Check!$C$5:$C$33,0))</f>
        <v>COMBUSTIBLE Y MANTENIMIENTO</v>
      </c>
      <c r="F1429" s="69">
        <f>+IFERROR(INDEX(Tabla2[TC],MATCH(Compilado[[#This Row],[Mes]],Tabla2[Mes],0))*Compilado[[#This Row],[USD]],0)</f>
        <v>66059.889479999998</v>
      </c>
      <c r="G1429" s="150">
        <v>46054</v>
      </c>
    </row>
    <row r="1430" spans="1:7">
      <c r="A1430" t="s">
        <v>341</v>
      </c>
      <c r="B1430" t="s">
        <v>98</v>
      </c>
      <c r="C1430" s="2">
        <v>226.66940740481343</v>
      </c>
      <c r="D1430" t="s">
        <v>4</v>
      </c>
      <c r="E1430" t="str">
        <f>+INDEX(Check!$B$5:$B$33,MATCH(Compilado[[#This Row],[Items]],Check!$C$5:$C$33,0))</f>
        <v>COMBUSTIBLE Y MANTENIMIENTO</v>
      </c>
      <c r="F1430" s="69">
        <f>+IFERROR(INDEX(Tabla2[TC],MATCH(Compilado[[#This Row],[Mes]],Tabla2[Mes],0))*Compilado[[#This Row],[USD]],0)</f>
        <v>282182.81598000001</v>
      </c>
      <c r="G1430" s="150">
        <v>46082</v>
      </c>
    </row>
    <row r="1431" spans="1:7">
      <c r="A1431" t="s">
        <v>341</v>
      </c>
      <c r="B1431" t="s">
        <v>99</v>
      </c>
      <c r="C1431" s="2">
        <v>174.26832332143911</v>
      </c>
      <c r="D1431" t="s">
        <v>4</v>
      </c>
      <c r="E1431" t="str">
        <f>+INDEX(Check!$B$5:$B$33,MATCH(Compilado[[#This Row],[Items]],Check!$C$5:$C$33,0))</f>
        <v>COMBUSTIBLE Y MANTENIMIENTO</v>
      </c>
      <c r="F1431" s="69">
        <f>+IFERROR(INDEX(Tabla2[TC],MATCH(Compilado[[#This Row],[Mes]],Tabla2[Mes],0))*Compilado[[#This Row],[USD]],0)</f>
        <v>219117.70997999999</v>
      </c>
      <c r="G1431" s="150">
        <v>46113</v>
      </c>
    </row>
    <row r="1432" spans="1:7">
      <c r="A1432" t="s">
        <v>341</v>
      </c>
      <c r="B1432" t="s">
        <v>88</v>
      </c>
      <c r="C1432" s="2">
        <v>3861.961265217391</v>
      </c>
      <c r="D1432" t="s">
        <v>373</v>
      </c>
      <c r="E1432" t="str">
        <f>+INDEX(Check!$B$5:$B$33,MATCH(Compilado[[#This Row],[Items]],Check!$C$5:$C$33,0))</f>
        <v>COMBUSTIBLE Y MANTENIMIENTO</v>
      </c>
      <c r="F1432" s="69">
        <f>+IFERROR(INDEX(Tabla2[TC],MATCH(Compilado[[#This Row],[Mes]],Tabla2[Mes],0))*Compilado[[#This Row],[USD]],0)</f>
        <v>4352430.3459000001</v>
      </c>
      <c r="G1432" s="150">
        <v>45778</v>
      </c>
    </row>
    <row r="1433" spans="1:7">
      <c r="A1433" t="s">
        <v>341</v>
      </c>
      <c r="B1433" t="s">
        <v>89</v>
      </c>
      <c r="C1433" s="2">
        <v>1178.6300404122046</v>
      </c>
      <c r="D1433" t="s">
        <v>373</v>
      </c>
      <c r="E1433" t="str">
        <f>+INDEX(Check!$B$5:$B$33,MATCH(Compilado[[#This Row],[Items]],Check!$C$5:$C$33,0))</f>
        <v>COMBUSTIBLE Y MANTENIMIENTO</v>
      </c>
      <c r="F1433" s="69">
        <f>+IFERROR(INDEX(Tabla2[TC],MATCH(Compilado[[#This Row],[Mes]],Tabla2[Mes],0))*Compilado[[#This Row],[USD]],0)</f>
        <v>1341599.2161000001</v>
      </c>
      <c r="G1433" s="150">
        <v>45809</v>
      </c>
    </row>
    <row r="1434" spans="1:7">
      <c r="A1434" t="s">
        <v>341</v>
      </c>
      <c r="B1434" t="s">
        <v>90</v>
      </c>
      <c r="C1434" s="2">
        <v>858.9613880261403</v>
      </c>
      <c r="D1434" t="s">
        <v>373</v>
      </c>
      <c r="E1434" t="str">
        <f>+INDEX(Check!$B$5:$B$33,MATCH(Compilado[[#This Row],[Items]],Check!$C$5:$C$33,0))</f>
        <v>COMBUSTIBLE Y MANTENIMIENTO</v>
      </c>
      <c r="F1434" s="69">
        <f>+IFERROR(INDEX(Tabla2[TC],MATCH(Compilado[[#This Row],[Mes]],Tabla2[Mes],0))*Compilado[[#This Row],[USD]],0)</f>
        <v>987507.27893999999</v>
      </c>
      <c r="G1434" s="150">
        <v>45839</v>
      </c>
    </row>
    <row r="1435" spans="1:7">
      <c r="A1435" t="s">
        <v>341</v>
      </c>
      <c r="B1435" t="s">
        <v>91</v>
      </c>
      <c r="C1435" s="2">
        <v>861.594241340351</v>
      </c>
      <c r="D1435" t="s">
        <v>373</v>
      </c>
      <c r="E1435" t="str">
        <f>+INDEX(Check!$B$5:$B$33,MATCH(Compilado[[#This Row],[Items]],Check!$C$5:$C$33,0))</f>
        <v>COMBUSTIBLE Y MANTENIMIENTO</v>
      </c>
      <c r="F1435" s="69">
        <f>+IFERROR(INDEX(Tabla2[TC],MATCH(Compilado[[#This Row],[Mes]],Tabla2[Mes],0))*Compilado[[#This Row],[USD]],0)</f>
        <v>1000439.4873200001</v>
      </c>
      <c r="G1435" s="150">
        <v>45870</v>
      </c>
    </row>
    <row r="1436" spans="1:7">
      <c r="A1436" t="s">
        <v>341</v>
      </c>
      <c r="B1436" t="s">
        <v>92</v>
      </c>
      <c r="C1436" s="2">
        <v>216.36165040379589</v>
      </c>
      <c r="D1436" t="s">
        <v>373</v>
      </c>
      <c r="E1436" t="str">
        <f>+INDEX(Check!$B$5:$B$33,MATCH(Compilado[[#This Row],[Items]],Check!$C$5:$C$33,0))</f>
        <v>COMBUSTIBLE Y MANTENIMIENTO</v>
      </c>
      <c r="F1436" s="69">
        <f>+IFERROR(INDEX(Tabla2[TC],MATCH(Compilado[[#This Row],[Mes]],Tabla2[Mes],0))*Compilado[[#This Row],[USD]],0)</f>
        <v>253740.44475</v>
      </c>
      <c r="G1436" s="150">
        <v>45901</v>
      </c>
    </row>
    <row r="1437" spans="1:7">
      <c r="A1437" t="s">
        <v>341</v>
      </c>
      <c r="B1437" t="s">
        <v>93</v>
      </c>
      <c r="C1437" s="2">
        <v>4879.2896420849584</v>
      </c>
      <c r="D1437" t="s">
        <v>373</v>
      </c>
      <c r="E1437" t="str">
        <f>+INDEX(Check!$B$5:$B$33,MATCH(Compilado[[#This Row],[Items]],Check!$C$5:$C$33,0))</f>
        <v>COMBUSTIBLE Y MANTENIMIENTO</v>
      </c>
      <c r="F1437" s="69">
        <f>+IFERROR(INDEX(Tabla2[TC],MATCH(Compilado[[#This Row],[Mes]],Tabla2[Mes],0))*Compilado[[#This Row],[USD]],0)</f>
        <v>5779461.6224799994</v>
      </c>
      <c r="G1437" s="150">
        <v>45931</v>
      </c>
    </row>
    <row r="1438" spans="1:7">
      <c r="A1438" t="s">
        <v>341</v>
      </c>
      <c r="B1438" t="s">
        <v>94</v>
      </c>
      <c r="C1438" s="2">
        <v>1899.7252973676152</v>
      </c>
      <c r="D1438" t="s">
        <v>373</v>
      </c>
      <c r="E1438" t="str">
        <f>+INDEX(Check!$B$5:$B$33,MATCH(Compilado[[#This Row],[Items]],Check!$C$5:$C$33,0))</f>
        <v>COMBUSTIBLE Y MANTENIMIENTO</v>
      </c>
      <c r="F1438" s="69">
        <f>+IFERROR(INDEX(Tabla2[TC],MATCH(Compilado[[#This Row],[Mes]],Tabla2[Mes],0))*Compilado[[#This Row],[USD]],0)</f>
        <v>2272704.4626000002</v>
      </c>
      <c r="G1438" s="150">
        <v>45962</v>
      </c>
    </row>
    <row r="1439" spans="1:7">
      <c r="A1439" t="s">
        <v>341</v>
      </c>
      <c r="B1439" t="s">
        <v>95</v>
      </c>
      <c r="C1439" s="2">
        <v>1889.843740222736</v>
      </c>
      <c r="D1439" t="s">
        <v>373</v>
      </c>
      <c r="E1439" t="str">
        <f>+INDEX(Check!$B$5:$B$33,MATCH(Compilado[[#This Row],[Items]],Check!$C$5:$C$33,0))</f>
        <v>COMBUSTIBLE Y MANTENIMIENTO</v>
      </c>
      <c r="F1439" s="69">
        <f>+IFERROR(INDEX(Tabla2[TC],MATCH(Compilado[[#This Row],[Mes]],Tabla2[Mes],0))*Compilado[[#This Row],[USD]],0)</f>
        <v>2283491.6559000001</v>
      </c>
      <c r="G1439" s="150">
        <v>45992</v>
      </c>
    </row>
    <row r="1440" spans="1:7">
      <c r="A1440" t="s">
        <v>341</v>
      </c>
      <c r="B1440" t="s">
        <v>96</v>
      </c>
      <c r="C1440" s="2">
        <v>1730.4563105382963</v>
      </c>
      <c r="D1440" t="s">
        <v>373</v>
      </c>
      <c r="E1440" t="str">
        <f>+INDEX(Check!$B$5:$B$33,MATCH(Compilado[[#This Row],[Items]],Check!$C$5:$C$33,0))</f>
        <v>COMBUSTIBLE Y MANTENIMIENTO</v>
      </c>
      <c r="F1440" s="69">
        <f>+IFERROR(INDEX(Tabla2[TC],MATCH(Compilado[[#This Row],[Mes]],Tabla2[Mes],0))*Compilado[[#This Row],[USD]],0)</f>
        <v>2111813.4195599998</v>
      </c>
      <c r="G1440" s="150">
        <v>46023</v>
      </c>
    </row>
    <row r="1441" spans="1:7">
      <c r="A1441" t="s">
        <v>341</v>
      </c>
      <c r="B1441" t="s">
        <v>97</v>
      </c>
      <c r="C1441" s="2">
        <v>288.28826386219367</v>
      </c>
      <c r="D1441" t="s">
        <v>373</v>
      </c>
      <c r="E1441" t="str">
        <f>+INDEX(Check!$B$5:$B$33,MATCH(Compilado[[#This Row],[Items]],Check!$C$5:$C$33,0))</f>
        <v>COMBUSTIBLE Y MANTENIMIENTO</v>
      </c>
      <c r="F1441" s="69">
        <f>+IFERROR(INDEX(Tabla2[TC],MATCH(Compilado[[#This Row],[Mes]],Tabla2[Mes],0))*Compilado[[#This Row],[USD]],0)</f>
        <v>355339.30028999998</v>
      </c>
      <c r="G1441" s="150">
        <v>46054</v>
      </c>
    </row>
    <row r="1442" spans="1:7">
      <c r="A1442" t="s">
        <v>341</v>
      </c>
      <c r="B1442" t="s">
        <v>98</v>
      </c>
      <c r="C1442" s="2">
        <v>1285.3462797387249</v>
      </c>
      <c r="D1442" t="s">
        <v>373</v>
      </c>
      <c r="E1442" t="str">
        <f>+INDEX(Check!$B$5:$B$33,MATCH(Compilado[[#This Row],[Items]],Check!$C$5:$C$33,0))</f>
        <v>COMBUSTIBLE Y MANTENIMIENTO</v>
      </c>
      <c r="F1442" s="69">
        <f>+IFERROR(INDEX(Tabla2[TC],MATCH(Compilado[[#This Row],[Mes]],Tabla2[Mes],0))*Compilado[[#This Row],[USD]],0)</f>
        <v>1600139.3257200005</v>
      </c>
      <c r="G1442" s="150">
        <v>46082</v>
      </c>
    </row>
    <row r="1443" spans="1:7">
      <c r="A1443" t="s">
        <v>341</v>
      </c>
      <c r="B1443" t="s">
        <v>99</v>
      </c>
      <c r="C1443" s="2">
        <v>5512.336066155025</v>
      </c>
      <c r="D1443" t="s">
        <v>373</v>
      </c>
      <c r="E1443" t="str">
        <f>+INDEX(Check!$B$5:$B$33,MATCH(Compilado[[#This Row],[Items]],Check!$C$5:$C$33,0))</f>
        <v>COMBUSTIBLE Y MANTENIMIENTO</v>
      </c>
      <c r="F1443" s="69">
        <f>+IFERROR(INDEX(Tabla2[TC],MATCH(Compilado[[#This Row],[Mes]],Tabla2[Mes],0))*Compilado[[#This Row],[USD]],0)</f>
        <v>6930981.1010699999</v>
      </c>
      <c r="G1443" s="150">
        <v>46113</v>
      </c>
    </row>
    <row r="1444" spans="1:7">
      <c r="A1444" t="s">
        <v>341</v>
      </c>
      <c r="B1444" t="s">
        <v>88</v>
      </c>
      <c r="C1444" s="2">
        <v>1606.4097381543922</v>
      </c>
      <c r="D1444" t="s">
        <v>15</v>
      </c>
      <c r="E1444" t="str">
        <f>+INDEX(Check!$B$5:$B$33,MATCH(Compilado[[#This Row],[Items]],Check!$C$5:$C$33,0))</f>
        <v>COMBUSTIBLE Y MANTENIMIENTO</v>
      </c>
      <c r="F1444" s="69">
        <f>+IFERROR(INDEX(Tabla2[TC],MATCH(Compilado[[#This Row],[Mes]],Tabla2[Mes],0))*Compilado[[#This Row],[USD]],0)</f>
        <v>1810423.7749000001</v>
      </c>
      <c r="G1444" s="150">
        <v>45778</v>
      </c>
    </row>
    <row r="1445" spans="1:7">
      <c r="A1445" t="s">
        <v>341</v>
      </c>
      <c r="B1445" t="s">
        <v>89</v>
      </c>
      <c r="C1445" s="2">
        <v>464.08683713881601</v>
      </c>
      <c r="D1445" t="s">
        <v>15</v>
      </c>
      <c r="E1445" t="str">
        <f>+INDEX(Check!$B$5:$B$33,MATCH(Compilado[[#This Row],[Items]],Check!$C$5:$C$33,0))</f>
        <v>COMBUSTIBLE Y MANTENIMIENTO</v>
      </c>
      <c r="F1445" s="69">
        <f>+IFERROR(INDEX(Tabla2[TC],MATCH(Compilado[[#This Row],[Mes]],Tabla2[Mes],0))*Compilado[[#This Row],[USD]],0)</f>
        <v>528256.12411000009</v>
      </c>
      <c r="G1445" s="150">
        <v>45809</v>
      </c>
    </row>
    <row r="1446" spans="1:7">
      <c r="A1446" t="s">
        <v>341</v>
      </c>
      <c r="B1446" t="s">
        <v>90</v>
      </c>
      <c r="C1446" s="2">
        <v>342.18371730871417</v>
      </c>
      <c r="D1446" t="s">
        <v>15</v>
      </c>
      <c r="E1446" t="str">
        <f>+INDEX(Check!$B$5:$B$33,MATCH(Compilado[[#This Row],[Items]],Check!$C$5:$C$33,0))</f>
        <v>COMBUSTIBLE Y MANTENIMIENTO</v>
      </c>
      <c r="F1446" s="69">
        <f>+IFERROR(INDEX(Tabla2[TC],MATCH(Compilado[[#This Row],[Mes]],Tabla2[Mes],0))*Compilado[[#This Row],[USD]],0)</f>
        <v>393392.43450000003</v>
      </c>
      <c r="G1446" s="150">
        <v>45839</v>
      </c>
    </row>
    <row r="1447" spans="1:7">
      <c r="A1447" t="s">
        <v>341</v>
      </c>
      <c r="B1447" t="s">
        <v>91</v>
      </c>
      <c r="C1447" s="2">
        <v>284.9251105603156</v>
      </c>
      <c r="D1447" t="s">
        <v>15</v>
      </c>
      <c r="E1447" t="str">
        <f>+INDEX(Check!$B$5:$B$33,MATCH(Compilado[[#This Row],[Items]],Check!$C$5:$C$33,0))</f>
        <v>COMBUSTIBLE Y MANTENIMIENTO</v>
      </c>
      <c r="F1447" s="69">
        <f>+IFERROR(INDEX(Tabla2[TC],MATCH(Compilado[[#This Row],[Mes]],Tabla2[Mes],0))*Compilado[[#This Row],[USD]],0)</f>
        <v>330840.57188</v>
      </c>
      <c r="G1447" s="150">
        <v>45870</v>
      </c>
    </row>
    <row r="1448" spans="1:7">
      <c r="A1448" t="s">
        <v>341</v>
      </c>
      <c r="B1448" t="s">
        <v>92</v>
      </c>
      <c r="C1448" s="2">
        <v>73.501125876432667</v>
      </c>
      <c r="D1448" t="s">
        <v>15</v>
      </c>
      <c r="E1448" t="str">
        <f>+INDEX(Check!$B$5:$B$33,MATCH(Compilado[[#This Row],[Items]],Check!$C$5:$C$33,0))</f>
        <v>COMBUSTIBLE Y MANTENIMIENTO</v>
      </c>
      <c r="F1448" s="69">
        <f>+IFERROR(INDEX(Tabla2[TC],MATCH(Compilado[[#This Row],[Mes]],Tabla2[Mes],0))*Compilado[[#This Row],[USD]],0)</f>
        <v>86199.233250000005</v>
      </c>
      <c r="G1448" s="150">
        <v>45901</v>
      </c>
    </row>
    <row r="1449" spans="1:7">
      <c r="A1449" t="s">
        <v>341</v>
      </c>
      <c r="B1449" t="s">
        <v>93</v>
      </c>
      <c r="C1449" s="2">
        <v>2018.4385846839225</v>
      </c>
      <c r="D1449" t="s">
        <v>15</v>
      </c>
      <c r="E1449" t="str">
        <f>+INDEX(Check!$B$5:$B$33,MATCH(Compilado[[#This Row],[Items]],Check!$C$5:$C$33,0))</f>
        <v>COMBUSTIBLE Y MANTENIMIENTO</v>
      </c>
      <c r="F1449" s="69">
        <f>+IFERROR(INDEX(Tabla2[TC],MATCH(Compilado[[#This Row],[Mes]],Tabla2[Mes],0))*Compilado[[#This Row],[USD]],0)</f>
        <v>2390816.9412400005</v>
      </c>
      <c r="G1449" s="150">
        <v>45931</v>
      </c>
    </row>
    <row r="1450" spans="1:7">
      <c r="A1450" t="s">
        <v>341</v>
      </c>
      <c r="B1450" t="s">
        <v>94</v>
      </c>
      <c r="C1450" s="2">
        <v>782.83835396783707</v>
      </c>
      <c r="D1450" t="s">
        <v>15</v>
      </c>
      <c r="E1450" t="str">
        <f>+INDEX(Check!$B$5:$B$33,MATCH(Compilado[[#This Row],[Items]],Check!$C$5:$C$33,0))</f>
        <v>COMBUSTIBLE Y MANTENIMIENTO</v>
      </c>
      <c r="F1450" s="69">
        <f>+IFERROR(INDEX(Tabla2[TC],MATCH(Compilado[[#This Row],[Mes]],Tabla2[Mes],0))*Compilado[[#This Row],[USD]],0)</f>
        <v>936535.52069999999</v>
      </c>
      <c r="G1450" s="150">
        <v>45962</v>
      </c>
    </row>
    <row r="1451" spans="1:7">
      <c r="A1451" t="s">
        <v>341</v>
      </c>
      <c r="B1451" t="s">
        <v>95</v>
      </c>
      <c r="C1451" s="2">
        <v>746.96795295555683</v>
      </c>
      <c r="D1451" t="s">
        <v>15</v>
      </c>
      <c r="E1451" t="str">
        <f>+INDEX(Check!$B$5:$B$33,MATCH(Compilado[[#This Row],[Items]],Check!$C$5:$C$33,0))</f>
        <v>COMBUSTIBLE Y MANTENIMIENTO</v>
      </c>
      <c r="F1451" s="69">
        <f>+IFERROR(INDEX(Tabla2[TC],MATCH(Compilado[[#This Row],[Mes]],Tabla2[Mes],0))*Compilado[[#This Row],[USD]],0)</f>
        <v>902558.79441000009</v>
      </c>
      <c r="G1451" s="150">
        <v>45992</v>
      </c>
    </row>
    <row r="1452" spans="1:7">
      <c r="A1452" t="s">
        <v>341</v>
      </c>
      <c r="B1452" t="s">
        <v>96</v>
      </c>
      <c r="C1452" s="2">
        <v>625.71384988690056</v>
      </c>
      <c r="D1452" t="s">
        <v>15</v>
      </c>
      <c r="E1452" t="str">
        <f>+INDEX(Check!$B$5:$B$33,MATCH(Compilado[[#This Row],[Items]],Check!$C$5:$C$33,0))</f>
        <v>COMBUSTIBLE Y MANTENIMIENTO</v>
      </c>
      <c r="F1452" s="69">
        <f>+IFERROR(INDEX(Tabla2[TC],MATCH(Compilado[[#This Row],[Mes]],Tabla2[Mes],0))*Compilado[[#This Row],[USD]],0)</f>
        <v>763608.35979999998</v>
      </c>
      <c r="G1452" s="150">
        <v>46023</v>
      </c>
    </row>
    <row r="1453" spans="1:7">
      <c r="A1453" t="s">
        <v>341</v>
      </c>
      <c r="B1453" t="s">
        <v>97</v>
      </c>
      <c r="C1453" s="2">
        <v>119.86315304002892</v>
      </c>
      <c r="D1453" t="s">
        <v>15</v>
      </c>
      <c r="E1453" t="str">
        <f>+INDEX(Check!$B$5:$B$33,MATCH(Compilado[[#This Row],[Items]],Check!$C$5:$C$33,0))</f>
        <v>COMBUSTIBLE Y MANTENIMIENTO</v>
      </c>
      <c r="F1453" s="69">
        <f>+IFERROR(INDEX(Tabla2[TC],MATCH(Compilado[[#This Row],[Mes]],Tabla2[Mes],0))*Compilado[[#This Row],[USD]],0)</f>
        <v>147741.321</v>
      </c>
      <c r="G1453" s="150">
        <v>46054</v>
      </c>
    </row>
    <row r="1454" spans="1:7">
      <c r="A1454" t="s">
        <v>341</v>
      </c>
      <c r="B1454" t="s">
        <v>98</v>
      </c>
      <c r="C1454" s="2">
        <v>488.96694044623598</v>
      </c>
      <c r="D1454" t="s">
        <v>15</v>
      </c>
      <c r="E1454" t="str">
        <f>+INDEX(Check!$B$5:$B$33,MATCH(Compilado[[#This Row],[Items]],Check!$C$5:$C$33,0))</f>
        <v>COMBUSTIBLE Y MANTENIMIENTO</v>
      </c>
      <c r="F1454" s="69">
        <f>+IFERROR(INDEX(Tabla2[TC],MATCH(Compilado[[#This Row],[Mes]],Tabla2[Mes],0))*Compilado[[#This Row],[USD]],0)</f>
        <v>608719.41103999992</v>
      </c>
      <c r="G1454" s="150">
        <v>46082</v>
      </c>
    </row>
    <row r="1455" spans="1:7">
      <c r="A1455" t="s">
        <v>341</v>
      </c>
      <c r="B1455" t="s">
        <v>99</v>
      </c>
      <c r="C1455" s="2">
        <v>2813.2886919560615</v>
      </c>
      <c r="D1455" t="s">
        <v>15</v>
      </c>
      <c r="E1455" t="str">
        <f>+INDEX(Check!$B$5:$B$33,MATCH(Compilado[[#This Row],[Items]],Check!$C$5:$C$33,0))</f>
        <v>COMBUSTIBLE Y MANTENIMIENTO</v>
      </c>
      <c r="F1455" s="69">
        <f>+IFERROR(INDEX(Tabla2[TC],MATCH(Compilado[[#This Row],[Mes]],Tabla2[Mes],0))*Compilado[[#This Row],[USD]],0)</f>
        <v>3537311.68089</v>
      </c>
      <c r="G1455" s="150">
        <v>46113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A75BF0-3EE9-43E2-A6B0-13A3F1047C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48</vt:i4>
      </vt:variant>
    </vt:vector>
  </HeadingPairs>
  <TitlesOfParts>
    <vt:vector size="48" baseType="lpstr">
      <vt:lpstr>PA_Gen</vt:lpstr>
      <vt:lpstr>PA_Esp</vt:lpstr>
      <vt:lpstr>CT_Gen</vt:lpstr>
      <vt:lpstr>CT_Esp</vt:lpstr>
      <vt:lpstr>LCH_Gen</vt:lpstr>
      <vt:lpstr>LHC_Esp</vt:lpstr>
      <vt:lpstr>EE_Esp</vt:lpstr>
      <vt:lpstr>EE_Gen</vt:lpstr>
      <vt:lpstr>Visualización Jornales EE III</vt:lpstr>
      <vt:lpstr>Visualización Jornales EE I y I</vt:lpstr>
      <vt:lpstr>Visualización Jornales PA (2)</vt:lpstr>
      <vt:lpstr>Visualización Jornales LCH (2)</vt:lpstr>
      <vt:lpstr>Visualización Jornales CT</vt:lpstr>
      <vt:lpstr>Hoja1</vt:lpstr>
      <vt:lpstr>Visualización Jornales PA</vt:lpstr>
      <vt:lpstr>Visualización Jornales LCH</vt:lpstr>
      <vt:lpstr>Visualización Jornales EE</vt:lpstr>
      <vt:lpstr>Resumen de Jornales</vt:lpstr>
      <vt:lpstr>Personal Camino Truncado</vt:lpstr>
      <vt:lpstr>Fletes Varios</vt:lpstr>
      <vt:lpstr>Visualización Jornales CT (2)</vt:lpstr>
      <vt:lpstr>Personal La Chimbera</vt:lpstr>
      <vt:lpstr>Personal Puente Alto</vt:lpstr>
      <vt:lpstr>Personal El Espejo III</vt:lpstr>
      <vt:lpstr>Personal El Espejo I y II</vt:lpstr>
      <vt:lpstr>Fito CT</vt:lpstr>
      <vt:lpstr>Fito PA</vt:lpstr>
      <vt:lpstr>Fito EE III</vt:lpstr>
      <vt:lpstr>Fito EE I y II</vt:lpstr>
      <vt:lpstr>Fito LCH</vt:lpstr>
      <vt:lpstr>Cosechas</vt:lpstr>
      <vt:lpstr>COSECHA</vt:lpstr>
      <vt:lpstr>SECADERO</vt:lpstr>
      <vt:lpstr>Secaderos</vt:lpstr>
      <vt:lpstr>Fertilizantes</vt:lpstr>
      <vt:lpstr>Tabla general</vt:lpstr>
      <vt:lpstr>Check</vt:lpstr>
      <vt:lpstr>RepRep</vt:lpstr>
      <vt:lpstr>Fitosanitarios</vt:lpstr>
      <vt:lpstr>Tabla Base</vt:lpstr>
      <vt:lpstr>Reparaciones y Repuestos</vt:lpstr>
      <vt:lpstr>Energía Fincas</vt:lpstr>
      <vt:lpstr>EnergiaFincas</vt:lpstr>
      <vt:lpstr>ADM</vt:lpstr>
      <vt:lpstr>Administración</vt:lpstr>
      <vt:lpstr>Inversiones (2)</vt:lpstr>
      <vt:lpstr>Inversiones</vt:lpstr>
      <vt:lpstr>Compilado</vt:lpstr>
    </vt:vector>
  </TitlesOfParts>
  <Manager>Leandro Ormeño</Manager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 presupuesto fincas</dc:title>
  <dc:creator>Leandro Exequiel Ormeño</dc:creator>
  <cp:keywords>BP 2026</cp:keywords>
  <dc:description>Presupuesto</dc:description>
  <cp:lastModifiedBy>usuario</cp:lastModifiedBy>
  <cp:lastPrinted>2025-05-12T15:36:08Z</cp:lastPrinted>
  <dcterms:created xsi:type="dcterms:W3CDTF">2015-06-05T18:19:34Z</dcterms:created>
  <dcterms:modified xsi:type="dcterms:W3CDTF">2026-04-23T14:58:26Z</dcterms:modified>
  <cp:category>Fincas</cp:category>
</cp:coreProperties>
</file>